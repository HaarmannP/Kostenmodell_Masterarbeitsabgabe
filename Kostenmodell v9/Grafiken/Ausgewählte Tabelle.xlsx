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cuments\Uni\Masterarbeit\Python\Kostenmodell v9\Grafiken\"/>
    </mc:Choice>
  </mc:AlternateContent>
  <xr:revisionPtr revIDLastSave="0" documentId="13_ncr:1_{ADB436EF-8517-4CEC-8373-DD31C5BDD6E2}" xr6:coauthVersionLast="47" xr6:coauthVersionMax="47" xr10:uidLastSave="{00000000-0000-0000-0000-000000000000}"/>
  <bookViews>
    <workbookView xWindow="-120" yWindow="-120" windowWidth="38640" windowHeight="20925" xr2:uid="{71BD94AE-F58F-4E90-B141-245AF054BF2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Q26" i="1"/>
  <c r="Q2" i="2"/>
  <c r="P2" i="2"/>
  <c r="O2" i="2"/>
  <c r="R2" i="2"/>
  <c r="S2" i="2"/>
  <c r="T2" i="2"/>
  <c r="U2" i="2"/>
  <c r="Q3" i="2"/>
  <c r="R3" i="2"/>
  <c r="S3" i="2"/>
  <c r="T3" i="2"/>
  <c r="U3" i="2"/>
  <c r="P3" i="2"/>
  <c r="Q4" i="2"/>
  <c r="R4" i="2"/>
  <c r="S4" i="2"/>
  <c r="T4" i="2"/>
  <c r="U4" i="2"/>
  <c r="P4" i="2"/>
  <c r="Q5" i="2"/>
  <c r="R5" i="2"/>
  <c r="S5" i="2"/>
  <c r="T5" i="2"/>
  <c r="U5" i="2"/>
  <c r="P5" i="2"/>
  <c r="Q6" i="2"/>
  <c r="R6" i="2"/>
  <c r="S6" i="2"/>
  <c r="T6" i="2"/>
  <c r="U6" i="2"/>
  <c r="P6" i="2"/>
  <c r="Q7" i="2"/>
  <c r="R7" i="2"/>
  <c r="S7" i="2"/>
  <c r="T7" i="2"/>
  <c r="U7" i="2"/>
  <c r="P7" i="2"/>
  <c r="Q8" i="2"/>
  <c r="R8" i="2"/>
  <c r="S8" i="2"/>
  <c r="T8" i="2"/>
  <c r="U8" i="2"/>
  <c r="P8" i="2"/>
  <c r="Q9" i="2"/>
  <c r="R9" i="2"/>
  <c r="S9" i="2"/>
  <c r="T9" i="2"/>
  <c r="U9" i="2"/>
  <c r="P9" i="2"/>
  <c r="Q10" i="2"/>
  <c r="R10" i="2"/>
  <c r="S10" i="2"/>
  <c r="T10" i="2"/>
  <c r="U10" i="2"/>
  <c r="P10" i="2"/>
  <c r="Q11" i="2"/>
  <c r="R11" i="2"/>
  <c r="S11" i="2"/>
  <c r="T11" i="2"/>
  <c r="U11" i="2"/>
  <c r="P11" i="2"/>
  <c r="Q12" i="2"/>
  <c r="R12" i="2"/>
  <c r="S12" i="2"/>
  <c r="T12" i="2"/>
  <c r="U12" i="2"/>
  <c r="P12" i="2"/>
  <c r="Q13" i="2"/>
  <c r="R13" i="2"/>
  <c r="S13" i="2"/>
  <c r="T13" i="2"/>
  <c r="U13" i="2"/>
  <c r="P13" i="2"/>
  <c r="Q14" i="2"/>
  <c r="R14" i="2"/>
  <c r="S14" i="2"/>
  <c r="T14" i="2"/>
  <c r="U14" i="2"/>
  <c r="P14" i="2"/>
  <c r="O3" i="2"/>
  <c r="O4" i="2"/>
  <c r="O5" i="2"/>
  <c r="O6" i="2"/>
  <c r="O7" i="2"/>
  <c r="O8" i="2"/>
  <c r="O9" i="2"/>
  <c r="O10" i="2"/>
  <c r="O11" i="2"/>
  <c r="O12" i="2"/>
  <c r="O13" i="2"/>
  <c r="O14" i="2"/>
</calcChain>
</file>

<file path=xl/sharedStrings.xml><?xml version="1.0" encoding="utf-8"?>
<sst xmlns="http://schemas.openxmlformats.org/spreadsheetml/2006/main" count="438" uniqueCount="142">
  <si>
    <t>Konstellation</t>
  </si>
  <si>
    <t>Anzahl Pools</t>
  </si>
  <si>
    <t>Gesamtkosten Jahr</t>
  </si>
  <si>
    <t>Setupkosten</t>
  </si>
  <si>
    <t>Lizenzkosten</t>
  </si>
  <si>
    <t>Ressourcenkosten</t>
  </si>
  <si>
    <t>Speicherkosten</t>
  </si>
  <si>
    <t>Laufzeit-Effizienz</t>
  </si>
  <si>
    <t>Kosten pro Prozessstunde</t>
  </si>
  <si>
    <t>Ein großer Pool</t>
  </si>
  <si>
    <t>503 TEU</t>
  </si>
  <si>
    <t>98 TEU</t>
  </si>
  <si>
    <t>311 TEU</t>
  </si>
  <si>
    <t>2.60 €</t>
  </si>
  <si>
    <t>Isolierte Prozesse</t>
  </si>
  <si>
    <t>3,772 TEU</t>
  </si>
  <si>
    <t>9 TEU</t>
  </si>
  <si>
    <t>3,643 TEU</t>
  </si>
  <si>
    <t>23 TEU</t>
  </si>
  <si>
    <t>54.69%</t>
  </si>
  <si>
    <t>3.28 €</t>
  </si>
  <si>
    <t>Kosten pro Prozess-stunde</t>
  </si>
  <si>
    <t>Ressourcen-kosten</t>
  </si>
  <si>
    <t>Lizenz-kosten</t>
  </si>
  <si>
    <t>2.993 TEU</t>
  </si>
  <si>
    <t>3.772 TEU</t>
  </si>
  <si>
    <t>2.082 TEU</t>
  </si>
  <si>
    <t>3.643 TEU</t>
  </si>
  <si>
    <t>Speicher-kosten</t>
  </si>
  <si>
    <t>Setup-kosten</t>
  </si>
  <si>
    <t>Gesamt-kosten im Jahr</t>
  </si>
  <si>
    <t>Greedy_Poolsize20</t>
  </si>
  <si>
    <t>2,320 TEU</t>
  </si>
  <si>
    <t>46 TEU</t>
  </si>
  <si>
    <t>2,137 TEU</t>
  </si>
  <si>
    <t>39 TEU</t>
  </si>
  <si>
    <t>96.86%</t>
  </si>
  <si>
    <t>2.02 €</t>
  </si>
  <si>
    <t>PreSeedingBestFit_Poolsize14</t>
  </si>
  <si>
    <t>2,322 TEU</t>
  </si>
  <si>
    <t>37 TEU</t>
  </si>
  <si>
    <t>2,154 TEU</t>
  </si>
  <si>
    <t>33 TEU</t>
  </si>
  <si>
    <t>96.02%</t>
  </si>
  <si>
    <t>ScoreGreedy_b1.1_Poolsize14</t>
  </si>
  <si>
    <t>2,323 TEU</t>
  </si>
  <si>
    <t>2,152 TEU</t>
  </si>
  <si>
    <t>34 TEU</t>
  </si>
  <si>
    <t>96.12%</t>
  </si>
  <si>
    <t>Greedy_Poolsize22</t>
  </si>
  <si>
    <t>51 TEU</t>
  </si>
  <si>
    <t>2,132 TEU</t>
  </si>
  <si>
    <t>42 TEU</t>
  </si>
  <si>
    <t>97.10%</t>
  </si>
  <si>
    <t>PreSeedingBestFit_Poolsize18</t>
  </si>
  <si>
    <t>2,324 TEU</t>
  </si>
  <si>
    <t>48 TEU</t>
  </si>
  <si>
    <t>2,138 TEU</t>
  </si>
  <si>
    <t>96.82%</t>
  </si>
  <si>
    <t>ScoreGreedy_b1.1_Poolsize18</t>
  </si>
  <si>
    <t>2,325 TEU</t>
  </si>
  <si>
    <t>2,139 TEU</t>
  </si>
  <si>
    <t>96.77%</t>
  </si>
  <si>
    <t>PreSeedingBestFit_Poolsize20</t>
  </si>
  <si>
    <t>55 TEU</t>
  </si>
  <si>
    <t>2,130 TEU</t>
  </si>
  <si>
    <t>97.21%</t>
  </si>
  <si>
    <t>ScoreGreedy_b1.1_Poolsize20</t>
  </si>
  <si>
    <t>53 TEU</t>
  </si>
  <si>
    <t>2,131 TEU</t>
  </si>
  <si>
    <t>43 TEU</t>
  </si>
  <si>
    <t>97.16%</t>
  </si>
  <si>
    <t>Greedy_Poolsize14</t>
  </si>
  <si>
    <t>2,327 TEU</t>
  </si>
  <si>
    <t>38 TEU</t>
  </si>
  <si>
    <t>2,159 TEU</t>
  </si>
  <si>
    <t>32 TEU</t>
  </si>
  <si>
    <t>95.80%</t>
  </si>
  <si>
    <t>PreSeedingBestFit_Poolsize12</t>
  </si>
  <si>
    <t>2,166 TEU</t>
  </si>
  <si>
    <t>30 TEU</t>
  </si>
  <si>
    <t>95.44%</t>
  </si>
  <si>
    <t>PairingTop90_Poolsize4</t>
  </si>
  <si>
    <t>3,736 TEU</t>
  </si>
  <si>
    <t>3,607 TEU</t>
  </si>
  <si>
    <t>22 TEU</t>
  </si>
  <si>
    <t>55.27%</t>
  </si>
  <si>
    <t>3.25 €</t>
  </si>
  <si>
    <t>PairingTop90_Poolsize2</t>
  </si>
  <si>
    <t>3,760 TEU</t>
  </si>
  <si>
    <t>3,631 TEU</t>
  </si>
  <si>
    <t>54.89%</t>
  </si>
  <si>
    <t>3.27 €</t>
  </si>
  <si>
    <t>PairingTop90_Poolsize1</t>
  </si>
  <si>
    <t>2.320 TEU</t>
  </si>
  <si>
    <t>2.137 TEU</t>
  </si>
  <si>
    <t>96,86%</t>
  </si>
  <si>
    <t>2,02 €</t>
  </si>
  <si>
    <t>2.322 TEU</t>
  </si>
  <si>
    <t>2.154 TEU</t>
  </si>
  <si>
    <t>96,02%</t>
  </si>
  <si>
    <t>2.323 TEU</t>
  </si>
  <si>
    <t>2.152 TEU</t>
  </si>
  <si>
    <t>96,12%</t>
  </si>
  <si>
    <t>2.132 TEU</t>
  </si>
  <si>
    <t>97,10%</t>
  </si>
  <si>
    <t>2.324 TEU</t>
  </si>
  <si>
    <t>2.138 TEU</t>
  </si>
  <si>
    <t>96,82%</t>
  </si>
  <si>
    <t>2.325 TEU</t>
  </si>
  <si>
    <t>2.139 TEU</t>
  </si>
  <si>
    <t>96,77%</t>
  </si>
  <si>
    <t>2.130 TEU</t>
  </si>
  <si>
    <t>97,21%</t>
  </si>
  <si>
    <t>2.131 TEU</t>
  </si>
  <si>
    <t>97,16%</t>
  </si>
  <si>
    <t>2.327 TEU</t>
  </si>
  <si>
    <t>2.159 TEU</t>
  </si>
  <si>
    <t>95,80%</t>
  </si>
  <si>
    <t>2.166 TEU</t>
  </si>
  <si>
    <t>95,44%</t>
  </si>
  <si>
    <t>3.736 TEU</t>
  </si>
  <si>
    <t>3.607 TEU</t>
  </si>
  <si>
    <t>55,27%</t>
  </si>
  <si>
    <t>3,25 €</t>
  </si>
  <si>
    <t>3.760 TEU</t>
  </si>
  <si>
    <t>3.631 TEU</t>
  </si>
  <si>
    <t>54,89%</t>
  </si>
  <si>
    <t>3,27 €</t>
  </si>
  <si>
    <t>54,69%</t>
  </si>
  <si>
    <t>3,28 €</t>
  </si>
  <si>
    <t>Reffernz Variante 1</t>
  </si>
  <si>
    <t>Teuerste Variante</t>
  </si>
  <si>
    <t>2. Günstigste Variante</t>
  </si>
  <si>
    <t>3. Günstigste Variante</t>
  </si>
  <si>
    <t>Günstigste Variante</t>
  </si>
  <si>
    <t>Angestrebte Poolgröße</t>
  </si>
  <si>
    <t>∞</t>
  </si>
  <si>
    <t>Greedy</t>
  </si>
  <si>
    <t>PreSeedingBestFit</t>
  </si>
  <si>
    <t>ScoreGreedy_b1.1</t>
  </si>
  <si>
    <t>Heuristik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</si>
</sst>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3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0AA-1D8C-4D10-8155-A3704AEB4149}">
  <dimension ref="A1:S26"/>
  <sheetViews>
    <sheetView tabSelected="1" workbookViewId="0">
      <selection activeCell="R26" sqref="R26"/>
    </sheetView>
  </sheetViews>
  <sheetFormatPr baseColWidth="10" defaultRowHeight="15"/>
  <cols>
    <col min="1" max="1" width="11" style="2"/>
    <col min="2" max="2" width="12.375" style="3" bestFit="1" customWidth="1"/>
    <col min="3" max="3" width="6.75" style="3" bestFit="1" customWidth="1"/>
    <col min="4" max="4" width="9" style="3" bestFit="1" customWidth="1"/>
    <col min="5" max="5" width="10.75" style="3" bestFit="1" customWidth="1"/>
    <col min="6" max="6" width="9" style="3" customWidth="1"/>
    <col min="7" max="7" width="9.5" style="3" bestFit="1" customWidth="1"/>
    <col min="8" max="8" width="12.25" style="3" bestFit="1" customWidth="1"/>
    <col min="9" max="9" width="11" style="3"/>
    <col min="10" max="10" width="8.625" style="3" bestFit="1" customWidth="1"/>
    <col min="11" max="17" width="11" style="2"/>
    <col min="18" max="18" width="12.375" style="2" customWidth="1"/>
    <col min="19" max="19" width="11.5" style="2" customWidth="1"/>
    <col min="20" max="16384" width="11" style="2"/>
  </cols>
  <sheetData>
    <row r="1" spans="1:19" ht="31.5">
      <c r="A1" s="1"/>
      <c r="B1" s="4" t="s">
        <v>0</v>
      </c>
      <c r="C1" s="4" t="s">
        <v>1</v>
      </c>
      <c r="D1" s="4" t="s">
        <v>30</v>
      </c>
      <c r="E1" s="4" t="s">
        <v>21</v>
      </c>
      <c r="F1" s="4" t="s">
        <v>29</v>
      </c>
      <c r="G1" s="4" t="s">
        <v>23</v>
      </c>
      <c r="H1" s="4" t="s">
        <v>22</v>
      </c>
      <c r="I1" s="4" t="s">
        <v>28</v>
      </c>
      <c r="J1" s="4" t="s">
        <v>7</v>
      </c>
    </row>
    <row r="2" spans="1:19">
      <c r="A2" s="1">
        <v>0</v>
      </c>
      <c r="B2" s="5" t="s">
        <v>9</v>
      </c>
      <c r="C2" s="6">
        <v>1</v>
      </c>
      <c r="D2" s="6" t="s">
        <v>24</v>
      </c>
      <c r="E2" s="6" t="s">
        <v>13</v>
      </c>
      <c r="F2" s="6" t="s">
        <v>10</v>
      </c>
      <c r="G2" s="6" t="s">
        <v>26</v>
      </c>
      <c r="H2" s="6" t="s">
        <v>11</v>
      </c>
      <c r="I2" s="6" t="s">
        <v>12</v>
      </c>
      <c r="J2" s="7">
        <v>0.99670000000000003</v>
      </c>
    </row>
    <row r="3" spans="1:19">
      <c r="A3" s="1">
        <v>1</v>
      </c>
      <c r="B3" s="5" t="s">
        <v>14</v>
      </c>
      <c r="C3" s="6">
        <v>189</v>
      </c>
      <c r="D3" s="6" t="s">
        <v>25</v>
      </c>
      <c r="E3" s="6" t="s">
        <v>20</v>
      </c>
      <c r="F3" s="6" t="s">
        <v>16</v>
      </c>
      <c r="G3" s="6" t="s">
        <v>27</v>
      </c>
      <c r="H3" s="6" t="s">
        <v>11</v>
      </c>
      <c r="I3" s="6" t="s">
        <v>18</v>
      </c>
      <c r="J3" s="7">
        <v>0.54690000000000005</v>
      </c>
    </row>
    <row r="4" spans="1:19" ht="42.75">
      <c r="N4" s="1"/>
      <c r="O4" s="1" t="s">
        <v>131</v>
      </c>
      <c r="P4" s="1" t="s">
        <v>132</v>
      </c>
      <c r="Q4" s="1" t="s">
        <v>135</v>
      </c>
      <c r="R4" s="1" t="s">
        <v>133</v>
      </c>
      <c r="S4" s="1" t="s">
        <v>134</v>
      </c>
    </row>
    <row r="5" spans="1:19">
      <c r="N5" s="4" t="s">
        <v>141</v>
      </c>
      <c r="O5" s="5" t="s">
        <v>9</v>
      </c>
      <c r="P5" s="5" t="s">
        <v>14</v>
      </c>
      <c r="Q5" s="5" t="s">
        <v>138</v>
      </c>
      <c r="R5" s="5" t="s">
        <v>139</v>
      </c>
      <c r="S5" s="5" t="s">
        <v>140</v>
      </c>
    </row>
    <row r="6" spans="1:19">
      <c r="N6" s="4" t="s">
        <v>1</v>
      </c>
      <c r="O6" s="6">
        <v>1</v>
      </c>
      <c r="P6" s="6">
        <v>189</v>
      </c>
      <c r="Q6" s="6">
        <v>10</v>
      </c>
      <c r="R6" s="6">
        <v>13</v>
      </c>
      <c r="S6" s="6">
        <v>13</v>
      </c>
    </row>
    <row r="7" spans="1:19" ht="21">
      <c r="N7" s="4" t="s">
        <v>136</v>
      </c>
      <c r="O7" s="6" t="s">
        <v>137</v>
      </c>
      <c r="P7" s="6">
        <v>0</v>
      </c>
      <c r="Q7" s="6">
        <v>20</v>
      </c>
      <c r="R7" s="6">
        <v>14</v>
      </c>
      <c r="S7" s="6">
        <v>14</v>
      </c>
    </row>
    <row r="8" spans="1:19" ht="21">
      <c r="N8" s="4" t="s">
        <v>30</v>
      </c>
      <c r="O8" s="6" t="s">
        <v>24</v>
      </c>
      <c r="P8" s="6" t="s">
        <v>25</v>
      </c>
      <c r="Q8" s="6" t="s">
        <v>94</v>
      </c>
      <c r="R8" s="6" t="s">
        <v>98</v>
      </c>
      <c r="S8" s="6" t="s">
        <v>101</v>
      </c>
    </row>
    <row r="9" spans="1:19" ht="21">
      <c r="N9" s="4" t="s">
        <v>21</v>
      </c>
      <c r="O9" s="6" t="s">
        <v>13</v>
      </c>
      <c r="P9" s="6" t="s">
        <v>20</v>
      </c>
      <c r="Q9" s="6" t="s">
        <v>97</v>
      </c>
      <c r="R9" s="6" t="s">
        <v>97</v>
      </c>
      <c r="S9" s="6" t="s">
        <v>97</v>
      </c>
    </row>
    <row r="10" spans="1:19">
      <c r="N10" s="4" t="s">
        <v>29</v>
      </c>
      <c r="O10" s="6" t="s">
        <v>10</v>
      </c>
      <c r="P10" s="6" t="s">
        <v>16</v>
      </c>
      <c r="Q10" s="6" t="s">
        <v>33</v>
      </c>
      <c r="R10" s="6" t="s">
        <v>40</v>
      </c>
      <c r="S10" s="6" t="s">
        <v>35</v>
      </c>
    </row>
    <row r="11" spans="1:19">
      <c r="N11" s="4" t="s">
        <v>23</v>
      </c>
      <c r="O11" s="6" t="s">
        <v>26</v>
      </c>
      <c r="P11" s="6" t="s">
        <v>27</v>
      </c>
      <c r="Q11" s="6" t="s">
        <v>95</v>
      </c>
      <c r="R11" s="6" t="s">
        <v>99</v>
      </c>
      <c r="S11" s="6" t="s">
        <v>102</v>
      </c>
    </row>
    <row r="12" spans="1:19" ht="21">
      <c r="N12" s="4" t="s">
        <v>22</v>
      </c>
      <c r="O12" s="6" t="s">
        <v>11</v>
      </c>
      <c r="P12" s="6" t="s">
        <v>11</v>
      </c>
      <c r="Q12" s="6" t="s">
        <v>11</v>
      </c>
      <c r="R12" s="6" t="s">
        <v>11</v>
      </c>
      <c r="S12" s="6" t="s">
        <v>11</v>
      </c>
    </row>
    <row r="13" spans="1:19" ht="21">
      <c r="N13" s="4" t="s">
        <v>28</v>
      </c>
      <c r="O13" s="6" t="s">
        <v>12</v>
      </c>
      <c r="P13" s="6" t="s">
        <v>18</v>
      </c>
      <c r="Q13" s="6" t="s">
        <v>35</v>
      </c>
      <c r="R13" s="6" t="s">
        <v>42</v>
      </c>
      <c r="S13" s="6" t="s">
        <v>47</v>
      </c>
    </row>
    <row r="14" spans="1:19" ht="21">
      <c r="N14" s="4" t="s">
        <v>7</v>
      </c>
      <c r="O14" s="7">
        <v>0.99670000000000003</v>
      </c>
      <c r="P14" s="7">
        <v>0.54690000000000005</v>
      </c>
      <c r="Q14" s="7" t="s">
        <v>96</v>
      </c>
      <c r="R14" s="7" t="s">
        <v>100</v>
      </c>
      <c r="S14" s="7" t="s">
        <v>103</v>
      </c>
    </row>
    <row r="15" spans="1:19">
      <c r="Q15" s="9"/>
      <c r="R15" s="9"/>
    </row>
    <row r="16" spans="1:19">
      <c r="Q16" s="9"/>
      <c r="R16" s="9"/>
    </row>
    <row r="17" spans="17:18">
      <c r="Q17" s="9"/>
      <c r="R17" s="9"/>
    </row>
    <row r="18" spans="17:18">
      <c r="Q18" s="9"/>
      <c r="R18" s="9"/>
    </row>
    <row r="19" spans="17:18">
      <c r="Q19" s="10"/>
      <c r="R19" s="9"/>
    </row>
    <row r="20" spans="17:18">
      <c r="Q20" s="9"/>
      <c r="R20" s="9"/>
    </row>
    <row r="26" spans="17:18">
      <c r="Q26" s="2">
        <f>3772-2320</f>
        <v>1452</v>
      </c>
      <c r="R26" s="2">
        <f>2320/3772</f>
        <v>0.61505832449628839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21D9-3CD5-4BED-8D9B-A27571B7F029}">
  <dimension ref="A1:AF34"/>
  <sheetViews>
    <sheetView workbookViewId="0">
      <selection activeCell="N33" sqref="N33"/>
    </sheetView>
  </sheetViews>
  <sheetFormatPr baseColWidth="10" defaultRowHeight="11.25"/>
  <cols>
    <col min="1" max="16384" width="11" style="8"/>
  </cols>
  <sheetData>
    <row r="1" spans="1:32" ht="2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L1" s="4"/>
      <c r="M1" s="4" t="s">
        <v>0</v>
      </c>
      <c r="N1" s="4" t="s">
        <v>1</v>
      </c>
      <c r="O1" s="4" t="s">
        <v>30</v>
      </c>
      <c r="P1" s="4" t="s">
        <v>7</v>
      </c>
      <c r="Q1" s="4" t="s">
        <v>21</v>
      </c>
      <c r="R1" s="4" t="s">
        <v>29</v>
      </c>
      <c r="S1" s="4" t="s">
        <v>23</v>
      </c>
      <c r="T1" s="4" t="s">
        <v>22</v>
      </c>
      <c r="U1" s="4" t="s">
        <v>28</v>
      </c>
      <c r="X1" s="8" t="s">
        <v>0</v>
      </c>
      <c r="Y1" s="8" t="s">
        <v>1</v>
      </c>
      <c r="Z1" s="8" t="s">
        <v>30</v>
      </c>
      <c r="AA1" s="8" t="s">
        <v>7</v>
      </c>
      <c r="AB1" s="8" t="s">
        <v>21</v>
      </c>
      <c r="AC1" s="8" t="s">
        <v>29</v>
      </c>
      <c r="AD1" s="8" t="s">
        <v>23</v>
      </c>
      <c r="AE1" s="8" t="s">
        <v>22</v>
      </c>
      <c r="AF1" s="8" t="s">
        <v>28</v>
      </c>
    </row>
    <row r="2" spans="1:32" ht="22.5">
      <c r="A2" s="4">
        <v>0</v>
      </c>
      <c r="B2" s="5" t="s">
        <v>31</v>
      </c>
      <c r="C2" s="5">
        <v>10</v>
      </c>
      <c r="D2" s="5" t="s">
        <v>32</v>
      </c>
      <c r="E2" s="5" t="s">
        <v>33</v>
      </c>
      <c r="F2" s="5" t="s">
        <v>34</v>
      </c>
      <c r="G2" s="5" t="s">
        <v>11</v>
      </c>
      <c r="H2" s="5" t="s">
        <v>35</v>
      </c>
      <c r="I2" s="5" t="s">
        <v>36</v>
      </c>
      <c r="J2" s="5" t="s">
        <v>37</v>
      </c>
      <c r="L2" s="4">
        <v>0</v>
      </c>
      <c r="M2" s="5" t="s">
        <v>31</v>
      </c>
      <c r="N2" s="5">
        <v>10</v>
      </c>
      <c r="O2" s="8" t="str">
        <f t="shared" ref="O2:O14" si="0">SUBSTITUTE(SUBSTITUTE(SUBSTITUTE(D2,".","#"),",","."),"#",",")</f>
        <v>2.320 TEU</v>
      </c>
      <c r="P2" s="8" t="str">
        <f t="shared" ref="P2:P14" si="1">SUBSTITUTE(SUBSTITUTE(SUBSTITUTE(J2,".","#"),",","."),"#",",")</f>
        <v>2,02 €</v>
      </c>
      <c r="Q2" s="8" t="str">
        <f t="shared" ref="Q2:Q14" si="2">SUBSTITUTE(SUBSTITUTE(SUBSTITUTE(E2,".","#"),",","."),"#",",")</f>
        <v>46 TEU</v>
      </c>
      <c r="R2" s="8" t="str">
        <f t="shared" ref="R2:R14" si="3">SUBSTITUTE(SUBSTITUTE(SUBSTITUTE(F2,".","#"),",","."),"#",",")</f>
        <v>2.137 TEU</v>
      </c>
      <c r="S2" s="8" t="str">
        <f t="shared" ref="S2:S14" si="4">SUBSTITUTE(SUBSTITUTE(SUBSTITUTE(G2,".","#"),",","."),"#",",")</f>
        <v>98 TEU</v>
      </c>
      <c r="T2" s="8" t="str">
        <f t="shared" ref="T2:T14" si="5">SUBSTITUTE(SUBSTITUTE(SUBSTITUTE(H2,".","#"),",","."),"#",",")</f>
        <v>39 TEU</v>
      </c>
      <c r="U2" s="8" t="str">
        <f t="shared" ref="U2:U14" si="6">SUBSTITUTE(SUBSTITUTE(SUBSTITUTE(I2,".","#"),",","."),"#",",")</f>
        <v>96,86%</v>
      </c>
      <c r="W2" s="8">
        <v>0</v>
      </c>
      <c r="X2" s="8" t="s">
        <v>31</v>
      </c>
      <c r="Y2" s="8">
        <v>10</v>
      </c>
      <c r="Z2" s="8" t="s">
        <v>94</v>
      </c>
      <c r="AA2" s="8" t="s">
        <v>97</v>
      </c>
      <c r="AB2" s="8" t="s">
        <v>33</v>
      </c>
      <c r="AC2" s="8" t="s">
        <v>95</v>
      </c>
      <c r="AD2" s="8" t="s">
        <v>11</v>
      </c>
      <c r="AE2" s="8" t="s">
        <v>35</v>
      </c>
      <c r="AF2" s="8" t="s">
        <v>96</v>
      </c>
    </row>
    <row r="3" spans="1:32" ht="22.5">
      <c r="A3" s="4">
        <v>1</v>
      </c>
      <c r="B3" s="5" t="s">
        <v>38</v>
      </c>
      <c r="C3" s="5">
        <v>13</v>
      </c>
      <c r="D3" s="5" t="s">
        <v>39</v>
      </c>
      <c r="E3" s="5" t="s">
        <v>40</v>
      </c>
      <c r="F3" s="5" t="s">
        <v>41</v>
      </c>
      <c r="G3" s="5" t="s">
        <v>11</v>
      </c>
      <c r="H3" s="5" t="s">
        <v>42</v>
      </c>
      <c r="I3" s="5" t="s">
        <v>43</v>
      </c>
      <c r="J3" s="5" t="s">
        <v>37</v>
      </c>
      <c r="L3" s="4">
        <v>1</v>
      </c>
      <c r="M3" s="5" t="s">
        <v>38</v>
      </c>
      <c r="N3" s="5">
        <v>13</v>
      </c>
      <c r="O3" s="8" t="str">
        <f t="shared" si="0"/>
        <v>2.322 TEU</v>
      </c>
      <c r="P3" s="8" t="str">
        <f t="shared" si="1"/>
        <v>2,02 €</v>
      </c>
      <c r="Q3" s="8" t="str">
        <f t="shared" si="2"/>
        <v>37 TEU</v>
      </c>
      <c r="R3" s="8" t="str">
        <f t="shared" si="3"/>
        <v>2.154 TEU</v>
      </c>
      <c r="S3" s="8" t="str">
        <f t="shared" si="4"/>
        <v>98 TEU</v>
      </c>
      <c r="T3" s="8" t="str">
        <f t="shared" si="5"/>
        <v>33 TEU</v>
      </c>
      <c r="U3" s="8" t="str">
        <f t="shared" si="6"/>
        <v>96,02%</v>
      </c>
      <c r="W3" s="8">
        <v>1</v>
      </c>
      <c r="X3" s="8" t="s">
        <v>38</v>
      </c>
      <c r="Y3" s="8">
        <v>13</v>
      </c>
      <c r="Z3" s="8" t="s">
        <v>98</v>
      </c>
      <c r="AA3" s="8" t="s">
        <v>97</v>
      </c>
      <c r="AB3" s="8" t="s">
        <v>40</v>
      </c>
      <c r="AC3" s="8" t="s">
        <v>99</v>
      </c>
      <c r="AD3" s="8" t="s">
        <v>11</v>
      </c>
      <c r="AE3" s="8" t="s">
        <v>42</v>
      </c>
      <c r="AF3" s="8" t="s">
        <v>100</v>
      </c>
    </row>
    <row r="4" spans="1:32" ht="22.5">
      <c r="A4" s="4">
        <v>2</v>
      </c>
      <c r="B4" s="5" t="s">
        <v>44</v>
      </c>
      <c r="C4" s="5">
        <v>13</v>
      </c>
      <c r="D4" s="5" t="s">
        <v>45</v>
      </c>
      <c r="E4" s="5" t="s">
        <v>35</v>
      </c>
      <c r="F4" s="5" t="s">
        <v>46</v>
      </c>
      <c r="G4" s="5" t="s">
        <v>11</v>
      </c>
      <c r="H4" s="5" t="s">
        <v>47</v>
      </c>
      <c r="I4" s="5" t="s">
        <v>48</v>
      </c>
      <c r="J4" s="5" t="s">
        <v>37</v>
      </c>
      <c r="L4" s="4">
        <v>2</v>
      </c>
      <c r="M4" s="5" t="s">
        <v>44</v>
      </c>
      <c r="N4" s="5">
        <v>13</v>
      </c>
      <c r="O4" s="8" t="str">
        <f t="shared" si="0"/>
        <v>2.323 TEU</v>
      </c>
      <c r="P4" s="8" t="str">
        <f t="shared" si="1"/>
        <v>2,02 €</v>
      </c>
      <c r="Q4" s="8" t="str">
        <f t="shared" si="2"/>
        <v>39 TEU</v>
      </c>
      <c r="R4" s="8" t="str">
        <f t="shared" si="3"/>
        <v>2.152 TEU</v>
      </c>
      <c r="S4" s="8" t="str">
        <f t="shared" si="4"/>
        <v>98 TEU</v>
      </c>
      <c r="T4" s="8" t="str">
        <f t="shared" si="5"/>
        <v>34 TEU</v>
      </c>
      <c r="U4" s="8" t="str">
        <f t="shared" si="6"/>
        <v>96,12%</v>
      </c>
      <c r="W4" s="8">
        <v>2</v>
      </c>
      <c r="X4" s="8" t="s">
        <v>44</v>
      </c>
      <c r="Y4" s="8">
        <v>13</v>
      </c>
      <c r="Z4" s="8" t="s">
        <v>101</v>
      </c>
      <c r="AA4" s="8" t="s">
        <v>97</v>
      </c>
      <c r="AB4" s="8" t="s">
        <v>35</v>
      </c>
      <c r="AC4" s="8" t="s">
        <v>102</v>
      </c>
      <c r="AD4" s="8" t="s">
        <v>11</v>
      </c>
      <c r="AE4" s="8" t="s">
        <v>47</v>
      </c>
      <c r="AF4" s="8" t="s">
        <v>103</v>
      </c>
    </row>
    <row r="5" spans="1:32" ht="22.5">
      <c r="A5" s="4">
        <v>3</v>
      </c>
      <c r="B5" s="5" t="s">
        <v>49</v>
      </c>
      <c r="C5" s="5">
        <v>9</v>
      </c>
      <c r="D5" s="5" t="s">
        <v>45</v>
      </c>
      <c r="E5" s="5" t="s">
        <v>50</v>
      </c>
      <c r="F5" s="5" t="s">
        <v>51</v>
      </c>
      <c r="G5" s="5" t="s">
        <v>11</v>
      </c>
      <c r="H5" s="5" t="s">
        <v>52</v>
      </c>
      <c r="I5" s="5" t="s">
        <v>53</v>
      </c>
      <c r="J5" s="5" t="s">
        <v>37</v>
      </c>
      <c r="L5" s="4">
        <v>3</v>
      </c>
      <c r="M5" s="5" t="s">
        <v>49</v>
      </c>
      <c r="N5" s="5">
        <v>9</v>
      </c>
      <c r="O5" s="8" t="str">
        <f t="shared" si="0"/>
        <v>2.323 TEU</v>
      </c>
      <c r="P5" s="8" t="str">
        <f t="shared" si="1"/>
        <v>2,02 €</v>
      </c>
      <c r="Q5" s="8" t="str">
        <f t="shared" si="2"/>
        <v>51 TEU</v>
      </c>
      <c r="R5" s="8" t="str">
        <f t="shared" si="3"/>
        <v>2.132 TEU</v>
      </c>
      <c r="S5" s="8" t="str">
        <f t="shared" si="4"/>
        <v>98 TEU</v>
      </c>
      <c r="T5" s="8" t="str">
        <f t="shared" si="5"/>
        <v>42 TEU</v>
      </c>
      <c r="U5" s="8" t="str">
        <f t="shared" si="6"/>
        <v>97,10%</v>
      </c>
      <c r="W5" s="8">
        <v>3</v>
      </c>
      <c r="X5" s="8" t="s">
        <v>49</v>
      </c>
      <c r="Y5" s="8">
        <v>9</v>
      </c>
      <c r="Z5" s="8" t="s">
        <v>101</v>
      </c>
      <c r="AA5" s="8" t="s">
        <v>97</v>
      </c>
      <c r="AB5" s="8" t="s">
        <v>50</v>
      </c>
      <c r="AC5" s="8" t="s">
        <v>104</v>
      </c>
      <c r="AD5" s="8" t="s">
        <v>11</v>
      </c>
      <c r="AE5" s="8" t="s">
        <v>52</v>
      </c>
      <c r="AF5" s="8" t="s">
        <v>105</v>
      </c>
    </row>
    <row r="6" spans="1:32" ht="22.5">
      <c r="A6" s="4">
        <v>4</v>
      </c>
      <c r="B6" s="5" t="s">
        <v>54</v>
      </c>
      <c r="C6" s="5">
        <v>10</v>
      </c>
      <c r="D6" s="5" t="s">
        <v>55</v>
      </c>
      <c r="E6" s="5" t="s">
        <v>56</v>
      </c>
      <c r="F6" s="5" t="s">
        <v>57</v>
      </c>
      <c r="G6" s="5" t="s">
        <v>11</v>
      </c>
      <c r="H6" s="5" t="s">
        <v>35</v>
      </c>
      <c r="I6" s="5" t="s">
        <v>58</v>
      </c>
      <c r="J6" s="5" t="s">
        <v>37</v>
      </c>
      <c r="L6" s="4">
        <v>4</v>
      </c>
      <c r="M6" s="5" t="s">
        <v>54</v>
      </c>
      <c r="N6" s="5">
        <v>10</v>
      </c>
      <c r="O6" s="8" t="str">
        <f t="shared" si="0"/>
        <v>2.324 TEU</v>
      </c>
      <c r="P6" s="8" t="str">
        <f t="shared" si="1"/>
        <v>2,02 €</v>
      </c>
      <c r="Q6" s="8" t="str">
        <f t="shared" si="2"/>
        <v>48 TEU</v>
      </c>
      <c r="R6" s="8" t="str">
        <f t="shared" si="3"/>
        <v>2.138 TEU</v>
      </c>
      <c r="S6" s="8" t="str">
        <f t="shared" si="4"/>
        <v>98 TEU</v>
      </c>
      <c r="T6" s="8" t="str">
        <f t="shared" si="5"/>
        <v>39 TEU</v>
      </c>
      <c r="U6" s="8" t="str">
        <f t="shared" si="6"/>
        <v>96,82%</v>
      </c>
      <c r="W6" s="8">
        <v>4</v>
      </c>
      <c r="X6" s="8" t="s">
        <v>54</v>
      </c>
      <c r="Y6" s="8">
        <v>10</v>
      </c>
      <c r="Z6" s="8" t="s">
        <v>106</v>
      </c>
      <c r="AA6" s="8" t="s">
        <v>97</v>
      </c>
      <c r="AB6" s="8" t="s">
        <v>56</v>
      </c>
      <c r="AC6" s="8" t="s">
        <v>107</v>
      </c>
      <c r="AD6" s="8" t="s">
        <v>11</v>
      </c>
      <c r="AE6" s="8" t="s">
        <v>35</v>
      </c>
      <c r="AF6" s="8" t="s">
        <v>108</v>
      </c>
    </row>
    <row r="7" spans="1:32" ht="22.5">
      <c r="A7" s="4">
        <v>5</v>
      </c>
      <c r="B7" s="5" t="s">
        <v>59</v>
      </c>
      <c r="C7" s="5">
        <v>10</v>
      </c>
      <c r="D7" s="5" t="s">
        <v>60</v>
      </c>
      <c r="E7" s="5" t="s">
        <v>56</v>
      </c>
      <c r="F7" s="5" t="s">
        <v>61</v>
      </c>
      <c r="G7" s="5" t="s">
        <v>11</v>
      </c>
      <c r="H7" s="5" t="s">
        <v>35</v>
      </c>
      <c r="I7" s="5" t="s">
        <v>62</v>
      </c>
      <c r="J7" s="5" t="s">
        <v>37</v>
      </c>
      <c r="L7" s="4">
        <v>5</v>
      </c>
      <c r="M7" s="5" t="s">
        <v>59</v>
      </c>
      <c r="N7" s="5">
        <v>10</v>
      </c>
      <c r="O7" s="8" t="str">
        <f t="shared" si="0"/>
        <v>2.325 TEU</v>
      </c>
      <c r="P7" s="8" t="str">
        <f t="shared" si="1"/>
        <v>2,02 €</v>
      </c>
      <c r="Q7" s="8" t="str">
        <f t="shared" si="2"/>
        <v>48 TEU</v>
      </c>
      <c r="R7" s="8" t="str">
        <f t="shared" si="3"/>
        <v>2.139 TEU</v>
      </c>
      <c r="S7" s="8" t="str">
        <f t="shared" si="4"/>
        <v>98 TEU</v>
      </c>
      <c r="T7" s="8" t="str">
        <f t="shared" si="5"/>
        <v>39 TEU</v>
      </c>
      <c r="U7" s="8" t="str">
        <f t="shared" si="6"/>
        <v>96,77%</v>
      </c>
      <c r="W7" s="8">
        <v>5</v>
      </c>
      <c r="X7" s="8" t="s">
        <v>59</v>
      </c>
      <c r="Y7" s="8">
        <v>10</v>
      </c>
      <c r="Z7" s="8" t="s">
        <v>109</v>
      </c>
      <c r="AA7" s="8" t="s">
        <v>97</v>
      </c>
      <c r="AB7" s="8" t="s">
        <v>56</v>
      </c>
      <c r="AC7" s="8" t="s">
        <v>110</v>
      </c>
      <c r="AD7" s="8" t="s">
        <v>11</v>
      </c>
      <c r="AE7" s="8" t="s">
        <v>35</v>
      </c>
      <c r="AF7" s="8" t="s">
        <v>111</v>
      </c>
    </row>
    <row r="8" spans="1:32" ht="22.5">
      <c r="A8" s="4">
        <v>6</v>
      </c>
      <c r="B8" s="5" t="s">
        <v>63</v>
      </c>
      <c r="C8" s="5">
        <v>9</v>
      </c>
      <c r="D8" s="5" t="s">
        <v>60</v>
      </c>
      <c r="E8" s="5" t="s">
        <v>64</v>
      </c>
      <c r="F8" s="5" t="s">
        <v>65</v>
      </c>
      <c r="G8" s="5" t="s">
        <v>11</v>
      </c>
      <c r="H8" s="5" t="s">
        <v>52</v>
      </c>
      <c r="I8" s="5" t="s">
        <v>66</v>
      </c>
      <c r="J8" s="5" t="s">
        <v>37</v>
      </c>
      <c r="L8" s="4">
        <v>6</v>
      </c>
      <c r="M8" s="5" t="s">
        <v>63</v>
      </c>
      <c r="N8" s="5">
        <v>9</v>
      </c>
      <c r="O8" s="8" t="str">
        <f t="shared" si="0"/>
        <v>2.325 TEU</v>
      </c>
      <c r="P8" s="8" t="str">
        <f t="shared" si="1"/>
        <v>2,02 €</v>
      </c>
      <c r="Q8" s="8" t="str">
        <f t="shared" si="2"/>
        <v>55 TEU</v>
      </c>
      <c r="R8" s="8" t="str">
        <f t="shared" si="3"/>
        <v>2.130 TEU</v>
      </c>
      <c r="S8" s="8" t="str">
        <f t="shared" si="4"/>
        <v>98 TEU</v>
      </c>
      <c r="T8" s="8" t="str">
        <f t="shared" si="5"/>
        <v>42 TEU</v>
      </c>
      <c r="U8" s="8" t="str">
        <f t="shared" si="6"/>
        <v>97,21%</v>
      </c>
      <c r="W8" s="8">
        <v>6</v>
      </c>
      <c r="X8" s="8" t="s">
        <v>63</v>
      </c>
      <c r="Y8" s="8">
        <v>9</v>
      </c>
      <c r="Z8" s="8" t="s">
        <v>109</v>
      </c>
      <c r="AA8" s="8" t="s">
        <v>97</v>
      </c>
      <c r="AB8" s="8" t="s">
        <v>64</v>
      </c>
      <c r="AC8" s="8" t="s">
        <v>112</v>
      </c>
      <c r="AD8" s="8" t="s">
        <v>11</v>
      </c>
      <c r="AE8" s="8" t="s">
        <v>52</v>
      </c>
      <c r="AF8" s="8" t="s">
        <v>113</v>
      </c>
    </row>
    <row r="9" spans="1:32" ht="22.5">
      <c r="A9" s="4">
        <v>7</v>
      </c>
      <c r="B9" s="5" t="s">
        <v>67</v>
      </c>
      <c r="C9" s="5">
        <v>9</v>
      </c>
      <c r="D9" s="5" t="s">
        <v>60</v>
      </c>
      <c r="E9" s="5" t="s">
        <v>68</v>
      </c>
      <c r="F9" s="5" t="s">
        <v>69</v>
      </c>
      <c r="G9" s="5" t="s">
        <v>11</v>
      </c>
      <c r="H9" s="5" t="s">
        <v>70</v>
      </c>
      <c r="I9" s="5" t="s">
        <v>71</v>
      </c>
      <c r="J9" s="5" t="s">
        <v>37</v>
      </c>
      <c r="L9" s="4">
        <v>7</v>
      </c>
      <c r="M9" s="5" t="s">
        <v>67</v>
      </c>
      <c r="N9" s="5">
        <v>9</v>
      </c>
      <c r="O9" s="8" t="str">
        <f t="shared" si="0"/>
        <v>2.325 TEU</v>
      </c>
      <c r="P9" s="8" t="str">
        <f t="shared" si="1"/>
        <v>2,02 €</v>
      </c>
      <c r="Q9" s="8" t="str">
        <f t="shared" si="2"/>
        <v>53 TEU</v>
      </c>
      <c r="R9" s="8" t="str">
        <f t="shared" si="3"/>
        <v>2.131 TEU</v>
      </c>
      <c r="S9" s="8" t="str">
        <f t="shared" si="4"/>
        <v>98 TEU</v>
      </c>
      <c r="T9" s="8" t="str">
        <f t="shared" si="5"/>
        <v>43 TEU</v>
      </c>
      <c r="U9" s="8" t="str">
        <f t="shared" si="6"/>
        <v>97,16%</v>
      </c>
      <c r="W9" s="8">
        <v>7</v>
      </c>
      <c r="X9" s="8" t="s">
        <v>67</v>
      </c>
      <c r="Y9" s="8">
        <v>9</v>
      </c>
      <c r="Z9" s="8" t="s">
        <v>109</v>
      </c>
      <c r="AA9" s="8" t="s">
        <v>97</v>
      </c>
      <c r="AB9" s="8" t="s">
        <v>68</v>
      </c>
      <c r="AC9" s="8" t="s">
        <v>114</v>
      </c>
      <c r="AD9" s="8" t="s">
        <v>11</v>
      </c>
      <c r="AE9" s="8" t="s">
        <v>70</v>
      </c>
      <c r="AF9" s="8" t="s">
        <v>115</v>
      </c>
    </row>
    <row r="10" spans="1:32" ht="22.5">
      <c r="A10" s="4">
        <v>8</v>
      </c>
      <c r="B10" s="5" t="s">
        <v>72</v>
      </c>
      <c r="C10" s="5">
        <v>14</v>
      </c>
      <c r="D10" s="5" t="s">
        <v>73</v>
      </c>
      <c r="E10" s="5" t="s">
        <v>74</v>
      </c>
      <c r="F10" s="5" t="s">
        <v>75</v>
      </c>
      <c r="G10" s="5" t="s">
        <v>11</v>
      </c>
      <c r="H10" s="5" t="s">
        <v>76</v>
      </c>
      <c r="I10" s="5" t="s">
        <v>77</v>
      </c>
      <c r="J10" s="5" t="s">
        <v>37</v>
      </c>
      <c r="L10" s="4">
        <v>8</v>
      </c>
      <c r="M10" s="5" t="s">
        <v>72</v>
      </c>
      <c r="N10" s="5">
        <v>14</v>
      </c>
      <c r="O10" s="8" t="str">
        <f t="shared" si="0"/>
        <v>2.327 TEU</v>
      </c>
      <c r="P10" s="8" t="str">
        <f t="shared" si="1"/>
        <v>2,02 €</v>
      </c>
      <c r="Q10" s="8" t="str">
        <f t="shared" si="2"/>
        <v>38 TEU</v>
      </c>
      <c r="R10" s="8" t="str">
        <f t="shared" si="3"/>
        <v>2.159 TEU</v>
      </c>
      <c r="S10" s="8" t="str">
        <f t="shared" si="4"/>
        <v>98 TEU</v>
      </c>
      <c r="T10" s="8" t="str">
        <f t="shared" si="5"/>
        <v>32 TEU</v>
      </c>
      <c r="U10" s="8" t="str">
        <f t="shared" si="6"/>
        <v>95,80%</v>
      </c>
      <c r="W10" s="8">
        <v>8</v>
      </c>
      <c r="X10" s="8" t="s">
        <v>72</v>
      </c>
      <c r="Y10" s="8">
        <v>14</v>
      </c>
      <c r="Z10" s="8" t="s">
        <v>116</v>
      </c>
      <c r="AA10" s="8" t="s">
        <v>97</v>
      </c>
      <c r="AB10" s="8" t="s">
        <v>74</v>
      </c>
      <c r="AC10" s="8" t="s">
        <v>117</v>
      </c>
      <c r="AD10" s="8" t="s">
        <v>11</v>
      </c>
      <c r="AE10" s="8" t="s">
        <v>76</v>
      </c>
      <c r="AF10" s="8" t="s">
        <v>118</v>
      </c>
    </row>
    <row r="11" spans="1:32" ht="22.5">
      <c r="A11" s="4">
        <v>9</v>
      </c>
      <c r="B11" s="5" t="s">
        <v>78</v>
      </c>
      <c r="C11" s="5">
        <v>15</v>
      </c>
      <c r="D11" s="11" t="s">
        <v>73</v>
      </c>
      <c r="E11" s="5" t="s">
        <v>42</v>
      </c>
      <c r="F11" s="5" t="s">
        <v>79</v>
      </c>
      <c r="G11" s="5" t="s">
        <v>11</v>
      </c>
      <c r="H11" s="5" t="s">
        <v>80</v>
      </c>
      <c r="I11" s="5" t="s">
        <v>81</v>
      </c>
      <c r="J11" s="5" t="s">
        <v>37</v>
      </c>
      <c r="L11" s="4">
        <v>9</v>
      </c>
      <c r="M11" s="5" t="s">
        <v>78</v>
      </c>
      <c r="N11" s="5">
        <v>15</v>
      </c>
      <c r="O11" s="8" t="str">
        <f t="shared" si="0"/>
        <v>2.327 TEU</v>
      </c>
      <c r="P11" s="8" t="str">
        <f t="shared" si="1"/>
        <v>2,02 €</v>
      </c>
      <c r="Q11" s="8" t="str">
        <f t="shared" si="2"/>
        <v>33 TEU</v>
      </c>
      <c r="R11" s="8" t="str">
        <f t="shared" si="3"/>
        <v>2.166 TEU</v>
      </c>
      <c r="S11" s="8" t="str">
        <f t="shared" si="4"/>
        <v>98 TEU</v>
      </c>
      <c r="T11" s="8" t="str">
        <f t="shared" si="5"/>
        <v>30 TEU</v>
      </c>
      <c r="U11" s="8" t="str">
        <f t="shared" si="6"/>
        <v>95,44%</v>
      </c>
      <c r="W11" s="8">
        <v>9</v>
      </c>
      <c r="X11" s="8" t="s">
        <v>78</v>
      </c>
      <c r="Y11" s="8">
        <v>15</v>
      </c>
      <c r="Z11" s="8" t="s">
        <v>116</v>
      </c>
      <c r="AA11" s="8" t="s">
        <v>97</v>
      </c>
      <c r="AB11" s="8" t="s">
        <v>42</v>
      </c>
      <c r="AC11" s="8" t="s">
        <v>119</v>
      </c>
      <c r="AD11" s="8" t="s">
        <v>11</v>
      </c>
      <c r="AE11" s="8" t="s">
        <v>80</v>
      </c>
      <c r="AF11" s="8" t="s">
        <v>120</v>
      </c>
    </row>
    <row r="12" spans="1:32" ht="22.5">
      <c r="A12" s="4">
        <v>61</v>
      </c>
      <c r="B12" s="5" t="s">
        <v>82</v>
      </c>
      <c r="C12" s="5">
        <v>186</v>
      </c>
      <c r="D12" s="5" t="s">
        <v>83</v>
      </c>
      <c r="E12" s="5" t="s">
        <v>16</v>
      </c>
      <c r="F12" s="5" t="s">
        <v>84</v>
      </c>
      <c r="G12" s="5" t="s">
        <v>11</v>
      </c>
      <c r="H12" s="5" t="s">
        <v>85</v>
      </c>
      <c r="I12" s="5" t="s">
        <v>86</v>
      </c>
      <c r="J12" s="5" t="s">
        <v>87</v>
      </c>
      <c r="L12" s="4">
        <v>61</v>
      </c>
      <c r="M12" s="5" t="s">
        <v>82</v>
      </c>
      <c r="N12" s="5">
        <v>186</v>
      </c>
      <c r="O12" s="8" t="str">
        <f t="shared" si="0"/>
        <v>3.736 TEU</v>
      </c>
      <c r="P12" s="8" t="str">
        <f t="shared" si="1"/>
        <v>3,25 €</v>
      </c>
      <c r="Q12" s="8" t="str">
        <f t="shared" si="2"/>
        <v>9 TEU</v>
      </c>
      <c r="R12" s="8" t="str">
        <f t="shared" si="3"/>
        <v>3.607 TEU</v>
      </c>
      <c r="S12" s="8" t="str">
        <f t="shared" si="4"/>
        <v>98 TEU</v>
      </c>
      <c r="T12" s="8" t="str">
        <f t="shared" si="5"/>
        <v>22 TEU</v>
      </c>
      <c r="U12" s="8" t="str">
        <f t="shared" si="6"/>
        <v>55,27%</v>
      </c>
      <c r="W12" s="8">
        <v>61</v>
      </c>
      <c r="X12" s="8" t="s">
        <v>82</v>
      </c>
      <c r="Y12" s="8">
        <v>186</v>
      </c>
      <c r="Z12" s="8" t="s">
        <v>121</v>
      </c>
      <c r="AA12" s="8" t="s">
        <v>124</v>
      </c>
      <c r="AB12" s="8" t="s">
        <v>16</v>
      </c>
      <c r="AC12" s="8" t="s">
        <v>122</v>
      </c>
      <c r="AD12" s="8" t="s">
        <v>11</v>
      </c>
      <c r="AE12" s="8" t="s">
        <v>85</v>
      </c>
      <c r="AF12" s="8" t="s">
        <v>123</v>
      </c>
    </row>
    <row r="13" spans="1:32" ht="22.5">
      <c r="A13" s="4">
        <v>62</v>
      </c>
      <c r="B13" s="5" t="s">
        <v>88</v>
      </c>
      <c r="C13" s="5">
        <v>188</v>
      </c>
      <c r="D13" s="5" t="s">
        <v>89</v>
      </c>
      <c r="E13" s="5" t="s">
        <v>16</v>
      </c>
      <c r="F13" s="5" t="s">
        <v>90</v>
      </c>
      <c r="G13" s="5" t="s">
        <v>11</v>
      </c>
      <c r="H13" s="5" t="s">
        <v>18</v>
      </c>
      <c r="I13" s="5" t="s">
        <v>91</v>
      </c>
      <c r="J13" s="5" t="s">
        <v>92</v>
      </c>
      <c r="L13" s="4">
        <v>62</v>
      </c>
      <c r="M13" s="5" t="s">
        <v>88</v>
      </c>
      <c r="N13" s="5">
        <v>188</v>
      </c>
      <c r="O13" s="8" t="str">
        <f t="shared" si="0"/>
        <v>3.760 TEU</v>
      </c>
      <c r="P13" s="8" t="str">
        <f t="shared" si="1"/>
        <v>3,27 €</v>
      </c>
      <c r="Q13" s="8" t="str">
        <f t="shared" si="2"/>
        <v>9 TEU</v>
      </c>
      <c r="R13" s="8" t="str">
        <f t="shared" si="3"/>
        <v>3.631 TEU</v>
      </c>
      <c r="S13" s="8" t="str">
        <f t="shared" si="4"/>
        <v>98 TEU</v>
      </c>
      <c r="T13" s="8" t="str">
        <f t="shared" si="5"/>
        <v>23 TEU</v>
      </c>
      <c r="U13" s="8" t="str">
        <f t="shared" si="6"/>
        <v>54,89%</v>
      </c>
      <c r="W13" s="8">
        <v>62</v>
      </c>
      <c r="X13" s="8" t="s">
        <v>88</v>
      </c>
      <c r="Y13" s="8">
        <v>188</v>
      </c>
      <c r="Z13" s="8" t="s">
        <v>125</v>
      </c>
      <c r="AA13" s="8" t="s">
        <v>128</v>
      </c>
      <c r="AB13" s="8" t="s">
        <v>16</v>
      </c>
      <c r="AC13" s="8" t="s">
        <v>126</v>
      </c>
      <c r="AD13" s="8" t="s">
        <v>11</v>
      </c>
      <c r="AE13" s="8" t="s">
        <v>18</v>
      </c>
      <c r="AF13" s="8" t="s">
        <v>127</v>
      </c>
    </row>
    <row r="14" spans="1:32" ht="22.5">
      <c r="A14" s="4">
        <v>63</v>
      </c>
      <c r="B14" s="5" t="s">
        <v>93</v>
      </c>
      <c r="C14" s="5">
        <v>189</v>
      </c>
      <c r="D14" s="5" t="s">
        <v>15</v>
      </c>
      <c r="E14" s="5" t="s">
        <v>16</v>
      </c>
      <c r="F14" s="5" t="s">
        <v>17</v>
      </c>
      <c r="G14" s="5" t="s">
        <v>11</v>
      </c>
      <c r="H14" s="5" t="s">
        <v>18</v>
      </c>
      <c r="I14" s="5" t="s">
        <v>19</v>
      </c>
      <c r="J14" s="5" t="s">
        <v>20</v>
      </c>
      <c r="L14" s="4">
        <v>63</v>
      </c>
      <c r="M14" s="5" t="s">
        <v>93</v>
      </c>
      <c r="N14" s="5">
        <v>189</v>
      </c>
      <c r="O14" s="8" t="str">
        <f t="shared" si="0"/>
        <v>3.772 TEU</v>
      </c>
      <c r="P14" s="8" t="str">
        <f t="shared" si="1"/>
        <v>3,28 €</v>
      </c>
      <c r="Q14" s="8" t="str">
        <f t="shared" si="2"/>
        <v>9 TEU</v>
      </c>
      <c r="R14" s="8" t="str">
        <f t="shared" si="3"/>
        <v>3.643 TEU</v>
      </c>
      <c r="S14" s="8" t="str">
        <f t="shared" si="4"/>
        <v>98 TEU</v>
      </c>
      <c r="T14" s="8" t="str">
        <f t="shared" si="5"/>
        <v>23 TEU</v>
      </c>
      <c r="U14" s="8" t="str">
        <f t="shared" si="6"/>
        <v>54,69%</v>
      </c>
      <c r="W14" s="8">
        <v>63</v>
      </c>
      <c r="X14" s="8" t="s">
        <v>93</v>
      </c>
      <c r="Y14" s="8">
        <v>189</v>
      </c>
      <c r="Z14" s="8" t="s">
        <v>25</v>
      </c>
      <c r="AA14" s="8" t="s">
        <v>130</v>
      </c>
      <c r="AB14" s="8" t="s">
        <v>16</v>
      </c>
      <c r="AC14" s="8" t="s">
        <v>27</v>
      </c>
      <c r="AD14" s="8" t="s">
        <v>11</v>
      </c>
      <c r="AE14" s="8" t="s">
        <v>18</v>
      </c>
      <c r="AF14" s="8" t="s">
        <v>129</v>
      </c>
    </row>
    <row r="20" spans="13:26">
      <c r="N20" s="8">
        <v>0</v>
      </c>
      <c r="O20" s="8">
        <v>1</v>
      </c>
      <c r="P20" s="8">
        <v>2</v>
      </c>
      <c r="Q20" s="8">
        <v>3</v>
      </c>
      <c r="R20" s="8">
        <v>4</v>
      </c>
      <c r="S20" s="8">
        <v>5</v>
      </c>
      <c r="T20" s="8">
        <v>6</v>
      </c>
      <c r="U20" s="8">
        <v>7</v>
      </c>
      <c r="V20" s="8">
        <v>8</v>
      </c>
      <c r="W20" s="8">
        <v>9</v>
      </c>
      <c r="X20" s="8">
        <v>61</v>
      </c>
      <c r="Y20" s="8">
        <v>62</v>
      </c>
      <c r="Z20" s="8">
        <v>63</v>
      </c>
    </row>
    <row r="21" spans="13:26">
      <c r="M21" s="8" t="s">
        <v>0</v>
      </c>
      <c r="N21" s="8" t="s">
        <v>31</v>
      </c>
      <c r="O21" s="8" t="s">
        <v>38</v>
      </c>
      <c r="P21" s="8" t="s">
        <v>44</v>
      </c>
      <c r="Q21" s="8" t="s">
        <v>49</v>
      </c>
      <c r="R21" s="8" t="s">
        <v>54</v>
      </c>
      <c r="S21" s="8" t="s">
        <v>59</v>
      </c>
      <c r="T21" s="8" t="s">
        <v>63</v>
      </c>
      <c r="U21" s="8" t="s">
        <v>67</v>
      </c>
      <c r="V21" s="8" t="s">
        <v>72</v>
      </c>
      <c r="W21" s="8" t="s">
        <v>78</v>
      </c>
      <c r="X21" s="8" t="s">
        <v>82</v>
      </c>
      <c r="Y21" s="8" t="s">
        <v>88</v>
      </c>
      <c r="Z21" s="8" t="s">
        <v>93</v>
      </c>
    </row>
    <row r="22" spans="13:26">
      <c r="M22" s="8" t="s">
        <v>1</v>
      </c>
      <c r="N22" s="8">
        <v>10</v>
      </c>
      <c r="O22" s="8">
        <v>13</v>
      </c>
      <c r="P22" s="8">
        <v>13</v>
      </c>
      <c r="Q22" s="8">
        <v>9</v>
      </c>
      <c r="R22" s="8">
        <v>10</v>
      </c>
      <c r="S22" s="8">
        <v>10</v>
      </c>
      <c r="T22" s="8">
        <v>9</v>
      </c>
      <c r="U22" s="8">
        <v>9</v>
      </c>
      <c r="V22" s="8">
        <v>14</v>
      </c>
      <c r="W22" s="8">
        <v>15</v>
      </c>
      <c r="X22" s="8">
        <v>186</v>
      </c>
      <c r="Y22" s="8">
        <v>188</v>
      </c>
      <c r="Z22" s="8">
        <v>189</v>
      </c>
    </row>
    <row r="23" spans="13:26">
      <c r="M23" s="8" t="s">
        <v>30</v>
      </c>
      <c r="N23" s="8" t="s">
        <v>94</v>
      </c>
      <c r="O23" s="8" t="s">
        <v>98</v>
      </c>
      <c r="P23" s="8" t="s">
        <v>101</v>
      </c>
      <c r="Q23" s="8" t="s">
        <v>101</v>
      </c>
      <c r="R23" s="8" t="s">
        <v>106</v>
      </c>
      <c r="S23" s="8" t="s">
        <v>109</v>
      </c>
      <c r="T23" s="8" t="s">
        <v>109</v>
      </c>
      <c r="U23" s="8" t="s">
        <v>109</v>
      </c>
      <c r="V23" s="8" t="s">
        <v>116</v>
      </c>
      <c r="W23" s="8" t="s">
        <v>116</v>
      </c>
      <c r="X23" s="8" t="s">
        <v>121</v>
      </c>
      <c r="Y23" s="8" t="s">
        <v>125</v>
      </c>
      <c r="Z23" s="8" t="s">
        <v>25</v>
      </c>
    </row>
    <row r="24" spans="13:26">
      <c r="M24" s="8" t="s">
        <v>7</v>
      </c>
      <c r="N24" s="8" t="s">
        <v>97</v>
      </c>
      <c r="O24" s="8" t="s">
        <v>97</v>
      </c>
      <c r="P24" s="8" t="s">
        <v>97</v>
      </c>
      <c r="Q24" s="8" t="s">
        <v>97</v>
      </c>
      <c r="R24" s="8" t="s">
        <v>97</v>
      </c>
      <c r="S24" s="8" t="s">
        <v>97</v>
      </c>
      <c r="T24" s="8" t="s">
        <v>97</v>
      </c>
      <c r="U24" s="8" t="s">
        <v>97</v>
      </c>
      <c r="V24" s="8" t="s">
        <v>97</v>
      </c>
      <c r="W24" s="8" t="s">
        <v>97</v>
      </c>
      <c r="X24" s="8" t="s">
        <v>124</v>
      </c>
      <c r="Y24" s="8" t="s">
        <v>128</v>
      </c>
      <c r="Z24" s="8" t="s">
        <v>130</v>
      </c>
    </row>
    <row r="25" spans="13:26">
      <c r="M25" s="8" t="s">
        <v>21</v>
      </c>
      <c r="N25" s="8" t="s">
        <v>33</v>
      </c>
      <c r="O25" s="8" t="s">
        <v>40</v>
      </c>
      <c r="P25" s="8" t="s">
        <v>35</v>
      </c>
      <c r="Q25" s="8" t="s">
        <v>50</v>
      </c>
      <c r="R25" s="8" t="s">
        <v>56</v>
      </c>
      <c r="S25" s="8" t="s">
        <v>56</v>
      </c>
      <c r="T25" s="8" t="s">
        <v>64</v>
      </c>
      <c r="U25" s="8" t="s">
        <v>68</v>
      </c>
      <c r="V25" s="8" t="s">
        <v>74</v>
      </c>
      <c r="W25" s="8" t="s">
        <v>42</v>
      </c>
      <c r="X25" s="8" t="s">
        <v>16</v>
      </c>
      <c r="Y25" s="8" t="s">
        <v>16</v>
      </c>
      <c r="Z25" s="8" t="s">
        <v>16</v>
      </c>
    </row>
    <row r="26" spans="13:26">
      <c r="M26" s="8" t="s">
        <v>29</v>
      </c>
      <c r="N26" s="8" t="s">
        <v>95</v>
      </c>
      <c r="O26" s="8" t="s">
        <v>99</v>
      </c>
      <c r="P26" s="8" t="s">
        <v>102</v>
      </c>
      <c r="Q26" s="8" t="s">
        <v>104</v>
      </c>
      <c r="R26" s="8" t="s">
        <v>107</v>
      </c>
      <c r="S26" s="8" t="s">
        <v>110</v>
      </c>
      <c r="T26" s="8" t="s">
        <v>112</v>
      </c>
      <c r="U26" s="8" t="s">
        <v>114</v>
      </c>
      <c r="V26" s="8" t="s">
        <v>117</v>
      </c>
      <c r="W26" s="8" t="s">
        <v>119</v>
      </c>
      <c r="X26" s="8" t="s">
        <v>122</v>
      </c>
      <c r="Y26" s="8" t="s">
        <v>126</v>
      </c>
      <c r="Z26" s="8" t="s">
        <v>27</v>
      </c>
    </row>
    <row r="27" spans="13:26">
      <c r="M27" s="8" t="s">
        <v>23</v>
      </c>
      <c r="N27" s="8" t="s">
        <v>11</v>
      </c>
      <c r="O27" s="8" t="s">
        <v>11</v>
      </c>
      <c r="P27" s="8" t="s">
        <v>11</v>
      </c>
      <c r="Q27" s="8" t="s">
        <v>11</v>
      </c>
      <c r="R27" s="8" t="s">
        <v>11</v>
      </c>
      <c r="S27" s="8" t="s">
        <v>11</v>
      </c>
      <c r="T27" s="8" t="s">
        <v>11</v>
      </c>
      <c r="U27" s="8" t="s">
        <v>11</v>
      </c>
      <c r="V27" s="8" t="s">
        <v>11</v>
      </c>
      <c r="W27" s="8" t="s">
        <v>11</v>
      </c>
      <c r="X27" s="8" t="s">
        <v>11</v>
      </c>
      <c r="Y27" s="8" t="s">
        <v>11</v>
      </c>
      <c r="Z27" s="8" t="s">
        <v>11</v>
      </c>
    </row>
    <row r="28" spans="13:26">
      <c r="M28" s="8" t="s">
        <v>22</v>
      </c>
      <c r="N28" s="8" t="s">
        <v>35</v>
      </c>
      <c r="O28" s="8" t="s">
        <v>42</v>
      </c>
      <c r="P28" s="8" t="s">
        <v>47</v>
      </c>
      <c r="Q28" s="8" t="s">
        <v>52</v>
      </c>
      <c r="R28" s="8" t="s">
        <v>35</v>
      </c>
      <c r="S28" s="8" t="s">
        <v>35</v>
      </c>
      <c r="T28" s="8" t="s">
        <v>52</v>
      </c>
      <c r="U28" s="8" t="s">
        <v>70</v>
      </c>
      <c r="V28" s="8" t="s">
        <v>76</v>
      </c>
      <c r="W28" s="8" t="s">
        <v>80</v>
      </c>
      <c r="X28" s="8" t="s">
        <v>85</v>
      </c>
      <c r="Y28" s="8" t="s">
        <v>18</v>
      </c>
      <c r="Z28" s="8" t="s">
        <v>18</v>
      </c>
    </row>
    <row r="29" spans="13:26">
      <c r="M29" s="8" t="s">
        <v>28</v>
      </c>
      <c r="N29" s="8" t="s">
        <v>96</v>
      </c>
      <c r="O29" s="8" t="s">
        <v>100</v>
      </c>
      <c r="P29" s="8" t="s">
        <v>103</v>
      </c>
      <c r="Q29" s="8" t="s">
        <v>105</v>
      </c>
      <c r="R29" s="8" t="s">
        <v>108</v>
      </c>
      <c r="S29" s="8" t="s">
        <v>111</v>
      </c>
      <c r="T29" s="8" t="s">
        <v>113</v>
      </c>
      <c r="U29" s="8" t="s">
        <v>115</v>
      </c>
      <c r="V29" s="8" t="s">
        <v>118</v>
      </c>
      <c r="W29" s="8" t="s">
        <v>120</v>
      </c>
      <c r="X29" s="8" t="s">
        <v>123</v>
      </c>
      <c r="Y29" s="8" t="s">
        <v>127</v>
      </c>
      <c r="Z29" s="8" t="s">
        <v>129</v>
      </c>
    </row>
    <row r="30" spans="13:26"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3:26"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3:26"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4:26">
      <c r="N33" s="10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4:26"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Herrmann</dc:creator>
  <cp:lastModifiedBy>Paolo Herrmann</cp:lastModifiedBy>
  <dcterms:created xsi:type="dcterms:W3CDTF">2026-01-05T19:16:04Z</dcterms:created>
  <dcterms:modified xsi:type="dcterms:W3CDTF">2026-01-09T17:56:12Z</dcterms:modified>
</cp:coreProperties>
</file>