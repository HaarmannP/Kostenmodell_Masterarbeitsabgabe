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ocuments\Uni\Masterarbeit\Python\Kostenmodell v9\"/>
    </mc:Choice>
  </mc:AlternateContent>
  <xr:revisionPtr revIDLastSave="0" documentId="13_ncr:1_{FC821423-E58A-4D6E-B9AE-32AFFF50C8FC}" xr6:coauthVersionLast="47" xr6:coauthVersionMax="47" xr10:uidLastSave="{00000000-0000-0000-0000-000000000000}"/>
  <bookViews>
    <workbookView xWindow="-120" yWindow="-120" windowWidth="38640" windowHeight="20925" activeTab="4" xr2:uid="{00000000-000D-0000-FFFF-FFFF00000000}"/>
  </bookViews>
  <sheets>
    <sheet name="Prozesslaufzeit-Überblick M" sheetId="4" r:id="rId1"/>
    <sheet name="Monatslaufzeiten" sheetId="1" r:id="rId2"/>
    <sheet name="Prozesslaufzeit-Überblick J" sheetId="7" r:id="rId3"/>
    <sheet name="Prozesslaufzeiten nach Monaten" sheetId="10" r:id="rId4"/>
    <sheet name="Jahreslaufzeiten" sheetId="6" r:id="rId5"/>
    <sheet name="Programmzuwesiung" sheetId="2" r:id="rId6"/>
    <sheet name="Kostenkonfiguration" sheetId="3" r:id="rId7"/>
  </sheet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0" l="1"/>
  <c r="H47" i="10"/>
  <c r="H36" i="10"/>
  <c r="H37" i="10"/>
  <c r="H38" i="10"/>
  <c r="H39" i="10"/>
  <c r="H40" i="10"/>
  <c r="H41" i="10"/>
  <c r="H42" i="10"/>
  <c r="H43" i="10"/>
  <c r="H44" i="10"/>
  <c r="H45" i="10"/>
  <c r="H46" i="10"/>
  <c r="H35" i="10"/>
  <c r="H28" i="6"/>
  <c r="C4" i="3"/>
  <c r="E4" i="6"/>
  <c r="H4" i="6" s="1"/>
  <c r="F4" i="6"/>
  <c r="E5" i="6"/>
  <c r="F5" i="6"/>
  <c r="E6" i="6"/>
  <c r="F6" i="6"/>
  <c r="E7" i="6"/>
  <c r="F7" i="6"/>
  <c r="E8" i="6"/>
  <c r="G8" i="6" s="1"/>
  <c r="F8" i="6"/>
  <c r="E9" i="6"/>
  <c r="F9" i="6"/>
  <c r="E13" i="6"/>
  <c r="F13" i="6"/>
  <c r="E11" i="6"/>
  <c r="F11" i="6"/>
  <c r="E12" i="6"/>
  <c r="F12" i="6"/>
  <c r="E10" i="6"/>
  <c r="F10" i="6"/>
  <c r="E2" i="6"/>
  <c r="G2" i="6" s="1"/>
  <c r="F2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5" i="6"/>
  <c r="F25" i="6"/>
  <c r="E23" i="6"/>
  <c r="F23" i="6"/>
  <c r="E24" i="6"/>
  <c r="F24" i="6"/>
  <c r="E22" i="6"/>
  <c r="F22" i="6"/>
  <c r="E14" i="6"/>
  <c r="F14" i="6"/>
  <c r="E27" i="6"/>
  <c r="F27" i="6"/>
  <c r="E28" i="6"/>
  <c r="G28" i="6" s="1"/>
  <c r="F28" i="6"/>
  <c r="E29" i="6"/>
  <c r="G29" i="6" s="1"/>
  <c r="F29" i="6"/>
  <c r="E30" i="6"/>
  <c r="F30" i="6"/>
  <c r="E31" i="6"/>
  <c r="F31" i="6"/>
  <c r="E32" i="6"/>
  <c r="F32" i="6"/>
  <c r="E33" i="6"/>
  <c r="F33" i="6"/>
  <c r="E37" i="6"/>
  <c r="F37" i="6"/>
  <c r="E35" i="6"/>
  <c r="F35" i="6"/>
  <c r="E36" i="6"/>
  <c r="F36" i="6"/>
  <c r="E34" i="6"/>
  <c r="F34" i="6"/>
  <c r="E26" i="6"/>
  <c r="F26" i="6"/>
  <c r="E39" i="6"/>
  <c r="F39" i="6"/>
  <c r="E40" i="6"/>
  <c r="F40" i="6"/>
  <c r="E41" i="6"/>
  <c r="F41" i="6"/>
  <c r="E42" i="6"/>
  <c r="F42" i="6"/>
  <c r="E43" i="6"/>
  <c r="F43" i="6"/>
  <c r="E44" i="6"/>
  <c r="F44" i="6"/>
  <c r="E45" i="6"/>
  <c r="F45" i="6"/>
  <c r="E49" i="6"/>
  <c r="F49" i="6"/>
  <c r="E47" i="6"/>
  <c r="F47" i="6"/>
  <c r="E48" i="6"/>
  <c r="G48" i="6" s="1"/>
  <c r="F48" i="6"/>
  <c r="E46" i="6"/>
  <c r="F46" i="6"/>
  <c r="E38" i="6"/>
  <c r="F38" i="6"/>
  <c r="E51" i="6"/>
  <c r="F51" i="6"/>
  <c r="E52" i="6"/>
  <c r="F52" i="6"/>
  <c r="E53" i="6"/>
  <c r="F53" i="6"/>
  <c r="E54" i="6"/>
  <c r="F54" i="6"/>
  <c r="E55" i="6"/>
  <c r="F55" i="6"/>
  <c r="E56" i="6"/>
  <c r="F56" i="6"/>
  <c r="E57" i="6"/>
  <c r="F57" i="6"/>
  <c r="E61" i="6"/>
  <c r="F61" i="6"/>
  <c r="E59" i="6"/>
  <c r="F59" i="6"/>
  <c r="E60" i="6"/>
  <c r="F60" i="6"/>
  <c r="E58" i="6"/>
  <c r="F58" i="6"/>
  <c r="E50" i="6"/>
  <c r="F50" i="6"/>
  <c r="E63" i="6"/>
  <c r="F63" i="6"/>
  <c r="E64" i="6"/>
  <c r="F64" i="6"/>
  <c r="E65" i="6"/>
  <c r="F65" i="6"/>
  <c r="E66" i="6"/>
  <c r="G66" i="6" s="1"/>
  <c r="F66" i="6"/>
  <c r="E67" i="6"/>
  <c r="F67" i="6"/>
  <c r="E68" i="6"/>
  <c r="G68" i="6" s="1"/>
  <c r="F68" i="6"/>
  <c r="E69" i="6"/>
  <c r="G69" i="6" s="1"/>
  <c r="F69" i="6"/>
  <c r="E73" i="6"/>
  <c r="F73" i="6"/>
  <c r="E71" i="6"/>
  <c r="F71" i="6"/>
  <c r="E72" i="6"/>
  <c r="F72" i="6"/>
  <c r="E70" i="6"/>
  <c r="F70" i="6"/>
  <c r="E62" i="6"/>
  <c r="F62" i="6"/>
  <c r="E75" i="6"/>
  <c r="F75" i="6"/>
  <c r="E76" i="6"/>
  <c r="F76" i="6"/>
  <c r="E77" i="6"/>
  <c r="F77" i="6"/>
  <c r="E78" i="6"/>
  <c r="F78" i="6"/>
  <c r="E79" i="6"/>
  <c r="F79" i="6"/>
  <c r="E80" i="6"/>
  <c r="F80" i="6"/>
  <c r="E81" i="6"/>
  <c r="F81" i="6"/>
  <c r="E85" i="6"/>
  <c r="F85" i="6"/>
  <c r="E83" i="6"/>
  <c r="H83" i="6" s="1"/>
  <c r="F83" i="6"/>
  <c r="E84" i="6"/>
  <c r="F84" i="6"/>
  <c r="E82" i="6"/>
  <c r="F82" i="6"/>
  <c r="E74" i="6"/>
  <c r="F74" i="6"/>
  <c r="E87" i="6"/>
  <c r="F87" i="6"/>
  <c r="E88" i="6"/>
  <c r="F88" i="6"/>
  <c r="E89" i="6"/>
  <c r="F89" i="6"/>
  <c r="E90" i="6"/>
  <c r="F90" i="6"/>
  <c r="E91" i="6"/>
  <c r="F91" i="6"/>
  <c r="E92" i="6"/>
  <c r="F92" i="6"/>
  <c r="E93" i="6"/>
  <c r="F93" i="6"/>
  <c r="E97" i="6"/>
  <c r="F97" i="6"/>
  <c r="E95" i="6"/>
  <c r="F95" i="6"/>
  <c r="E96" i="6"/>
  <c r="F96" i="6"/>
  <c r="E94" i="6"/>
  <c r="F94" i="6"/>
  <c r="E86" i="6"/>
  <c r="F86" i="6"/>
  <c r="E99" i="6"/>
  <c r="F99" i="6"/>
  <c r="E100" i="6"/>
  <c r="F100" i="6"/>
  <c r="E101" i="6"/>
  <c r="F101" i="6"/>
  <c r="E102" i="6"/>
  <c r="F102" i="6"/>
  <c r="E103" i="6"/>
  <c r="F103" i="6"/>
  <c r="E104" i="6"/>
  <c r="F104" i="6"/>
  <c r="E105" i="6"/>
  <c r="F105" i="6"/>
  <c r="E109" i="6"/>
  <c r="F109" i="6"/>
  <c r="E107" i="6"/>
  <c r="F107" i="6"/>
  <c r="E108" i="6"/>
  <c r="F108" i="6"/>
  <c r="E106" i="6"/>
  <c r="G106" i="6" s="1"/>
  <c r="F106" i="6"/>
  <c r="E98" i="6"/>
  <c r="F98" i="6"/>
  <c r="E111" i="6"/>
  <c r="G111" i="6" s="1"/>
  <c r="F111" i="6"/>
  <c r="E112" i="6"/>
  <c r="G112" i="6" s="1"/>
  <c r="F112" i="6"/>
  <c r="E113" i="6"/>
  <c r="F113" i="6"/>
  <c r="E114" i="6"/>
  <c r="F114" i="6"/>
  <c r="E115" i="6"/>
  <c r="F115" i="6"/>
  <c r="E116" i="6"/>
  <c r="F116" i="6"/>
  <c r="E117" i="6"/>
  <c r="F117" i="6"/>
  <c r="E121" i="6"/>
  <c r="F121" i="6"/>
  <c r="E119" i="6"/>
  <c r="F119" i="6"/>
  <c r="E120" i="6"/>
  <c r="F120" i="6"/>
  <c r="E118" i="6"/>
  <c r="F118" i="6"/>
  <c r="E110" i="6"/>
  <c r="F110" i="6"/>
  <c r="E123" i="6"/>
  <c r="F123" i="6"/>
  <c r="E124" i="6"/>
  <c r="F124" i="6"/>
  <c r="E125" i="6"/>
  <c r="F125" i="6"/>
  <c r="E126" i="6"/>
  <c r="F126" i="6"/>
  <c r="E127" i="6"/>
  <c r="F127" i="6"/>
  <c r="E128" i="6"/>
  <c r="F128" i="6"/>
  <c r="E129" i="6"/>
  <c r="F129" i="6"/>
  <c r="E131" i="6"/>
  <c r="F131" i="6"/>
  <c r="E130" i="6"/>
  <c r="F130" i="6"/>
  <c r="E122" i="6"/>
  <c r="F122" i="6"/>
  <c r="E133" i="6"/>
  <c r="F133" i="6"/>
  <c r="E134" i="6"/>
  <c r="F134" i="6"/>
  <c r="E135" i="6"/>
  <c r="F135" i="6"/>
  <c r="E136" i="6"/>
  <c r="F136" i="6"/>
  <c r="E137" i="6"/>
  <c r="F137" i="6"/>
  <c r="E138" i="6"/>
  <c r="F138" i="6"/>
  <c r="E139" i="6"/>
  <c r="F139" i="6"/>
  <c r="E143" i="6"/>
  <c r="F143" i="6"/>
  <c r="E141" i="6"/>
  <c r="F141" i="6"/>
  <c r="E142" i="6"/>
  <c r="F142" i="6"/>
  <c r="E140" i="6"/>
  <c r="F140" i="6"/>
  <c r="E132" i="6"/>
  <c r="F132" i="6"/>
  <c r="E145" i="6"/>
  <c r="F145" i="6"/>
  <c r="E146" i="6"/>
  <c r="F146" i="6"/>
  <c r="E147" i="6"/>
  <c r="F147" i="6"/>
  <c r="E148" i="6"/>
  <c r="F148" i="6"/>
  <c r="E149" i="6"/>
  <c r="G149" i="6" s="1"/>
  <c r="F149" i="6"/>
  <c r="E150" i="6"/>
  <c r="F150" i="6"/>
  <c r="E151" i="6"/>
  <c r="F151" i="6"/>
  <c r="E154" i="6"/>
  <c r="F154" i="6"/>
  <c r="E152" i="6"/>
  <c r="F152" i="6"/>
  <c r="E153" i="6"/>
  <c r="G153" i="6" s="1"/>
  <c r="F153" i="6"/>
  <c r="E144" i="6"/>
  <c r="F144" i="6"/>
  <c r="E156" i="6"/>
  <c r="F156" i="6"/>
  <c r="E157" i="6"/>
  <c r="F157" i="6"/>
  <c r="E158" i="6"/>
  <c r="F158" i="6"/>
  <c r="E159" i="6"/>
  <c r="F159" i="6"/>
  <c r="E160" i="6"/>
  <c r="F160" i="6"/>
  <c r="E161" i="6"/>
  <c r="F161" i="6"/>
  <c r="E162" i="6"/>
  <c r="G162" i="6" s="1"/>
  <c r="F162" i="6"/>
  <c r="E166" i="6"/>
  <c r="F166" i="6"/>
  <c r="E164" i="6"/>
  <c r="F164" i="6"/>
  <c r="E165" i="6"/>
  <c r="F165" i="6"/>
  <c r="E163" i="6"/>
  <c r="F163" i="6"/>
  <c r="E155" i="6"/>
  <c r="F155" i="6"/>
  <c r="E168" i="6"/>
  <c r="F168" i="6"/>
  <c r="E169" i="6"/>
  <c r="F169" i="6"/>
  <c r="E170" i="6"/>
  <c r="F170" i="6"/>
  <c r="E171" i="6"/>
  <c r="F171" i="6"/>
  <c r="E172" i="6"/>
  <c r="G172" i="6" s="1"/>
  <c r="F172" i="6"/>
  <c r="E173" i="6"/>
  <c r="F173" i="6"/>
  <c r="E174" i="6"/>
  <c r="F174" i="6"/>
  <c r="E178" i="6"/>
  <c r="F178" i="6"/>
  <c r="E176" i="6"/>
  <c r="F176" i="6"/>
  <c r="E177" i="6"/>
  <c r="F177" i="6"/>
  <c r="E175" i="6"/>
  <c r="F175" i="6"/>
  <c r="E167" i="6"/>
  <c r="F167" i="6"/>
  <c r="E180" i="6"/>
  <c r="F180" i="6"/>
  <c r="E181" i="6"/>
  <c r="F181" i="6"/>
  <c r="E182" i="6"/>
  <c r="F182" i="6"/>
  <c r="E183" i="6"/>
  <c r="F183" i="6"/>
  <c r="E184" i="6"/>
  <c r="F184" i="6"/>
  <c r="E185" i="6"/>
  <c r="F185" i="6"/>
  <c r="E186" i="6"/>
  <c r="F186" i="6"/>
  <c r="E190" i="6"/>
  <c r="F190" i="6"/>
  <c r="E188" i="6"/>
  <c r="F188" i="6"/>
  <c r="E189" i="6"/>
  <c r="G189" i="6" s="1"/>
  <c r="F189" i="6"/>
  <c r="E187" i="6"/>
  <c r="G187" i="6" s="1"/>
  <c r="F187" i="6"/>
  <c r="E179" i="6"/>
  <c r="F179" i="6"/>
  <c r="E192" i="6"/>
  <c r="F192" i="6"/>
  <c r="E193" i="6"/>
  <c r="F193" i="6"/>
  <c r="E194" i="6"/>
  <c r="F194" i="6"/>
  <c r="E195" i="6"/>
  <c r="F195" i="6"/>
  <c r="E196" i="6"/>
  <c r="F196" i="6"/>
  <c r="E197" i="6"/>
  <c r="F197" i="6"/>
  <c r="E198" i="6"/>
  <c r="F198" i="6"/>
  <c r="E202" i="6"/>
  <c r="F202" i="6"/>
  <c r="E200" i="6"/>
  <c r="F200" i="6"/>
  <c r="E201" i="6"/>
  <c r="F201" i="6"/>
  <c r="E199" i="6"/>
  <c r="F199" i="6"/>
  <c r="E191" i="6"/>
  <c r="F191" i="6"/>
  <c r="E204" i="6"/>
  <c r="F204" i="6"/>
  <c r="E205" i="6"/>
  <c r="F205" i="6"/>
  <c r="E206" i="6"/>
  <c r="G206" i="6" s="1"/>
  <c r="F206" i="6"/>
  <c r="E207" i="6"/>
  <c r="F207" i="6"/>
  <c r="E208" i="6"/>
  <c r="F208" i="6"/>
  <c r="E209" i="6"/>
  <c r="F209" i="6"/>
  <c r="E210" i="6"/>
  <c r="F210" i="6"/>
  <c r="E214" i="6"/>
  <c r="F214" i="6"/>
  <c r="E212" i="6"/>
  <c r="F212" i="6"/>
  <c r="E213" i="6"/>
  <c r="F213" i="6"/>
  <c r="E211" i="6"/>
  <c r="F211" i="6"/>
  <c r="E203" i="6"/>
  <c r="F203" i="6"/>
  <c r="E216" i="6"/>
  <c r="F216" i="6"/>
  <c r="E217" i="6"/>
  <c r="F217" i="6"/>
  <c r="E218" i="6"/>
  <c r="F218" i="6"/>
  <c r="E219" i="6"/>
  <c r="F219" i="6"/>
  <c r="E220" i="6"/>
  <c r="F220" i="6"/>
  <c r="E221" i="6"/>
  <c r="G221" i="6" s="1"/>
  <c r="F221" i="6"/>
  <c r="E222" i="6"/>
  <c r="F222" i="6"/>
  <c r="E226" i="6"/>
  <c r="G226" i="6" s="1"/>
  <c r="F226" i="6"/>
  <c r="E224" i="6"/>
  <c r="G224" i="6" s="1"/>
  <c r="F224" i="6"/>
  <c r="E225" i="6"/>
  <c r="F225" i="6"/>
  <c r="E223" i="6"/>
  <c r="F223" i="6"/>
  <c r="E215" i="6"/>
  <c r="F215" i="6"/>
  <c r="E228" i="6"/>
  <c r="F228" i="6"/>
  <c r="E229" i="6"/>
  <c r="F229" i="6"/>
  <c r="E230" i="6"/>
  <c r="F230" i="6"/>
  <c r="E231" i="6"/>
  <c r="F231" i="6"/>
  <c r="E232" i="6"/>
  <c r="F232" i="6"/>
  <c r="E233" i="6"/>
  <c r="F233" i="6"/>
  <c r="E234" i="6"/>
  <c r="F234" i="6"/>
  <c r="E238" i="6"/>
  <c r="F238" i="6"/>
  <c r="E236" i="6"/>
  <c r="F236" i="6"/>
  <c r="E237" i="6"/>
  <c r="F237" i="6"/>
  <c r="E235" i="6"/>
  <c r="G235" i="6" s="1"/>
  <c r="F235" i="6"/>
  <c r="E227" i="6"/>
  <c r="F227" i="6"/>
  <c r="E240" i="6"/>
  <c r="F240" i="6"/>
  <c r="E241" i="6"/>
  <c r="F241" i="6"/>
  <c r="E242" i="6"/>
  <c r="F242" i="6"/>
  <c r="E243" i="6"/>
  <c r="F243" i="6"/>
  <c r="E244" i="6"/>
  <c r="G244" i="6" s="1"/>
  <c r="F244" i="6"/>
  <c r="E245" i="6"/>
  <c r="F245" i="6"/>
  <c r="E246" i="6"/>
  <c r="G246" i="6" s="1"/>
  <c r="F246" i="6"/>
  <c r="E250" i="6"/>
  <c r="G250" i="6" s="1"/>
  <c r="F250" i="6"/>
  <c r="E248" i="6"/>
  <c r="F248" i="6"/>
  <c r="E249" i="6"/>
  <c r="F249" i="6"/>
  <c r="E247" i="6"/>
  <c r="F247" i="6"/>
  <c r="E239" i="6"/>
  <c r="F239" i="6"/>
  <c r="E252" i="6"/>
  <c r="F252" i="6"/>
  <c r="E253" i="6"/>
  <c r="F253" i="6"/>
  <c r="E254" i="6"/>
  <c r="F254" i="6"/>
  <c r="E255" i="6"/>
  <c r="F255" i="6"/>
  <c r="E256" i="6"/>
  <c r="F256" i="6"/>
  <c r="E257" i="6"/>
  <c r="F257" i="6"/>
  <c r="E258" i="6"/>
  <c r="F258" i="6"/>
  <c r="E262" i="6"/>
  <c r="F262" i="6"/>
  <c r="E260" i="6"/>
  <c r="G260" i="6" s="1"/>
  <c r="F260" i="6"/>
  <c r="E261" i="6"/>
  <c r="F261" i="6"/>
  <c r="E259" i="6"/>
  <c r="F259" i="6"/>
  <c r="E251" i="6"/>
  <c r="F251" i="6"/>
  <c r="E264" i="6"/>
  <c r="F264" i="6"/>
  <c r="E265" i="6"/>
  <c r="F265" i="6"/>
  <c r="E266" i="6"/>
  <c r="F266" i="6"/>
  <c r="E267" i="6"/>
  <c r="F267" i="6"/>
  <c r="E263" i="6"/>
  <c r="F263" i="6"/>
  <c r="E269" i="6"/>
  <c r="F269" i="6"/>
  <c r="E270" i="6"/>
  <c r="G270" i="6" s="1"/>
  <c r="F270" i="6"/>
  <c r="E271" i="6"/>
  <c r="F271" i="6"/>
  <c r="E272" i="6"/>
  <c r="G272" i="6" s="1"/>
  <c r="F272" i="6"/>
  <c r="E273" i="6"/>
  <c r="F273" i="6"/>
  <c r="E274" i="6"/>
  <c r="G274" i="6" s="1"/>
  <c r="F274" i="6"/>
  <c r="E275" i="6"/>
  <c r="F275" i="6"/>
  <c r="E279" i="6"/>
  <c r="F279" i="6"/>
  <c r="E277" i="6"/>
  <c r="F277" i="6"/>
  <c r="E278" i="6"/>
  <c r="F278" i="6"/>
  <c r="E276" i="6"/>
  <c r="F276" i="6"/>
  <c r="E268" i="6"/>
  <c r="F268" i="6"/>
  <c r="E281" i="6"/>
  <c r="F281" i="6"/>
  <c r="E282" i="6"/>
  <c r="F282" i="6"/>
  <c r="E283" i="6"/>
  <c r="F283" i="6"/>
  <c r="E284" i="6"/>
  <c r="F284" i="6"/>
  <c r="E285" i="6"/>
  <c r="F285" i="6"/>
  <c r="E286" i="6"/>
  <c r="F286" i="6"/>
  <c r="E287" i="6"/>
  <c r="F287" i="6"/>
  <c r="E291" i="6"/>
  <c r="G291" i="6" s="1"/>
  <c r="F291" i="6"/>
  <c r="E289" i="6"/>
  <c r="F289" i="6"/>
  <c r="E290" i="6"/>
  <c r="F290" i="6"/>
  <c r="E288" i="6"/>
  <c r="F288" i="6"/>
  <c r="E280" i="6"/>
  <c r="G280" i="6" s="1"/>
  <c r="F280" i="6"/>
  <c r="E293" i="6"/>
  <c r="F293" i="6"/>
  <c r="E294" i="6"/>
  <c r="G294" i="6" s="1"/>
  <c r="F294" i="6"/>
  <c r="E295" i="6"/>
  <c r="F295" i="6"/>
  <c r="E296" i="6"/>
  <c r="F296" i="6"/>
  <c r="E297" i="6"/>
  <c r="F297" i="6"/>
  <c r="E298" i="6"/>
  <c r="F298" i="6"/>
  <c r="E299" i="6"/>
  <c r="F299" i="6"/>
  <c r="E303" i="6"/>
  <c r="F303" i="6"/>
  <c r="E301" i="6"/>
  <c r="F301" i="6"/>
  <c r="E302" i="6"/>
  <c r="G302" i="6" s="1"/>
  <c r="F302" i="6"/>
  <c r="E300" i="6"/>
  <c r="G300" i="6" s="1"/>
  <c r="F300" i="6"/>
  <c r="E292" i="6"/>
  <c r="F292" i="6"/>
  <c r="E305" i="6"/>
  <c r="F305" i="6"/>
  <c r="E306" i="6"/>
  <c r="F306" i="6"/>
  <c r="E307" i="6"/>
  <c r="F307" i="6"/>
  <c r="E308" i="6"/>
  <c r="F308" i="6"/>
  <c r="E309" i="6"/>
  <c r="F309" i="6"/>
  <c r="E310" i="6"/>
  <c r="G310" i="6" s="1"/>
  <c r="F310" i="6"/>
  <c r="E311" i="6"/>
  <c r="F311" i="6"/>
  <c r="E315" i="6"/>
  <c r="F315" i="6"/>
  <c r="E313" i="6"/>
  <c r="F313" i="6"/>
  <c r="E314" i="6"/>
  <c r="F314" i="6"/>
  <c r="E312" i="6"/>
  <c r="F312" i="6"/>
  <c r="E304" i="6"/>
  <c r="F304" i="6"/>
  <c r="E317" i="6"/>
  <c r="F317" i="6"/>
  <c r="E318" i="6"/>
  <c r="F318" i="6"/>
  <c r="E319" i="6"/>
  <c r="F319" i="6"/>
  <c r="E320" i="6"/>
  <c r="G320" i="6" s="1"/>
  <c r="F320" i="6"/>
  <c r="E321" i="6"/>
  <c r="F321" i="6"/>
  <c r="E322" i="6"/>
  <c r="G322" i="6" s="1"/>
  <c r="F322" i="6"/>
  <c r="E323" i="6"/>
  <c r="F323" i="6"/>
  <c r="E327" i="6"/>
  <c r="G327" i="6" s="1"/>
  <c r="F327" i="6"/>
  <c r="E325" i="6"/>
  <c r="G325" i="6" s="1"/>
  <c r="F325" i="6"/>
  <c r="E326" i="6"/>
  <c r="F326" i="6"/>
  <c r="E324" i="6"/>
  <c r="F324" i="6"/>
  <c r="E316" i="6"/>
  <c r="F316" i="6"/>
  <c r="E329" i="6"/>
  <c r="F329" i="6"/>
  <c r="E330" i="6"/>
  <c r="F330" i="6"/>
  <c r="E331" i="6"/>
  <c r="F331" i="6"/>
  <c r="E332" i="6"/>
  <c r="F332" i="6"/>
  <c r="E333" i="6"/>
  <c r="F333" i="6"/>
  <c r="E334" i="6"/>
  <c r="F334" i="6"/>
  <c r="E335" i="6"/>
  <c r="F335" i="6"/>
  <c r="E339" i="6"/>
  <c r="F339" i="6"/>
  <c r="E337" i="6"/>
  <c r="F337" i="6"/>
  <c r="E338" i="6"/>
  <c r="G338" i="6" s="1"/>
  <c r="F338" i="6"/>
  <c r="E336" i="6"/>
  <c r="F336" i="6"/>
  <c r="E328" i="6"/>
  <c r="F328" i="6"/>
  <c r="E341" i="6"/>
  <c r="F341" i="6"/>
  <c r="E342" i="6"/>
  <c r="G342" i="6" s="1"/>
  <c r="F342" i="6"/>
  <c r="E343" i="6"/>
  <c r="F343" i="6"/>
  <c r="E344" i="6"/>
  <c r="F344" i="6"/>
  <c r="E345" i="6"/>
  <c r="F345" i="6"/>
  <c r="E346" i="6"/>
  <c r="F346" i="6"/>
  <c r="E347" i="6"/>
  <c r="F347" i="6"/>
  <c r="E351" i="6"/>
  <c r="F351" i="6"/>
  <c r="E349" i="6"/>
  <c r="F349" i="6"/>
  <c r="E350" i="6"/>
  <c r="G350" i="6" s="1"/>
  <c r="F350" i="6"/>
  <c r="E348" i="6"/>
  <c r="F348" i="6"/>
  <c r="E340" i="6"/>
  <c r="G340" i="6" s="1"/>
  <c r="F340" i="6"/>
  <c r="E353" i="6"/>
  <c r="F353" i="6"/>
  <c r="E354" i="6"/>
  <c r="F354" i="6"/>
  <c r="E355" i="6"/>
  <c r="F355" i="6"/>
  <c r="E356" i="6"/>
  <c r="F356" i="6"/>
  <c r="E357" i="6"/>
  <c r="F357" i="6"/>
  <c r="E358" i="6"/>
  <c r="F358" i="6"/>
  <c r="E359" i="6"/>
  <c r="F359" i="6"/>
  <c r="E363" i="6"/>
  <c r="F363" i="6"/>
  <c r="E361" i="6"/>
  <c r="F361" i="6"/>
  <c r="E362" i="6"/>
  <c r="F362" i="6"/>
  <c r="E360" i="6"/>
  <c r="F360" i="6"/>
  <c r="E352" i="6"/>
  <c r="F352" i="6"/>
  <c r="E365" i="6"/>
  <c r="F365" i="6"/>
  <c r="E366" i="6"/>
  <c r="G366" i="6" s="1"/>
  <c r="F366" i="6"/>
  <c r="E367" i="6"/>
  <c r="F367" i="6"/>
  <c r="E368" i="6"/>
  <c r="F368" i="6"/>
  <c r="E369" i="6"/>
  <c r="F369" i="6"/>
  <c r="E370" i="6"/>
  <c r="G370" i="6" s="1"/>
  <c r="F370" i="6"/>
  <c r="E371" i="6"/>
  <c r="F371" i="6"/>
  <c r="E375" i="6"/>
  <c r="G375" i="6" s="1"/>
  <c r="F375" i="6"/>
  <c r="E373" i="6"/>
  <c r="F373" i="6"/>
  <c r="E374" i="6"/>
  <c r="G374" i="6" s="1"/>
  <c r="F374" i="6"/>
  <c r="E372" i="6"/>
  <c r="G372" i="6" s="1"/>
  <c r="F372" i="6"/>
  <c r="E364" i="6"/>
  <c r="F364" i="6"/>
  <c r="E377" i="6"/>
  <c r="F377" i="6"/>
  <c r="E378" i="6"/>
  <c r="F378" i="6"/>
  <c r="E379" i="6"/>
  <c r="F379" i="6"/>
  <c r="E380" i="6"/>
  <c r="F380" i="6"/>
  <c r="E381" i="6"/>
  <c r="F381" i="6"/>
  <c r="E382" i="6"/>
  <c r="F382" i="6"/>
  <c r="E383" i="6"/>
  <c r="F383" i="6"/>
  <c r="E387" i="6"/>
  <c r="F387" i="6"/>
  <c r="E385" i="6"/>
  <c r="F385" i="6"/>
  <c r="E386" i="6"/>
  <c r="F386" i="6"/>
  <c r="E384" i="6"/>
  <c r="F384" i="6"/>
  <c r="E376" i="6"/>
  <c r="G376" i="6" s="1"/>
  <c r="F376" i="6"/>
  <c r="E389" i="6"/>
  <c r="F389" i="6"/>
  <c r="E390" i="6"/>
  <c r="F390" i="6"/>
  <c r="E391" i="6"/>
  <c r="F391" i="6"/>
  <c r="E392" i="6"/>
  <c r="F392" i="6"/>
  <c r="E393" i="6"/>
  <c r="F393" i="6"/>
  <c r="E394" i="6"/>
  <c r="F394" i="6"/>
  <c r="E395" i="6"/>
  <c r="F395" i="6"/>
  <c r="E399" i="6"/>
  <c r="F399" i="6"/>
  <c r="E397" i="6"/>
  <c r="F397" i="6"/>
  <c r="E398" i="6"/>
  <c r="G398" i="6" s="1"/>
  <c r="F398" i="6"/>
  <c r="E396" i="6"/>
  <c r="F396" i="6"/>
  <c r="E388" i="6"/>
  <c r="G388" i="6" s="1"/>
  <c r="F388" i="6"/>
  <c r="E401" i="6"/>
  <c r="F401" i="6"/>
  <c r="E402" i="6"/>
  <c r="G402" i="6" s="1"/>
  <c r="F402" i="6"/>
  <c r="E403" i="6"/>
  <c r="F403" i="6"/>
  <c r="E404" i="6"/>
  <c r="F404" i="6"/>
  <c r="E405" i="6"/>
  <c r="F405" i="6"/>
  <c r="E406" i="6"/>
  <c r="F406" i="6"/>
  <c r="E407" i="6"/>
  <c r="F407" i="6"/>
  <c r="E411" i="6"/>
  <c r="F411" i="6"/>
  <c r="E409" i="6"/>
  <c r="F409" i="6"/>
  <c r="E410" i="6"/>
  <c r="F410" i="6"/>
  <c r="E408" i="6"/>
  <c r="F408" i="6"/>
  <c r="E400" i="6"/>
  <c r="F400" i="6"/>
  <c r="E413" i="6"/>
  <c r="F413" i="6"/>
  <c r="E414" i="6"/>
  <c r="F414" i="6"/>
  <c r="E415" i="6"/>
  <c r="F415" i="6"/>
  <c r="E416" i="6"/>
  <c r="G416" i="6" s="1"/>
  <c r="F416" i="6"/>
  <c r="E417" i="6"/>
  <c r="F417" i="6"/>
  <c r="E418" i="6"/>
  <c r="F418" i="6"/>
  <c r="E419" i="6"/>
  <c r="F419" i="6"/>
  <c r="E423" i="6"/>
  <c r="G423" i="6" s="1"/>
  <c r="F423" i="6"/>
  <c r="E421" i="6"/>
  <c r="F421" i="6"/>
  <c r="E422" i="6"/>
  <c r="G422" i="6" s="1"/>
  <c r="F422" i="6"/>
  <c r="E420" i="6"/>
  <c r="F420" i="6"/>
  <c r="E412" i="6"/>
  <c r="F412" i="6"/>
  <c r="E425" i="6"/>
  <c r="F425" i="6"/>
  <c r="E426" i="6"/>
  <c r="F426" i="6"/>
  <c r="E427" i="6"/>
  <c r="F427" i="6"/>
  <c r="E428" i="6"/>
  <c r="F428" i="6"/>
  <c r="E429" i="6"/>
  <c r="F429" i="6"/>
  <c r="E430" i="6"/>
  <c r="G430" i="6" s="1"/>
  <c r="F430" i="6"/>
  <c r="E431" i="6"/>
  <c r="G431" i="6" s="1"/>
  <c r="F431" i="6"/>
  <c r="E435" i="6"/>
  <c r="F435" i="6"/>
  <c r="E433" i="6"/>
  <c r="F433" i="6"/>
  <c r="E434" i="6"/>
  <c r="F434" i="6"/>
  <c r="E432" i="6"/>
  <c r="F432" i="6"/>
  <c r="E424" i="6"/>
  <c r="F424" i="6"/>
  <c r="E437" i="6"/>
  <c r="F437" i="6"/>
  <c r="E438" i="6"/>
  <c r="G438" i="6" s="1"/>
  <c r="F438" i="6"/>
  <c r="E439" i="6"/>
  <c r="F439" i="6"/>
  <c r="E440" i="6"/>
  <c r="F440" i="6"/>
  <c r="E441" i="6"/>
  <c r="F441" i="6"/>
  <c r="E442" i="6"/>
  <c r="F442" i="6"/>
  <c r="E443" i="6"/>
  <c r="F443" i="6"/>
  <c r="E447" i="6"/>
  <c r="F447" i="6"/>
  <c r="E445" i="6"/>
  <c r="F445" i="6"/>
  <c r="E446" i="6"/>
  <c r="F446" i="6"/>
  <c r="E444" i="6"/>
  <c r="F444" i="6"/>
  <c r="E436" i="6"/>
  <c r="G436" i="6" s="1"/>
  <c r="F436" i="6"/>
  <c r="E449" i="6"/>
  <c r="F449" i="6"/>
  <c r="E450" i="6"/>
  <c r="G450" i="6" s="1"/>
  <c r="F450" i="6"/>
  <c r="E451" i="6"/>
  <c r="F451" i="6"/>
  <c r="E452" i="6"/>
  <c r="G452" i="6" s="1"/>
  <c r="F452" i="6"/>
  <c r="E453" i="6"/>
  <c r="F453" i="6"/>
  <c r="E454" i="6"/>
  <c r="F454" i="6"/>
  <c r="E455" i="6"/>
  <c r="F455" i="6"/>
  <c r="E459" i="6"/>
  <c r="F459" i="6"/>
  <c r="E457" i="6"/>
  <c r="F457" i="6"/>
  <c r="E458" i="6"/>
  <c r="F458" i="6"/>
  <c r="E456" i="6"/>
  <c r="F456" i="6"/>
  <c r="E448" i="6"/>
  <c r="F448" i="6"/>
  <c r="E461" i="6"/>
  <c r="F461" i="6"/>
  <c r="E462" i="6"/>
  <c r="F462" i="6"/>
  <c r="E463" i="6"/>
  <c r="F463" i="6"/>
  <c r="E464" i="6"/>
  <c r="F464" i="6"/>
  <c r="E465" i="6"/>
  <c r="F465" i="6"/>
  <c r="E466" i="6"/>
  <c r="G466" i="6" s="1"/>
  <c r="F466" i="6"/>
  <c r="E467" i="6"/>
  <c r="F467" i="6"/>
  <c r="E471" i="6"/>
  <c r="F471" i="6"/>
  <c r="E469" i="6"/>
  <c r="F469" i="6"/>
  <c r="E470" i="6"/>
  <c r="G470" i="6" s="1"/>
  <c r="F470" i="6"/>
  <c r="E468" i="6"/>
  <c r="F468" i="6"/>
  <c r="E460" i="6"/>
  <c r="F460" i="6"/>
  <c r="E473" i="6"/>
  <c r="F473" i="6"/>
  <c r="E474" i="6"/>
  <c r="F474" i="6"/>
  <c r="E475" i="6"/>
  <c r="F475" i="6"/>
  <c r="E476" i="6"/>
  <c r="F476" i="6"/>
  <c r="E477" i="6"/>
  <c r="F477" i="6"/>
  <c r="E478" i="6"/>
  <c r="G478" i="6" s="1"/>
  <c r="F478" i="6"/>
  <c r="E479" i="6"/>
  <c r="F479" i="6"/>
  <c r="E483" i="6"/>
  <c r="G483" i="6" s="1"/>
  <c r="F483" i="6"/>
  <c r="E481" i="6"/>
  <c r="F481" i="6"/>
  <c r="E482" i="6"/>
  <c r="F482" i="6"/>
  <c r="E480" i="6"/>
  <c r="F480" i="6"/>
  <c r="E472" i="6"/>
  <c r="F472" i="6"/>
  <c r="E485" i="6"/>
  <c r="F485" i="6"/>
  <c r="E486" i="6"/>
  <c r="F486" i="6"/>
  <c r="E487" i="6"/>
  <c r="F487" i="6"/>
  <c r="E488" i="6"/>
  <c r="F488" i="6"/>
  <c r="E489" i="6"/>
  <c r="F489" i="6"/>
  <c r="E490" i="6"/>
  <c r="F490" i="6"/>
  <c r="E491" i="6"/>
  <c r="F491" i="6"/>
  <c r="E495" i="6"/>
  <c r="F495" i="6"/>
  <c r="E493" i="6"/>
  <c r="F493" i="6"/>
  <c r="E494" i="6"/>
  <c r="G494" i="6" s="1"/>
  <c r="F494" i="6"/>
  <c r="E492" i="6"/>
  <c r="F492" i="6"/>
  <c r="E484" i="6"/>
  <c r="F484" i="6"/>
  <c r="E497" i="6"/>
  <c r="F497" i="6"/>
  <c r="E498" i="6"/>
  <c r="G498" i="6" s="1"/>
  <c r="F498" i="6"/>
  <c r="E499" i="6"/>
  <c r="F499" i="6"/>
  <c r="E500" i="6"/>
  <c r="G500" i="6" s="1"/>
  <c r="F500" i="6"/>
  <c r="E501" i="6"/>
  <c r="F501" i="6"/>
  <c r="E502" i="6"/>
  <c r="G502" i="6" s="1"/>
  <c r="F502" i="6"/>
  <c r="E503" i="6"/>
  <c r="G503" i="6" s="1"/>
  <c r="F503" i="6"/>
  <c r="E507" i="6"/>
  <c r="F507" i="6"/>
  <c r="E505" i="6"/>
  <c r="F505" i="6"/>
  <c r="E506" i="6"/>
  <c r="F506" i="6"/>
  <c r="E504" i="6"/>
  <c r="F504" i="6"/>
  <c r="E496" i="6"/>
  <c r="F496" i="6"/>
  <c r="E509" i="6"/>
  <c r="F509" i="6"/>
  <c r="E510" i="6"/>
  <c r="F510" i="6"/>
  <c r="E511" i="6"/>
  <c r="F511" i="6"/>
  <c r="E512" i="6"/>
  <c r="F512" i="6"/>
  <c r="E513" i="6"/>
  <c r="F513" i="6"/>
  <c r="E514" i="6"/>
  <c r="F514" i="6"/>
  <c r="E515" i="6"/>
  <c r="F515" i="6"/>
  <c r="E519" i="6"/>
  <c r="G519" i="6" s="1"/>
  <c r="F519" i="6"/>
  <c r="E517" i="6"/>
  <c r="F517" i="6"/>
  <c r="E518" i="6"/>
  <c r="F518" i="6"/>
  <c r="E516" i="6"/>
  <c r="F516" i="6"/>
  <c r="E508" i="6"/>
  <c r="F508" i="6"/>
  <c r="E521" i="6"/>
  <c r="F521" i="6"/>
  <c r="E522" i="6"/>
  <c r="F522" i="6"/>
  <c r="E523" i="6"/>
  <c r="F523" i="6"/>
  <c r="E524" i="6"/>
  <c r="F524" i="6"/>
  <c r="E525" i="6"/>
  <c r="F525" i="6"/>
  <c r="E520" i="6"/>
  <c r="G520" i="6" s="1"/>
  <c r="F520" i="6"/>
  <c r="E527" i="6"/>
  <c r="G527" i="6" s="1"/>
  <c r="F527" i="6"/>
  <c r="E528" i="6"/>
  <c r="G528" i="6" s="1"/>
  <c r="F528" i="6"/>
  <c r="E529" i="6"/>
  <c r="F529" i="6"/>
  <c r="E530" i="6"/>
  <c r="G530" i="6" s="1"/>
  <c r="F530" i="6"/>
  <c r="E531" i="6"/>
  <c r="F531" i="6"/>
  <c r="E532" i="6"/>
  <c r="F532" i="6"/>
  <c r="E533" i="6"/>
  <c r="F533" i="6"/>
  <c r="E537" i="6"/>
  <c r="F537" i="6"/>
  <c r="E535" i="6"/>
  <c r="F535" i="6"/>
  <c r="E536" i="6"/>
  <c r="F536" i="6"/>
  <c r="E534" i="6"/>
  <c r="F534" i="6"/>
  <c r="E526" i="6"/>
  <c r="F526" i="6"/>
  <c r="E539" i="6"/>
  <c r="F539" i="6"/>
  <c r="E540" i="6"/>
  <c r="F540" i="6"/>
  <c r="E541" i="6"/>
  <c r="F541" i="6"/>
  <c r="E542" i="6"/>
  <c r="F542" i="6"/>
  <c r="E543" i="6"/>
  <c r="F543" i="6"/>
  <c r="E544" i="6"/>
  <c r="G544" i="6" s="1"/>
  <c r="F544" i="6"/>
  <c r="E545" i="6"/>
  <c r="F545" i="6"/>
  <c r="E549" i="6"/>
  <c r="F549" i="6"/>
  <c r="E547" i="6"/>
  <c r="F547" i="6"/>
  <c r="E548" i="6"/>
  <c r="G548" i="6" s="1"/>
  <c r="F548" i="6"/>
  <c r="E546" i="6"/>
  <c r="G546" i="6" s="1"/>
  <c r="F546" i="6"/>
  <c r="E538" i="6"/>
  <c r="G538" i="6" s="1"/>
  <c r="F538" i="6"/>
  <c r="E551" i="6"/>
  <c r="F551" i="6"/>
  <c r="E552" i="6"/>
  <c r="F552" i="6"/>
  <c r="E553" i="6"/>
  <c r="F553" i="6"/>
  <c r="E554" i="6"/>
  <c r="F554" i="6"/>
  <c r="E555" i="6"/>
  <c r="F555" i="6"/>
  <c r="E556" i="6"/>
  <c r="G556" i="6" s="1"/>
  <c r="F556" i="6"/>
  <c r="E557" i="6"/>
  <c r="F557" i="6"/>
  <c r="E561" i="6"/>
  <c r="F561" i="6"/>
  <c r="E559" i="6"/>
  <c r="F559" i="6"/>
  <c r="E560" i="6"/>
  <c r="F560" i="6"/>
  <c r="E558" i="6"/>
  <c r="F558" i="6"/>
  <c r="E550" i="6"/>
  <c r="F550" i="6"/>
  <c r="E563" i="6"/>
  <c r="F563" i="6"/>
  <c r="E564" i="6"/>
  <c r="G564" i="6" s="1"/>
  <c r="F564" i="6"/>
  <c r="E565" i="6"/>
  <c r="F565" i="6"/>
  <c r="E566" i="6"/>
  <c r="F566" i="6"/>
  <c r="E567" i="6"/>
  <c r="F567" i="6"/>
  <c r="E568" i="6"/>
  <c r="F568" i="6"/>
  <c r="E562" i="6"/>
  <c r="F562" i="6"/>
  <c r="E570" i="6"/>
  <c r="F570" i="6"/>
  <c r="E571" i="6"/>
  <c r="F571" i="6"/>
  <c r="E572" i="6"/>
  <c r="G572" i="6" s="1"/>
  <c r="F572" i="6"/>
  <c r="E573" i="6"/>
  <c r="F573" i="6"/>
  <c r="E574" i="6"/>
  <c r="G574" i="6" s="1"/>
  <c r="F574" i="6"/>
  <c r="E575" i="6"/>
  <c r="F575" i="6"/>
  <c r="E576" i="6"/>
  <c r="G576" i="6" s="1"/>
  <c r="F576" i="6"/>
  <c r="E580" i="6"/>
  <c r="F580" i="6"/>
  <c r="E578" i="6"/>
  <c r="F578" i="6"/>
  <c r="E579" i="6"/>
  <c r="F579" i="6"/>
  <c r="E577" i="6"/>
  <c r="F577" i="6"/>
  <c r="E569" i="6"/>
  <c r="F569" i="6"/>
  <c r="E582" i="6"/>
  <c r="F582" i="6"/>
  <c r="E583" i="6"/>
  <c r="F583" i="6"/>
  <c r="E584" i="6"/>
  <c r="F584" i="6"/>
  <c r="E585" i="6"/>
  <c r="F585" i="6"/>
  <c r="E586" i="6"/>
  <c r="F586" i="6"/>
  <c r="E587" i="6"/>
  <c r="F587" i="6"/>
  <c r="E588" i="6"/>
  <c r="F588" i="6"/>
  <c r="E592" i="6"/>
  <c r="F592" i="6"/>
  <c r="E590" i="6"/>
  <c r="F590" i="6"/>
  <c r="E591" i="6"/>
  <c r="F591" i="6"/>
  <c r="E589" i="6"/>
  <c r="G589" i="6" s="1"/>
  <c r="F589" i="6"/>
  <c r="E581" i="6"/>
  <c r="F581" i="6"/>
  <c r="E594" i="6"/>
  <c r="F594" i="6"/>
  <c r="E595" i="6"/>
  <c r="F595" i="6"/>
  <c r="E596" i="6"/>
  <c r="G596" i="6" s="1"/>
  <c r="F596" i="6"/>
  <c r="E597" i="6"/>
  <c r="G597" i="6" s="1"/>
  <c r="F597" i="6"/>
  <c r="E598" i="6"/>
  <c r="F598" i="6"/>
  <c r="E599" i="6"/>
  <c r="F599" i="6"/>
  <c r="E600" i="6"/>
  <c r="F600" i="6"/>
  <c r="E604" i="6"/>
  <c r="F604" i="6"/>
  <c r="E602" i="6"/>
  <c r="F602" i="6"/>
  <c r="E603" i="6"/>
  <c r="F603" i="6"/>
  <c r="E601" i="6"/>
  <c r="F601" i="6"/>
  <c r="E593" i="6"/>
  <c r="F593" i="6"/>
  <c r="E606" i="6"/>
  <c r="F606" i="6"/>
  <c r="E607" i="6"/>
  <c r="F607" i="6"/>
  <c r="E608" i="6"/>
  <c r="G608" i="6" s="1"/>
  <c r="F608" i="6"/>
  <c r="E609" i="6"/>
  <c r="F609" i="6"/>
  <c r="E610" i="6"/>
  <c r="F610" i="6"/>
  <c r="E611" i="6"/>
  <c r="F611" i="6"/>
  <c r="E612" i="6"/>
  <c r="G612" i="6" s="1"/>
  <c r="F612" i="6"/>
  <c r="E616" i="6"/>
  <c r="F616" i="6"/>
  <c r="E614" i="6"/>
  <c r="G614" i="6" s="1"/>
  <c r="F614" i="6"/>
  <c r="E615" i="6"/>
  <c r="G615" i="6" s="1"/>
  <c r="F615" i="6"/>
  <c r="E613" i="6"/>
  <c r="F613" i="6"/>
  <c r="E605" i="6"/>
  <c r="F605" i="6"/>
  <c r="E618" i="6"/>
  <c r="F618" i="6"/>
  <c r="E619" i="6"/>
  <c r="F619" i="6"/>
  <c r="E620" i="6"/>
  <c r="G620" i="6" s="1"/>
  <c r="F620" i="6"/>
  <c r="E621" i="6"/>
  <c r="F621" i="6"/>
  <c r="E622" i="6"/>
  <c r="F622" i="6"/>
  <c r="E623" i="6"/>
  <c r="F623" i="6"/>
  <c r="E624" i="6"/>
  <c r="F624" i="6"/>
  <c r="E628" i="6"/>
  <c r="F628" i="6"/>
  <c r="E626" i="6"/>
  <c r="F626" i="6"/>
  <c r="E627" i="6"/>
  <c r="F627" i="6"/>
  <c r="E625" i="6"/>
  <c r="G625" i="6" s="1"/>
  <c r="F625" i="6"/>
  <c r="E617" i="6"/>
  <c r="F617" i="6"/>
  <c r="E630" i="6"/>
  <c r="F630" i="6"/>
  <c r="E631" i="6"/>
  <c r="F631" i="6"/>
  <c r="E632" i="6"/>
  <c r="F632" i="6"/>
  <c r="E633" i="6"/>
  <c r="F633" i="6"/>
  <c r="E634" i="6"/>
  <c r="F634" i="6"/>
  <c r="E635" i="6"/>
  <c r="F635" i="6"/>
  <c r="E636" i="6"/>
  <c r="G636" i="6" s="1"/>
  <c r="F636" i="6"/>
  <c r="E640" i="6"/>
  <c r="F640" i="6"/>
  <c r="E638" i="6"/>
  <c r="G638" i="6" s="1"/>
  <c r="F638" i="6"/>
  <c r="E639" i="6"/>
  <c r="G639" i="6" s="1"/>
  <c r="F639" i="6"/>
  <c r="E637" i="6"/>
  <c r="G637" i="6" s="1"/>
  <c r="F637" i="6"/>
  <c r="E629" i="6"/>
  <c r="F629" i="6"/>
  <c r="E642" i="6"/>
  <c r="F642" i="6"/>
  <c r="E643" i="6"/>
  <c r="F643" i="6"/>
  <c r="E644" i="6"/>
  <c r="F644" i="6"/>
  <c r="E645" i="6"/>
  <c r="F645" i="6"/>
  <c r="E646" i="6"/>
  <c r="F646" i="6"/>
  <c r="E647" i="6"/>
  <c r="F647" i="6"/>
  <c r="E648" i="6"/>
  <c r="F648" i="6"/>
  <c r="E652" i="6"/>
  <c r="F652" i="6"/>
  <c r="E650" i="6"/>
  <c r="F650" i="6"/>
  <c r="E651" i="6"/>
  <c r="G651" i="6" s="1"/>
  <c r="F651" i="6"/>
  <c r="E649" i="6"/>
  <c r="F649" i="6"/>
  <c r="E641" i="6"/>
  <c r="F641" i="6"/>
  <c r="E654" i="6"/>
  <c r="F654" i="6"/>
  <c r="E655" i="6"/>
  <c r="G655" i="6" s="1"/>
  <c r="F655" i="6"/>
  <c r="E656" i="6"/>
  <c r="G656" i="6" s="1"/>
  <c r="F656" i="6"/>
  <c r="E657" i="6"/>
  <c r="F657" i="6"/>
  <c r="E658" i="6"/>
  <c r="F658" i="6"/>
  <c r="E659" i="6"/>
  <c r="F659" i="6"/>
  <c r="E660" i="6"/>
  <c r="G660" i="6" s="1"/>
  <c r="F660" i="6"/>
  <c r="E664" i="6"/>
  <c r="F664" i="6"/>
  <c r="E662" i="6"/>
  <c r="F662" i="6"/>
  <c r="E663" i="6"/>
  <c r="F663" i="6"/>
  <c r="E661" i="6"/>
  <c r="H661" i="6" s="1"/>
  <c r="F661" i="6"/>
  <c r="E653" i="6"/>
  <c r="F653" i="6"/>
  <c r="E666" i="6"/>
  <c r="F666" i="6"/>
  <c r="E667" i="6"/>
  <c r="F667" i="6"/>
  <c r="E668" i="6"/>
  <c r="F668" i="6"/>
  <c r="E669" i="6"/>
  <c r="F669" i="6"/>
  <c r="E670" i="6"/>
  <c r="G670" i="6" s="1"/>
  <c r="F670" i="6"/>
  <c r="E671" i="6"/>
  <c r="F671" i="6"/>
  <c r="E672" i="6"/>
  <c r="F672" i="6"/>
  <c r="E676" i="6"/>
  <c r="F676" i="6"/>
  <c r="E674" i="6"/>
  <c r="F674" i="6"/>
  <c r="E675" i="6"/>
  <c r="F675" i="6"/>
  <c r="E673" i="6"/>
  <c r="G673" i="6" s="1"/>
  <c r="F673" i="6"/>
  <c r="E665" i="6"/>
  <c r="F665" i="6"/>
  <c r="E678" i="6"/>
  <c r="G678" i="6" s="1"/>
  <c r="F678" i="6"/>
  <c r="E679" i="6"/>
  <c r="G679" i="6" s="1"/>
  <c r="F679" i="6"/>
  <c r="E680" i="6"/>
  <c r="F680" i="6"/>
  <c r="E681" i="6"/>
  <c r="F681" i="6"/>
  <c r="E682" i="6"/>
  <c r="F682" i="6"/>
  <c r="E683" i="6"/>
  <c r="F683" i="6"/>
  <c r="E684" i="6"/>
  <c r="F684" i="6"/>
  <c r="E688" i="6"/>
  <c r="F688" i="6"/>
  <c r="E686" i="6"/>
  <c r="F686" i="6"/>
  <c r="E687" i="6"/>
  <c r="F687" i="6"/>
  <c r="E685" i="6"/>
  <c r="F685" i="6"/>
  <c r="E677" i="6"/>
  <c r="F677" i="6"/>
  <c r="E690" i="6"/>
  <c r="F690" i="6"/>
  <c r="E691" i="6"/>
  <c r="F691" i="6"/>
  <c r="E692" i="6"/>
  <c r="H692" i="6" s="1"/>
  <c r="F692" i="6"/>
  <c r="E693" i="6"/>
  <c r="F693" i="6"/>
  <c r="E694" i="6"/>
  <c r="G694" i="6" s="1"/>
  <c r="F694" i="6"/>
  <c r="E695" i="6"/>
  <c r="G695" i="6" s="1"/>
  <c r="F695" i="6"/>
  <c r="E689" i="6"/>
  <c r="F689" i="6"/>
  <c r="E697" i="6"/>
  <c r="F697" i="6"/>
  <c r="E698" i="6"/>
  <c r="F698" i="6"/>
  <c r="E699" i="6"/>
  <c r="F699" i="6"/>
  <c r="E700" i="6"/>
  <c r="G700" i="6" s="1"/>
  <c r="F700" i="6"/>
  <c r="E701" i="6"/>
  <c r="F701" i="6"/>
  <c r="E702" i="6"/>
  <c r="F702" i="6"/>
  <c r="E703" i="6"/>
  <c r="F703" i="6"/>
  <c r="E707" i="6"/>
  <c r="F707" i="6"/>
  <c r="E705" i="6"/>
  <c r="F705" i="6"/>
  <c r="E706" i="6"/>
  <c r="F706" i="6"/>
  <c r="E704" i="6"/>
  <c r="F704" i="6"/>
  <c r="E696" i="6"/>
  <c r="G696" i="6" s="1"/>
  <c r="F696" i="6"/>
  <c r="E709" i="6"/>
  <c r="F709" i="6"/>
  <c r="E710" i="6"/>
  <c r="F710" i="6"/>
  <c r="E711" i="6"/>
  <c r="F711" i="6"/>
  <c r="E712" i="6"/>
  <c r="F712" i="6"/>
  <c r="E713" i="6"/>
  <c r="F713" i="6"/>
  <c r="E714" i="6"/>
  <c r="F714" i="6"/>
  <c r="E715" i="6"/>
  <c r="F715" i="6"/>
  <c r="E719" i="6"/>
  <c r="G719" i="6" s="1"/>
  <c r="F719" i="6"/>
  <c r="E717" i="6"/>
  <c r="F717" i="6"/>
  <c r="E718" i="6"/>
  <c r="G718" i="6" s="1"/>
  <c r="F718" i="6"/>
  <c r="E716" i="6"/>
  <c r="G716" i="6" s="1"/>
  <c r="F716" i="6"/>
  <c r="E708" i="6"/>
  <c r="G708" i="6" s="1"/>
  <c r="F708" i="6"/>
  <c r="E721" i="6"/>
  <c r="F721" i="6"/>
  <c r="E722" i="6"/>
  <c r="F722" i="6"/>
  <c r="E723" i="6"/>
  <c r="F723" i="6"/>
  <c r="E724" i="6"/>
  <c r="F724" i="6"/>
  <c r="E725" i="6"/>
  <c r="F725" i="6"/>
  <c r="E726" i="6"/>
  <c r="F726" i="6"/>
  <c r="E727" i="6"/>
  <c r="G727" i="6" s="1"/>
  <c r="F727" i="6"/>
  <c r="E731" i="6"/>
  <c r="F731" i="6"/>
  <c r="E729" i="6"/>
  <c r="F729" i="6"/>
  <c r="E730" i="6"/>
  <c r="F730" i="6"/>
  <c r="E728" i="6"/>
  <c r="F728" i="6"/>
  <c r="E720" i="6"/>
  <c r="G720" i="6" s="1"/>
  <c r="F720" i="6"/>
  <c r="E733" i="6"/>
  <c r="F733" i="6"/>
  <c r="E734" i="6"/>
  <c r="G734" i="6" s="1"/>
  <c r="F734" i="6"/>
  <c r="E735" i="6"/>
  <c r="G735" i="6" s="1"/>
  <c r="F735" i="6"/>
  <c r="E736" i="6"/>
  <c r="G736" i="6" s="1"/>
  <c r="F736" i="6"/>
  <c r="E737" i="6"/>
  <c r="G737" i="6" s="1"/>
  <c r="F737" i="6"/>
  <c r="E738" i="6"/>
  <c r="F738" i="6"/>
  <c r="E739" i="6"/>
  <c r="F739" i="6"/>
  <c r="E743" i="6"/>
  <c r="F743" i="6"/>
  <c r="E741" i="6"/>
  <c r="F741" i="6"/>
  <c r="E742" i="6"/>
  <c r="F742" i="6"/>
  <c r="E740" i="6"/>
  <c r="F740" i="6"/>
  <c r="E732" i="6"/>
  <c r="F732" i="6"/>
  <c r="E745" i="6"/>
  <c r="F745" i="6"/>
  <c r="E746" i="6"/>
  <c r="F746" i="6"/>
  <c r="E747" i="6"/>
  <c r="F747" i="6"/>
  <c r="E748" i="6"/>
  <c r="F748" i="6"/>
  <c r="E749" i="6"/>
  <c r="F749" i="6"/>
  <c r="E750" i="6"/>
  <c r="F750" i="6"/>
  <c r="E751" i="6"/>
  <c r="G751" i="6" s="1"/>
  <c r="F751" i="6"/>
  <c r="E755" i="6"/>
  <c r="F755" i="6"/>
  <c r="E753" i="6"/>
  <c r="F753" i="6"/>
  <c r="E754" i="6"/>
  <c r="F754" i="6"/>
  <c r="E752" i="6"/>
  <c r="F752" i="6"/>
  <c r="E744" i="6"/>
  <c r="G744" i="6" s="1"/>
  <c r="F744" i="6"/>
  <c r="E757" i="6"/>
  <c r="F757" i="6"/>
  <c r="E758" i="6"/>
  <c r="F758" i="6"/>
  <c r="E759" i="6"/>
  <c r="F759" i="6"/>
  <c r="E760" i="6"/>
  <c r="F760" i="6"/>
  <c r="E761" i="6"/>
  <c r="F761" i="6"/>
  <c r="E762" i="6"/>
  <c r="F762" i="6"/>
  <c r="E763" i="6"/>
  <c r="F763" i="6"/>
  <c r="E767" i="6"/>
  <c r="F767" i="6"/>
  <c r="E765" i="6"/>
  <c r="F765" i="6"/>
  <c r="E766" i="6"/>
  <c r="F766" i="6"/>
  <c r="E764" i="6"/>
  <c r="F764" i="6"/>
  <c r="E756" i="6"/>
  <c r="F756" i="6"/>
  <c r="E769" i="6"/>
  <c r="F769" i="6"/>
  <c r="E770" i="6"/>
  <c r="F770" i="6"/>
  <c r="E771" i="6"/>
  <c r="F771" i="6"/>
  <c r="E772" i="6"/>
  <c r="G772" i="6" s="1"/>
  <c r="F772" i="6"/>
  <c r="E773" i="6"/>
  <c r="F773" i="6"/>
  <c r="E774" i="6"/>
  <c r="G774" i="6" s="1"/>
  <c r="F774" i="6"/>
  <c r="E775" i="6"/>
  <c r="G775" i="6" s="1"/>
  <c r="F775" i="6"/>
  <c r="E779" i="6"/>
  <c r="F779" i="6"/>
  <c r="E777" i="6"/>
  <c r="F777" i="6"/>
  <c r="E778" i="6"/>
  <c r="F778" i="6"/>
  <c r="E776" i="6"/>
  <c r="F776" i="6"/>
  <c r="E768" i="6"/>
  <c r="G768" i="6" s="1"/>
  <c r="F768" i="6"/>
  <c r="E781" i="6"/>
  <c r="F781" i="6"/>
  <c r="E782" i="6"/>
  <c r="F782" i="6"/>
  <c r="E783" i="6"/>
  <c r="F783" i="6"/>
  <c r="E784" i="6"/>
  <c r="F784" i="6"/>
  <c r="E785" i="6"/>
  <c r="F785" i="6"/>
  <c r="E786" i="6"/>
  <c r="F786" i="6"/>
  <c r="E787" i="6"/>
  <c r="F787" i="6"/>
  <c r="E791" i="6"/>
  <c r="F791" i="6"/>
  <c r="E789" i="6"/>
  <c r="F789" i="6"/>
  <c r="E790" i="6"/>
  <c r="F790" i="6"/>
  <c r="E788" i="6"/>
  <c r="F788" i="6"/>
  <c r="E780" i="6"/>
  <c r="F780" i="6"/>
  <c r="E793" i="6"/>
  <c r="F793" i="6"/>
  <c r="E794" i="6"/>
  <c r="F794" i="6"/>
  <c r="E795" i="6"/>
  <c r="F795" i="6"/>
  <c r="E796" i="6"/>
  <c r="F796" i="6"/>
  <c r="E797" i="6"/>
  <c r="F797" i="6"/>
  <c r="E798" i="6"/>
  <c r="F798" i="6"/>
  <c r="E799" i="6"/>
  <c r="F799" i="6"/>
  <c r="E803" i="6"/>
  <c r="F803" i="6"/>
  <c r="E801" i="6"/>
  <c r="F801" i="6"/>
  <c r="E802" i="6"/>
  <c r="F802" i="6"/>
  <c r="E800" i="6"/>
  <c r="F800" i="6"/>
  <c r="E792" i="6"/>
  <c r="F792" i="6"/>
  <c r="E805" i="6"/>
  <c r="F805" i="6"/>
  <c r="E806" i="6"/>
  <c r="F806" i="6"/>
  <c r="E804" i="6"/>
  <c r="F804" i="6"/>
  <c r="E808" i="6"/>
  <c r="F808" i="6"/>
  <c r="E809" i="6"/>
  <c r="F809" i="6"/>
  <c r="E810" i="6"/>
  <c r="F810" i="6"/>
  <c r="E811" i="6"/>
  <c r="F811" i="6"/>
  <c r="E812" i="6"/>
  <c r="F812" i="6"/>
  <c r="E813" i="6"/>
  <c r="F813" i="6"/>
  <c r="E814" i="6"/>
  <c r="F814" i="6"/>
  <c r="E818" i="6"/>
  <c r="G818" i="6" s="1"/>
  <c r="F818" i="6"/>
  <c r="E816" i="6"/>
  <c r="G816" i="6" s="1"/>
  <c r="F816" i="6"/>
  <c r="E817" i="6"/>
  <c r="F817" i="6"/>
  <c r="E815" i="6"/>
  <c r="F815" i="6"/>
  <c r="E807" i="6"/>
  <c r="F807" i="6"/>
  <c r="E820" i="6"/>
  <c r="F820" i="6"/>
  <c r="E821" i="6"/>
  <c r="F821" i="6"/>
  <c r="E822" i="6"/>
  <c r="F822" i="6"/>
  <c r="E823" i="6"/>
  <c r="F823" i="6"/>
  <c r="E824" i="6"/>
  <c r="F824" i="6"/>
  <c r="E825" i="6"/>
  <c r="F825" i="6"/>
  <c r="E826" i="6"/>
  <c r="F826" i="6"/>
  <c r="E830" i="6"/>
  <c r="F830" i="6"/>
  <c r="E828" i="6"/>
  <c r="F828" i="6"/>
  <c r="E829" i="6"/>
  <c r="F829" i="6"/>
  <c r="E827" i="6"/>
  <c r="F827" i="6"/>
  <c r="E819" i="6"/>
  <c r="F819" i="6"/>
  <c r="E832" i="6"/>
  <c r="F832" i="6"/>
  <c r="E833" i="6"/>
  <c r="F833" i="6"/>
  <c r="E834" i="6"/>
  <c r="F834" i="6"/>
  <c r="E835" i="6"/>
  <c r="F835" i="6"/>
  <c r="E836" i="6"/>
  <c r="F836" i="6"/>
  <c r="E837" i="6"/>
  <c r="F837" i="6"/>
  <c r="E838" i="6"/>
  <c r="F838" i="6"/>
  <c r="E842" i="6"/>
  <c r="F842" i="6"/>
  <c r="E840" i="6"/>
  <c r="F840" i="6"/>
  <c r="E841" i="6"/>
  <c r="F841" i="6"/>
  <c r="E839" i="6"/>
  <c r="F839" i="6"/>
  <c r="E831" i="6"/>
  <c r="F831" i="6"/>
  <c r="E844" i="6"/>
  <c r="F844" i="6"/>
  <c r="E845" i="6"/>
  <c r="F845" i="6"/>
  <c r="E846" i="6"/>
  <c r="F846" i="6"/>
  <c r="E847" i="6"/>
  <c r="F847" i="6"/>
  <c r="E848" i="6"/>
  <c r="F848" i="6"/>
  <c r="E849" i="6"/>
  <c r="F849" i="6"/>
  <c r="E850" i="6"/>
  <c r="G850" i="6" s="1"/>
  <c r="F850" i="6"/>
  <c r="E854" i="6"/>
  <c r="G854" i="6" s="1"/>
  <c r="F854" i="6"/>
  <c r="E852" i="6"/>
  <c r="F852" i="6"/>
  <c r="E853" i="6"/>
  <c r="F853" i="6"/>
  <c r="E851" i="6"/>
  <c r="F851" i="6"/>
  <c r="E843" i="6"/>
  <c r="F843" i="6"/>
  <c r="E856" i="6"/>
  <c r="F856" i="6"/>
  <c r="E857" i="6"/>
  <c r="F857" i="6"/>
  <c r="E858" i="6"/>
  <c r="F858" i="6"/>
  <c r="E859" i="6"/>
  <c r="F859" i="6"/>
  <c r="E860" i="6"/>
  <c r="F860" i="6"/>
  <c r="E861" i="6"/>
  <c r="F861" i="6"/>
  <c r="E862" i="6"/>
  <c r="F862" i="6"/>
  <c r="E866" i="6"/>
  <c r="F866" i="6"/>
  <c r="E864" i="6"/>
  <c r="F864" i="6"/>
  <c r="E865" i="6"/>
  <c r="F865" i="6"/>
  <c r="E863" i="6"/>
  <c r="F863" i="6"/>
  <c r="E855" i="6"/>
  <c r="F855" i="6"/>
  <c r="E868" i="6"/>
  <c r="F868" i="6"/>
  <c r="E869" i="6"/>
  <c r="F869" i="6"/>
  <c r="E870" i="6"/>
  <c r="F870" i="6"/>
  <c r="E871" i="6"/>
  <c r="F871" i="6"/>
  <c r="E872" i="6"/>
  <c r="F872" i="6"/>
  <c r="E873" i="6"/>
  <c r="F873" i="6"/>
  <c r="E874" i="6"/>
  <c r="F874" i="6"/>
  <c r="E878" i="6"/>
  <c r="F878" i="6"/>
  <c r="E876" i="6"/>
  <c r="F876" i="6"/>
  <c r="E877" i="6"/>
  <c r="F877" i="6"/>
  <c r="E875" i="6"/>
  <c r="F875" i="6"/>
  <c r="E867" i="6"/>
  <c r="F867" i="6"/>
  <c r="E880" i="6"/>
  <c r="F880" i="6"/>
  <c r="E881" i="6"/>
  <c r="F881" i="6"/>
  <c r="E882" i="6"/>
  <c r="F882" i="6"/>
  <c r="E883" i="6"/>
  <c r="G883" i="6" s="1"/>
  <c r="F883" i="6"/>
  <c r="E884" i="6"/>
  <c r="G884" i="6" s="1"/>
  <c r="F884" i="6"/>
  <c r="E885" i="6"/>
  <c r="F885" i="6"/>
  <c r="E886" i="6"/>
  <c r="F886" i="6"/>
  <c r="E890" i="6"/>
  <c r="F890" i="6"/>
  <c r="E888" i="6"/>
  <c r="F888" i="6"/>
  <c r="E889" i="6"/>
  <c r="F889" i="6"/>
  <c r="E887" i="6"/>
  <c r="F887" i="6"/>
  <c r="E879" i="6"/>
  <c r="F879" i="6"/>
  <c r="E892" i="6"/>
  <c r="F892" i="6"/>
  <c r="E893" i="6"/>
  <c r="F893" i="6"/>
  <c r="E894" i="6"/>
  <c r="F894" i="6"/>
  <c r="E895" i="6"/>
  <c r="F895" i="6"/>
  <c r="E896" i="6"/>
  <c r="F896" i="6"/>
  <c r="E897" i="6"/>
  <c r="F897" i="6"/>
  <c r="E898" i="6"/>
  <c r="F898" i="6"/>
  <c r="E902" i="6"/>
  <c r="F902" i="6"/>
  <c r="E900" i="6"/>
  <c r="F900" i="6"/>
  <c r="E901" i="6"/>
  <c r="F901" i="6"/>
  <c r="E899" i="6"/>
  <c r="F899" i="6"/>
  <c r="E891" i="6"/>
  <c r="F891" i="6"/>
  <c r="E904" i="6"/>
  <c r="F904" i="6"/>
  <c r="E905" i="6"/>
  <c r="F905" i="6"/>
  <c r="E906" i="6"/>
  <c r="F906" i="6"/>
  <c r="E907" i="6"/>
  <c r="F907" i="6"/>
  <c r="E908" i="6"/>
  <c r="F908" i="6"/>
  <c r="E909" i="6"/>
  <c r="F909" i="6"/>
  <c r="E910" i="6"/>
  <c r="F910" i="6"/>
  <c r="E914" i="6"/>
  <c r="F914" i="6"/>
  <c r="E912" i="6"/>
  <c r="F912" i="6"/>
  <c r="E913" i="6"/>
  <c r="F913" i="6"/>
  <c r="E911" i="6"/>
  <c r="F911" i="6"/>
  <c r="E903" i="6"/>
  <c r="G903" i="6" s="1"/>
  <c r="F903" i="6"/>
  <c r="E916" i="6"/>
  <c r="G916" i="6" s="1"/>
  <c r="F916" i="6"/>
  <c r="E917" i="6"/>
  <c r="F917" i="6"/>
  <c r="E918" i="6"/>
  <c r="F918" i="6"/>
  <c r="E919" i="6"/>
  <c r="F919" i="6"/>
  <c r="E920" i="6"/>
  <c r="F920" i="6"/>
  <c r="E921" i="6"/>
  <c r="F921" i="6"/>
  <c r="E922" i="6"/>
  <c r="F922" i="6"/>
  <c r="E926" i="6"/>
  <c r="F926" i="6"/>
  <c r="E924" i="6"/>
  <c r="F924" i="6"/>
  <c r="E925" i="6"/>
  <c r="F925" i="6"/>
  <c r="E923" i="6"/>
  <c r="F923" i="6"/>
  <c r="E915" i="6"/>
  <c r="F915" i="6"/>
  <c r="E928" i="6"/>
  <c r="F928" i="6"/>
  <c r="E929" i="6"/>
  <c r="F929" i="6"/>
  <c r="E930" i="6"/>
  <c r="F930" i="6"/>
  <c r="E931" i="6"/>
  <c r="F931" i="6"/>
  <c r="E932" i="6"/>
  <c r="F932" i="6"/>
  <c r="E933" i="6"/>
  <c r="F933" i="6"/>
  <c r="E934" i="6"/>
  <c r="F934" i="6"/>
  <c r="E938" i="6"/>
  <c r="F938" i="6"/>
  <c r="E936" i="6"/>
  <c r="F936" i="6"/>
  <c r="E937" i="6"/>
  <c r="F937" i="6"/>
  <c r="E935" i="6"/>
  <c r="F935" i="6"/>
  <c r="E927" i="6"/>
  <c r="F927" i="6"/>
  <c r="E940" i="6"/>
  <c r="F940" i="6"/>
  <c r="E941" i="6"/>
  <c r="F941" i="6"/>
  <c r="E942" i="6"/>
  <c r="F942" i="6"/>
  <c r="E943" i="6"/>
  <c r="F943" i="6"/>
  <c r="E944" i="6"/>
  <c r="F944" i="6"/>
  <c r="E945" i="6"/>
  <c r="F945" i="6"/>
  <c r="E946" i="6"/>
  <c r="G946" i="6" s="1"/>
  <c r="F946" i="6"/>
  <c r="E950" i="6"/>
  <c r="F950" i="6"/>
  <c r="E948" i="6"/>
  <c r="G948" i="6" s="1"/>
  <c r="F948" i="6"/>
  <c r="E949" i="6"/>
  <c r="F949" i="6"/>
  <c r="E947" i="6"/>
  <c r="F947" i="6"/>
  <c r="E939" i="6"/>
  <c r="F939" i="6"/>
  <c r="E952" i="6"/>
  <c r="F952" i="6"/>
  <c r="E953" i="6"/>
  <c r="F953" i="6"/>
  <c r="E954" i="6"/>
  <c r="F954" i="6"/>
  <c r="E955" i="6"/>
  <c r="F955" i="6"/>
  <c r="E956" i="6"/>
  <c r="F956" i="6"/>
  <c r="E957" i="6"/>
  <c r="F957" i="6"/>
  <c r="E958" i="6"/>
  <c r="F958" i="6"/>
  <c r="E962" i="6"/>
  <c r="F962" i="6"/>
  <c r="E960" i="6"/>
  <c r="F960" i="6"/>
  <c r="E961" i="6"/>
  <c r="F961" i="6"/>
  <c r="E959" i="6"/>
  <c r="F959" i="6"/>
  <c r="E951" i="6"/>
  <c r="F951" i="6"/>
  <c r="E964" i="6"/>
  <c r="F964" i="6"/>
  <c r="E965" i="6"/>
  <c r="F965" i="6"/>
  <c r="E966" i="6"/>
  <c r="F966" i="6"/>
  <c r="E967" i="6"/>
  <c r="F967" i="6"/>
  <c r="E968" i="6"/>
  <c r="F968" i="6"/>
  <c r="E969" i="6"/>
  <c r="F969" i="6"/>
  <c r="E970" i="6"/>
  <c r="F970" i="6"/>
  <c r="E974" i="6"/>
  <c r="F974" i="6"/>
  <c r="E972" i="6"/>
  <c r="G972" i="6" s="1"/>
  <c r="F972" i="6"/>
  <c r="E973" i="6"/>
  <c r="G973" i="6" s="1"/>
  <c r="F973" i="6"/>
  <c r="E971" i="6"/>
  <c r="F971" i="6"/>
  <c r="E963" i="6"/>
  <c r="F963" i="6"/>
  <c r="E976" i="6"/>
  <c r="F976" i="6"/>
  <c r="E977" i="6"/>
  <c r="F977" i="6"/>
  <c r="E978" i="6"/>
  <c r="F978" i="6"/>
  <c r="E979" i="6"/>
  <c r="F979" i="6"/>
  <c r="E980" i="6"/>
  <c r="F980" i="6"/>
  <c r="E981" i="6"/>
  <c r="F981" i="6"/>
  <c r="E982" i="6"/>
  <c r="F982" i="6"/>
  <c r="E986" i="6"/>
  <c r="F986" i="6"/>
  <c r="E984" i="6"/>
  <c r="F984" i="6"/>
  <c r="E985" i="6"/>
  <c r="F985" i="6"/>
  <c r="E983" i="6"/>
  <c r="F983" i="6"/>
  <c r="E975" i="6"/>
  <c r="F975" i="6"/>
  <c r="E988" i="6"/>
  <c r="F988" i="6"/>
  <c r="E989" i="6"/>
  <c r="F989" i="6"/>
  <c r="E990" i="6"/>
  <c r="F990" i="6"/>
  <c r="E991" i="6"/>
  <c r="F991" i="6"/>
  <c r="E992" i="6"/>
  <c r="F992" i="6"/>
  <c r="E993" i="6"/>
  <c r="F993" i="6"/>
  <c r="E994" i="6"/>
  <c r="F994" i="6"/>
  <c r="E998" i="6"/>
  <c r="F998" i="6"/>
  <c r="E996" i="6"/>
  <c r="F996" i="6"/>
  <c r="E997" i="6"/>
  <c r="F997" i="6"/>
  <c r="E995" i="6"/>
  <c r="F995" i="6"/>
  <c r="E987" i="6"/>
  <c r="F987" i="6"/>
  <c r="E1000" i="6"/>
  <c r="F1000" i="6"/>
  <c r="E1001" i="6"/>
  <c r="F1001" i="6"/>
  <c r="E1002" i="6"/>
  <c r="F1002" i="6"/>
  <c r="E1003" i="6"/>
  <c r="F1003" i="6"/>
  <c r="E1004" i="6"/>
  <c r="G1004" i="6" s="1"/>
  <c r="F1004" i="6"/>
  <c r="E999" i="6"/>
  <c r="G999" i="6" s="1"/>
  <c r="F999" i="6"/>
  <c r="E1006" i="6"/>
  <c r="F1006" i="6"/>
  <c r="E1007" i="6"/>
  <c r="F1007" i="6"/>
  <c r="E1008" i="6"/>
  <c r="F1008" i="6"/>
  <c r="E1009" i="6"/>
  <c r="F1009" i="6"/>
  <c r="E1010" i="6"/>
  <c r="F1010" i="6"/>
  <c r="E1011" i="6"/>
  <c r="F1011" i="6"/>
  <c r="E1012" i="6"/>
  <c r="F1012" i="6"/>
  <c r="E1016" i="6"/>
  <c r="F1016" i="6"/>
  <c r="E1014" i="6"/>
  <c r="F1014" i="6"/>
  <c r="E1015" i="6"/>
  <c r="F1015" i="6"/>
  <c r="E1013" i="6"/>
  <c r="F1013" i="6"/>
  <c r="E1005" i="6"/>
  <c r="F1005" i="6"/>
  <c r="E1018" i="6"/>
  <c r="F1018" i="6"/>
  <c r="E1019" i="6"/>
  <c r="F1019" i="6"/>
  <c r="E1020" i="6"/>
  <c r="F1020" i="6"/>
  <c r="E1021" i="6"/>
  <c r="F1021" i="6"/>
  <c r="E1022" i="6"/>
  <c r="F1022" i="6"/>
  <c r="E1023" i="6"/>
  <c r="F1023" i="6"/>
  <c r="E1024" i="6"/>
  <c r="F1024" i="6"/>
  <c r="E1028" i="6"/>
  <c r="F1028" i="6"/>
  <c r="E1026" i="6"/>
  <c r="F1026" i="6"/>
  <c r="E1027" i="6"/>
  <c r="F1027" i="6"/>
  <c r="E1025" i="6"/>
  <c r="F1025" i="6"/>
  <c r="E1017" i="6"/>
  <c r="F1017" i="6"/>
  <c r="E1030" i="6"/>
  <c r="F1030" i="6"/>
  <c r="E1031" i="6"/>
  <c r="F1031" i="6"/>
  <c r="E1032" i="6"/>
  <c r="F1032" i="6"/>
  <c r="E1033" i="6"/>
  <c r="F1033" i="6"/>
  <c r="E1034" i="6"/>
  <c r="F1034" i="6"/>
  <c r="E1035" i="6"/>
  <c r="F1035" i="6"/>
  <c r="E1036" i="6"/>
  <c r="G1036" i="6" s="1"/>
  <c r="F1036" i="6"/>
  <c r="E1040" i="6"/>
  <c r="G1040" i="6" s="1"/>
  <c r="F1040" i="6"/>
  <c r="E1038" i="6"/>
  <c r="F1038" i="6"/>
  <c r="E1039" i="6"/>
  <c r="F1039" i="6"/>
  <c r="E1037" i="6"/>
  <c r="F1037" i="6"/>
  <c r="E1029" i="6"/>
  <c r="F1029" i="6"/>
  <c r="E1042" i="6"/>
  <c r="F1042" i="6"/>
  <c r="E1043" i="6"/>
  <c r="F1043" i="6"/>
  <c r="E1044" i="6"/>
  <c r="F1044" i="6"/>
  <c r="E1045" i="6"/>
  <c r="F1045" i="6"/>
  <c r="E1046" i="6"/>
  <c r="F1046" i="6"/>
  <c r="E1047" i="6"/>
  <c r="F1047" i="6"/>
  <c r="E1048" i="6"/>
  <c r="F1048" i="6"/>
  <c r="E1052" i="6"/>
  <c r="F1052" i="6"/>
  <c r="E1050" i="6"/>
  <c r="F1050" i="6"/>
  <c r="E1051" i="6"/>
  <c r="F1051" i="6"/>
  <c r="E1049" i="6"/>
  <c r="F1049" i="6"/>
  <c r="E1041" i="6"/>
  <c r="F1041" i="6"/>
  <c r="E1054" i="6"/>
  <c r="F1054" i="6"/>
  <c r="E1055" i="6"/>
  <c r="F1055" i="6"/>
  <c r="E1056" i="6"/>
  <c r="F1056" i="6"/>
  <c r="E1057" i="6"/>
  <c r="F1057" i="6"/>
  <c r="E1058" i="6"/>
  <c r="F1058" i="6"/>
  <c r="E1059" i="6"/>
  <c r="F1059" i="6"/>
  <c r="E1060" i="6"/>
  <c r="F1060" i="6"/>
  <c r="E1064" i="6"/>
  <c r="F1064" i="6"/>
  <c r="E1062" i="6"/>
  <c r="F1062" i="6"/>
  <c r="E1063" i="6"/>
  <c r="F1063" i="6"/>
  <c r="E1061" i="6"/>
  <c r="F1061" i="6"/>
  <c r="E1053" i="6"/>
  <c r="F1053" i="6"/>
  <c r="E1066" i="6"/>
  <c r="F1066" i="6"/>
  <c r="E1067" i="6"/>
  <c r="F1067" i="6"/>
  <c r="E1068" i="6"/>
  <c r="G1068" i="6" s="1"/>
  <c r="F1068" i="6"/>
  <c r="E1069" i="6"/>
  <c r="G1069" i="6" s="1"/>
  <c r="F1069" i="6"/>
  <c r="E1070" i="6"/>
  <c r="F1070" i="6"/>
  <c r="E1071" i="6"/>
  <c r="F1071" i="6"/>
  <c r="E1072" i="6"/>
  <c r="F1072" i="6"/>
  <c r="E1076" i="6"/>
  <c r="F1076" i="6"/>
  <c r="E1074" i="6"/>
  <c r="F1074" i="6"/>
  <c r="E1075" i="6"/>
  <c r="F1075" i="6"/>
  <c r="E1073" i="6"/>
  <c r="F1073" i="6"/>
  <c r="E1065" i="6"/>
  <c r="F1065" i="6"/>
  <c r="E1078" i="6"/>
  <c r="F1078" i="6"/>
  <c r="E1079" i="6"/>
  <c r="F1079" i="6"/>
  <c r="E1080" i="6"/>
  <c r="F1080" i="6"/>
  <c r="E1081" i="6"/>
  <c r="F1081" i="6"/>
  <c r="E1082" i="6"/>
  <c r="F1082" i="6"/>
  <c r="E1077" i="6"/>
  <c r="F1077" i="6"/>
  <c r="E1084" i="6"/>
  <c r="F1084" i="6"/>
  <c r="E1085" i="6"/>
  <c r="F1085" i="6"/>
  <c r="E1086" i="6"/>
  <c r="F1086" i="6"/>
  <c r="E1087" i="6"/>
  <c r="F1087" i="6"/>
  <c r="E1088" i="6"/>
  <c r="F1088" i="6"/>
  <c r="E1089" i="6"/>
  <c r="F1089" i="6"/>
  <c r="E1090" i="6"/>
  <c r="F1090" i="6"/>
  <c r="E1094" i="6"/>
  <c r="G1094" i="6" s="1"/>
  <c r="F1094" i="6"/>
  <c r="E1092" i="6"/>
  <c r="F1092" i="6"/>
  <c r="E1093" i="6"/>
  <c r="F1093" i="6"/>
  <c r="E1091" i="6"/>
  <c r="F1091" i="6"/>
  <c r="E1083" i="6"/>
  <c r="F1083" i="6"/>
  <c r="E1096" i="6"/>
  <c r="F1096" i="6"/>
  <c r="E1097" i="6"/>
  <c r="F1097" i="6"/>
  <c r="E1098" i="6"/>
  <c r="G1098" i="6" s="1"/>
  <c r="F1098" i="6"/>
  <c r="E1099" i="6"/>
  <c r="F1099" i="6"/>
  <c r="E1100" i="6"/>
  <c r="F1100" i="6"/>
  <c r="E1101" i="6"/>
  <c r="F1101" i="6"/>
  <c r="E1102" i="6"/>
  <c r="F1102" i="6"/>
  <c r="E1106" i="6"/>
  <c r="F1106" i="6"/>
  <c r="E1104" i="6"/>
  <c r="F1104" i="6"/>
  <c r="E1105" i="6"/>
  <c r="F1105" i="6"/>
  <c r="E1103" i="6"/>
  <c r="F1103" i="6"/>
  <c r="E1095" i="6"/>
  <c r="F1095" i="6"/>
  <c r="E1108" i="6"/>
  <c r="F1108" i="6"/>
  <c r="E1109" i="6"/>
  <c r="F1109" i="6"/>
  <c r="E1110" i="6"/>
  <c r="F1110" i="6"/>
  <c r="E1111" i="6"/>
  <c r="F1111" i="6"/>
  <c r="E1112" i="6"/>
  <c r="F1112" i="6"/>
  <c r="E1113" i="6"/>
  <c r="F1113" i="6"/>
  <c r="E1114" i="6"/>
  <c r="F1114" i="6"/>
  <c r="E1118" i="6"/>
  <c r="F1118" i="6"/>
  <c r="E1116" i="6"/>
  <c r="F1116" i="6"/>
  <c r="E1117" i="6"/>
  <c r="F1117" i="6"/>
  <c r="E1115" i="6"/>
  <c r="F1115" i="6"/>
  <c r="E1107" i="6"/>
  <c r="F1107" i="6"/>
  <c r="E1120" i="6"/>
  <c r="F1120" i="6"/>
  <c r="E1121" i="6"/>
  <c r="G1121" i="6" s="1"/>
  <c r="F1121" i="6"/>
  <c r="E1122" i="6"/>
  <c r="G1122" i="6" s="1"/>
  <c r="F1122" i="6"/>
  <c r="E1123" i="6"/>
  <c r="F1123" i="6"/>
  <c r="E1124" i="6"/>
  <c r="F1124" i="6"/>
  <c r="E1125" i="6"/>
  <c r="F1125" i="6"/>
  <c r="E1126" i="6"/>
  <c r="F1126" i="6"/>
  <c r="E1130" i="6"/>
  <c r="F1130" i="6"/>
  <c r="E1128" i="6"/>
  <c r="F1128" i="6"/>
  <c r="E1129" i="6"/>
  <c r="F1129" i="6"/>
  <c r="E1127" i="6"/>
  <c r="F1127" i="6"/>
  <c r="E1119" i="6"/>
  <c r="F1119" i="6"/>
  <c r="E1132" i="6"/>
  <c r="F1132" i="6"/>
  <c r="E1133" i="6"/>
  <c r="F1133" i="6"/>
  <c r="E1134" i="6"/>
  <c r="F1134" i="6"/>
  <c r="E1135" i="6"/>
  <c r="F1135" i="6"/>
  <c r="E1136" i="6"/>
  <c r="F1136" i="6"/>
  <c r="E1137" i="6"/>
  <c r="F1137" i="6"/>
  <c r="E1138" i="6"/>
  <c r="F1138" i="6"/>
  <c r="E1142" i="6"/>
  <c r="F1142" i="6"/>
  <c r="E1140" i="6"/>
  <c r="F1140" i="6"/>
  <c r="E1141" i="6"/>
  <c r="F1141" i="6"/>
  <c r="E1139" i="6"/>
  <c r="F1139" i="6"/>
  <c r="E1131" i="6"/>
  <c r="F1131" i="6"/>
  <c r="E1144" i="6"/>
  <c r="F1144" i="6"/>
  <c r="E1145" i="6"/>
  <c r="F1145" i="6"/>
  <c r="E1146" i="6"/>
  <c r="F1146" i="6"/>
  <c r="E1147" i="6"/>
  <c r="F1147" i="6"/>
  <c r="E1148" i="6"/>
  <c r="F1148" i="6"/>
  <c r="E1149" i="6"/>
  <c r="F1149" i="6"/>
  <c r="E1150" i="6"/>
  <c r="F1150" i="6"/>
  <c r="E1154" i="6"/>
  <c r="G1154" i="6" s="1"/>
  <c r="F1154" i="6"/>
  <c r="E1152" i="6"/>
  <c r="G1152" i="6" s="1"/>
  <c r="F1152" i="6"/>
  <c r="E1153" i="6"/>
  <c r="F1153" i="6"/>
  <c r="E1151" i="6"/>
  <c r="F1151" i="6"/>
  <c r="E1143" i="6"/>
  <c r="F1143" i="6"/>
  <c r="E1156" i="6"/>
  <c r="F1156" i="6"/>
  <c r="E1157" i="6"/>
  <c r="F1157" i="6"/>
  <c r="E1158" i="6"/>
  <c r="F1158" i="6"/>
  <c r="E1159" i="6"/>
  <c r="F1159" i="6"/>
  <c r="E1160" i="6"/>
  <c r="F1160" i="6"/>
  <c r="E1161" i="6"/>
  <c r="F1161" i="6"/>
  <c r="E1162" i="6"/>
  <c r="F1162" i="6"/>
  <c r="E1166" i="6"/>
  <c r="F1166" i="6"/>
  <c r="E1164" i="6"/>
  <c r="F1164" i="6"/>
  <c r="E1165" i="6"/>
  <c r="F1165" i="6"/>
  <c r="E1163" i="6"/>
  <c r="F1163" i="6"/>
  <c r="E1155" i="6"/>
  <c r="F1155" i="6"/>
  <c r="E1168" i="6"/>
  <c r="F1168" i="6"/>
  <c r="E1169" i="6"/>
  <c r="F1169" i="6"/>
  <c r="E1170" i="6"/>
  <c r="F1170" i="6"/>
  <c r="E1171" i="6"/>
  <c r="F1171" i="6"/>
  <c r="E1172" i="6"/>
  <c r="F1172" i="6"/>
  <c r="E1173" i="6"/>
  <c r="F1173" i="6"/>
  <c r="E1174" i="6"/>
  <c r="F1174" i="6"/>
  <c r="E1178" i="6"/>
  <c r="F1178" i="6"/>
  <c r="E1176" i="6"/>
  <c r="F1176" i="6"/>
  <c r="E1177" i="6"/>
  <c r="F1177" i="6"/>
  <c r="E1175" i="6"/>
  <c r="F1175" i="6"/>
  <c r="E1167" i="6"/>
  <c r="F1167" i="6"/>
  <c r="E1180" i="6"/>
  <c r="F1180" i="6"/>
  <c r="E1181" i="6"/>
  <c r="G1181" i="6" s="1"/>
  <c r="F1181" i="6"/>
  <c r="E1182" i="6"/>
  <c r="G1182" i="6" s="1"/>
  <c r="F1182" i="6"/>
  <c r="E1183" i="6"/>
  <c r="F1183" i="6"/>
  <c r="E1184" i="6"/>
  <c r="F1184" i="6"/>
  <c r="E1185" i="6"/>
  <c r="F1185" i="6"/>
  <c r="E1186" i="6"/>
  <c r="F1186" i="6"/>
  <c r="E1190" i="6"/>
  <c r="F1190" i="6"/>
  <c r="E1188" i="6"/>
  <c r="F1188" i="6"/>
  <c r="E1189" i="6"/>
  <c r="F1189" i="6"/>
  <c r="E1187" i="6"/>
  <c r="F1187" i="6"/>
  <c r="E1179" i="6"/>
  <c r="F1179" i="6"/>
  <c r="E1192" i="6"/>
  <c r="F1192" i="6"/>
  <c r="E1193" i="6"/>
  <c r="F1193" i="6"/>
  <c r="E1194" i="6"/>
  <c r="F1194" i="6"/>
  <c r="E1195" i="6"/>
  <c r="F1195" i="6"/>
  <c r="E1196" i="6"/>
  <c r="H1196" i="6" s="1"/>
  <c r="F1196" i="6"/>
  <c r="E1197" i="6"/>
  <c r="F1197" i="6"/>
  <c r="E1198" i="6"/>
  <c r="F1198" i="6"/>
  <c r="E1202" i="6"/>
  <c r="F1202" i="6"/>
  <c r="E1200" i="6"/>
  <c r="F1200" i="6"/>
  <c r="E1201" i="6"/>
  <c r="F1201" i="6"/>
  <c r="E1199" i="6"/>
  <c r="H1199" i="6" s="1"/>
  <c r="F1199" i="6"/>
  <c r="E1191" i="6"/>
  <c r="F1191" i="6"/>
  <c r="E1204" i="6"/>
  <c r="F1204" i="6"/>
  <c r="E1205" i="6"/>
  <c r="F1205" i="6"/>
  <c r="E1206" i="6"/>
  <c r="F1206" i="6"/>
  <c r="E1207" i="6"/>
  <c r="F1207" i="6"/>
  <c r="E1208" i="6"/>
  <c r="F1208" i="6"/>
  <c r="E1209" i="6"/>
  <c r="F1209" i="6"/>
  <c r="E1210" i="6"/>
  <c r="G1210" i="6" s="1"/>
  <c r="F1210" i="6"/>
  <c r="E1214" i="6"/>
  <c r="F1214" i="6"/>
  <c r="E1212" i="6"/>
  <c r="G1212" i="6" s="1"/>
  <c r="F1212" i="6"/>
  <c r="E1213" i="6"/>
  <c r="F1213" i="6"/>
  <c r="E1211" i="6"/>
  <c r="F1211" i="6"/>
  <c r="E1203" i="6"/>
  <c r="F1203" i="6"/>
  <c r="E1216" i="6"/>
  <c r="F1216" i="6"/>
  <c r="E1217" i="6"/>
  <c r="F1217" i="6"/>
  <c r="E1218" i="6"/>
  <c r="F1218" i="6"/>
  <c r="E1219" i="6"/>
  <c r="F1219" i="6"/>
  <c r="E1220" i="6"/>
  <c r="F1220" i="6"/>
  <c r="E1221" i="6"/>
  <c r="F1221" i="6"/>
  <c r="E1222" i="6"/>
  <c r="F1222" i="6"/>
  <c r="E1226" i="6"/>
  <c r="F1226" i="6"/>
  <c r="E1224" i="6"/>
  <c r="F1224" i="6"/>
  <c r="E1225" i="6"/>
  <c r="F1225" i="6"/>
  <c r="E1223" i="6"/>
  <c r="F1223" i="6"/>
  <c r="E1215" i="6"/>
  <c r="F1215" i="6"/>
  <c r="E1228" i="6"/>
  <c r="F1228" i="6"/>
  <c r="E1232" i="6"/>
  <c r="F1232" i="6"/>
  <c r="E1230" i="6"/>
  <c r="F1230" i="6"/>
  <c r="E1231" i="6"/>
  <c r="F1231" i="6"/>
  <c r="E1229" i="6"/>
  <c r="F1229" i="6"/>
  <c r="E1227" i="6"/>
  <c r="G1227" i="6" s="1"/>
  <c r="F1227" i="6"/>
  <c r="E1234" i="6"/>
  <c r="G1234" i="6" s="1"/>
  <c r="F1234" i="6"/>
  <c r="E1235" i="6"/>
  <c r="F1235" i="6"/>
  <c r="E1236" i="6"/>
  <c r="F1236" i="6"/>
  <c r="E1237" i="6"/>
  <c r="F1237" i="6"/>
  <c r="E1238" i="6"/>
  <c r="F1238" i="6"/>
  <c r="E1239" i="6"/>
  <c r="F1239" i="6"/>
  <c r="E1243" i="6"/>
  <c r="F1243" i="6"/>
  <c r="E1241" i="6"/>
  <c r="F1241" i="6"/>
  <c r="E1242" i="6"/>
  <c r="F1242" i="6"/>
  <c r="E1240" i="6"/>
  <c r="F1240" i="6"/>
  <c r="E1233" i="6"/>
  <c r="F1233" i="6"/>
  <c r="E1246" i="6"/>
  <c r="F1246" i="6"/>
  <c r="E1245" i="6"/>
  <c r="F1245" i="6"/>
  <c r="E1244" i="6"/>
  <c r="F1244" i="6"/>
  <c r="E1248" i="6"/>
  <c r="F1248" i="6"/>
  <c r="E1249" i="6"/>
  <c r="F1249" i="6"/>
  <c r="E1250" i="6"/>
  <c r="F1250" i="6"/>
  <c r="E1251" i="6"/>
  <c r="F1251" i="6"/>
  <c r="E1252" i="6"/>
  <c r="F1252" i="6"/>
  <c r="E1253" i="6"/>
  <c r="F1253" i="6"/>
  <c r="E1254" i="6"/>
  <c r="F1254" i="6"/>
  <c r="E1258" i="6"/>
  <c r="F1258" i="6"/>
  <c r="E1256" i="6"/>
  <c r="F1256" i="6"/>
  <c r="E1257" i="6"/>
  <c r="F1257" i="6"/>
  <c r="E1255" i="6"/>
  <c r="F1255" i="6"/>
  <c r="E1247" i="6"/>
  <c r="F1247" i="6"/>
  <c r="E1260" i="6"/>
  <c r="F1260" i="6"/>
  <c r="E1261" i="6"/>
  <c r="G1261" i="6" s="1"/>
  <c r="F1261" i="6"/>
  <c r="E1262" i="6"/>
  <c r="G1262" i="6" s="1"/>
  <c r="F1262" i="6"/>
  <c r="E1263" i="6"/>
  <c r="F1263" i="6"/>
  <c r="E1264" i="6"/>
  <c r="F1264" i="6"/>
  <c r="E1265" i="6"/>
  <c r="F1265" i="6"/>
  <c r="E1266" i="6"/>
  <c r="F1266" i="6"/>
  <c r="E1270" i="6"/>
  <c r="F1270" i="6"/>
  <c r="E1268" i="6"/>
  <c r="F1268" i="6"/>
  <c r="E1269" i="6"/>
  <c r="F1269" i="6"/>
  <c r="E1267" i="6"/>
  <c r="F1267" i="6"/>
  <c r="E1259" i="6"/>
  <c r="F1259" i="6"/>
  <c r="E1272" i="6"/>
  <c r="F1272" i="6"/>
  <c r="E1273" i="6"/>
  <c r="F1273" i="6"/>
  <c r="E1274" i="6"/>
  <c r="F1274" i="6"/>
  <c r="E1275" i="6"/>
  <c r="F1275" i="6"/>
  <c r="E1276" i="6"/>
  <c r="F1276" i="6"/>
  <c r="E1277" i="6"/>
  <c r="F1277" i="6"/>
  <c r="E1278" i="6"/>
  <c r="F1278" i="6"/>
  <c r="E1282" i="6"/>
  <c r="F1282" i="6"/>
  <c r="E1280" i="6"/>
  <c r="F1280" i="6"/>
  <c r="E1281" i="6"/>
  <c r="F1281" i="6"/>
  <c r="E1279" i="6"/>
  <c r="F1279" i="6"/>
  <c r="E1271" i="6"/>
  <c r="G1271" i="6" s="1"/>
  <c r="F1271" i="6"/>
  <c r="E1284" i="6"/>
  <c r="F1284" i="6"/>
  <c r="E1285" i="6"/>
  <c r="F1285" i="6"/>
  <c r="E1286" i="6"/>
  <c r="F1286" i="6"/>
  <c r="E1287" i="6"/>
  <c r="F1287" i="6"/>
  <c r="E1288" i="6"/>
  <c r="F1288" i="6"/>
  <c r="E1289" i="6"/>
  <c r="F1289" i="6"/>
  <c r="E1290" i="6"/>
  <c r="G1290" i="6" s="1"/>
  <c r="F1290" i="6"/>
  <c r="E1294" i="6"/>
  <c r="F1294" i="6"/>
  <c r="E1292" i="6"/>
  <c r="F1292" i="6"/>
  <c r="E1293" i="6"/>
  <c r="F1293" i="6"/>
  <c r="E1291" i="6"/>
  <c r="F1291" i="6"/>
  <c r="E1283" i="6"/>
  <c r="F1283" i="6"/>
  <c r="E1296" i="6"/>
  <c r="F1296" i="6"/>
  <c r="E1297" i="6"/>
  <c r="F1297" i="6"/>
  <c r="E1298" i="6"/>
  <c r="F1298" i="6"/>
  <c r="E1299" i="6"/>
  <c r="F1299" i="6"/>
  <c r="E1300" i="6"/>
  <c r="F1300" i="6"/>
  <c r="E1301" i="6"/>
  <c r="F1301" i="6"/>
  <c r="E1302" i="6"/>
  <c r="F1302" i="6"/>
  <c r="E1306" i="6"/>
  <c r="F1306" i="6"/>
  <c r="E1304" i="6"/>
  <c r="F1304" i="6"/>
  <c r="E1305" i="6"/>
  <c r="F1305" i="6"/>
  <c r="E1303" i="6"/>
  <c r="F1303" i="6"/>
  <c r="E1295" i="6"/>
  <c r="F1295" i="6"/>
  <c r="E1308" i="6"/>
  <c r="G1308" i="6" s="1"/>
  <c r="F1308" i="6"/>
  <c r="E1312" i="6"/>
  <c r="F1312" i="6"/>
  <c r="E1310" i="6"/>
  <c r="F1310" i="6"/>
  <c r="E1311" i="6"/>
  <c r="G1311" i="6" s="1"/>
  <c r="F1311" i="6"/>
  <c r="E1309" i="6"/>
  <c r="G1309" i="6" s="1"/>
  <c r="F1309" i="6"/>
  <c r="E1307" i="6"/>
  <c r="F1307" i="6"/>
  <c r="E1314" i="6"/>
  <c r="F1314" i="6"/>
  <c r="E1315" i="6"/>
  <c r="F1315" i="6"/>
  <c r="E1316" i="6"/>
  <c r="F1316" i="6"/>
  <c r="E1317" i="6"/>
  <c r="F1317" i="6"/>
  <c r="E1318" i="6"/>
  <c r="F1318" i="6"/>
  <c r="E1319" i="6"/>
  <c r="F1319" i="6"/>
  <c r="E1320" i="6"/>
  <c r="F1320" i="6"/>
  <c r="E1324" i="6"/>
  <c r="F1324" i="6"/>
  <c r="E1322" i="6"/>
  <c r="F1322" i="6"/>
  <c r="E1323" i="6"/>
  <c r="F1323" i="6"/>
  <c r="E1321" i="6"/>
  <c r="F1321" i="6"/>
  <c r="E1313" i="6"/>
  <c r="F1313" i="6"/>
  <c r="E1326" i="6"/>
  <c r="F1326" i="6"/>
  <c r="E1327" i="6"/>
  <c r="F1327" i="6"/>
  <c r="E1325" i="6"/>
  <c r="F1325" i="6"/>
  <c r="E1329" i="6"/>
  <c r="F1329" i="6"/>
  <c r="E1328" i="6"/>
  <c r="G1328" i="6" s="1"/>
  <c r="F1328" i="6"/>
  <c r="E1331" i="6"/>
  <c r="F1331" i="6"/>
  <c r="E1332" i="6"/>
  <c r="F1332" i="6"/>
  <c r="E1333" i="6"/>
  <c r="F1333" i="6"/>
  <c r="E1334" i="6"/>
  <c r="F1334" i="6"/>
  <c r="E1335" i="6"/>
  <c r="F1335" i="6"/>
  <c r="E1336" i="6"/>
  <c r="F1336" i="6"/>
  <c r="E1337" i="6"/>
  <c r="F1337" i="6"/>
  <c r="E1341" i="6"/>
  <c r="F1341" i="6"/>
  <c r="E1339" i="6"/>
  <c r="G1339" i="6" s="1"/>
  <c r="F1339" i="6"/>
  <c r="E1340" i="6"/>
  <c r="G1340" i="6" s="1"/>
  <c r="F1340" i="6"/>
  <c r="E1338" i="6"/>
  <c r="F1338" i="6"/>
  <c r="E1330" i="6"/>
  <c r="F1330" i="6"/>
  <c r="E1343" i="6"/>
  <c r="F1343" i="6"/>
  <c r="E1344" i="6"/>
  <c r="F1344" i="6"/>
  <c r="E1345" i="6"/>
  <c r="F1345" i="6"/>
  <c r="E1346" i="6"/>
  <c r="F1346" i="6"/>
  <c r="E1347" i="6"/>
  <c r="F1347" i="6"/>
  <c r="E1348" i="6"/>
  <c r="F1348" i="6"/>
  <c r="E1349" i="6"/>
  <c r="F1349" i="6"/>
  <c r="E1353" i="6"/>
  <c r="F1353" i="6"/>
  <c r="E1351" i="6"/>
  <c r="F1351" i="6"/>
  <c r="E1352" i="6"/>
  <c r="F1352" i="6"/>
  <c r="E1350" i="6"/>
  <c r="F1350" i="6"/>
  <c r="E1342" i="6"/>
  <c r="F1342" i="6"/>
  <c r="E1355" i="6"/>
  <c r="F1355" i="6"/>
  <c r="E1356" i="6"/>
  <c r="F1356" i="6"/>
  <c r="E1357" i="6"/>
  <c r="G1357" i="6" s="1"/>
  <c r="F1357" i="6"/>
  <c r="E1358" i="6"/>
  <c r="F1358" i="6"/>
  <c r="E1359" i="6"/>
  <c r="F1359" i="6"/>
  <c r="E1360" i="6"/>
  <c r="G1360" i="6" s="1"/>
  <c r="F1360" i="6"/>
  <c r="E1364" i="6"/>
  <c r="G1364" i="6" s="1"/>
  <c r="F1364" i="6"/>
  <c r="E1362" i="6"/>
  <c r="F1362" i="6"/>
  <c r="E1363" i="6"/>
  <c r="F1363" i="6"/>
  <c r="E1361" i="6"/>
  <c r="F1361" i="6"/>
  <c r="E1354" i="6"/>
  <c r="F1354" i="6"/>
  <c r="E1366" i="6"/>
  <c r="F1366" i="6"/>
  <c r="E1367" i="6"/>
  <c r="F1367" i="6"/>
  <c r="E1368" i="6"/>
  <c r="F1368" i="6"/>
  <c r="E1369" i="6"/>
  <c r="F1369" i="6"/>
  <c r="E1370" i="6"/>
  <c r="F1370" i="6"/>
  <c r="E1371" i="6"/>
  <c r="F1371" i="6"/>
  <c r="E1372" i="6"/>
  <c r="F1372" i="6"/>
  <c r="E1376" i="6"/>
  <c r="F1376" i="6"/>
  <c r="E1374" i="6"/>
  <c r="F1374" i="6"/>
  <c r="E1375" i="6"/>
  <c r="F1375" i="6"/>
  <c r="E1373" i="6"/>
  <c r="F1373" i="6"/>
  <c r="E1365" i="6"/>
  <c r="F1365" i="6"/>
  <c r="E1378" i="6"/>
  <c r="G1378" i="6" s="1"/>
  <c r="F1378" i="6"/>
  <c r="E1379" i="6"/>
  <c r="F1379" i="6"/>
  <c r="E1380" i="6"/>
  <c r="F1380" i="6"/>
  <c r="E1381" i="6"/>
  <c r="F1381" i="6"/>
  <c r="E1382" i="6"/>
  <c r="F1382" i="6"/>
  <c r="E1383" i="6"/>
  <c r="F1383" i="6"/>
  <c r="E1384" i="6"/>
  <c r="F1384" i="6"/>
  <c r="E1388" i="6"/>
  <c r="F1388" i="6"/>
  <c r="E1386" i="6"/>
  <c r="G1386" i="6" s="1"/>
  <c r="F1386" i="6"/>
  <c r="E1387" i="6"/>
  <c r="G1387" i="6" s="1"/>
  <c r="F1387" i="6"/>
  <c r="E1385" i="6"/>
  <c r="F1385" i="6"/>
  <c r="E1377" i="6"/>
  <c r="F1377" i="6"/>
  <c r="E1390" i="6"/>
  <c r="F1390" i="6"/>
  <c r="E1391" i="6"/>
  <c r="F1391" i="6"/>
  <c r="E1394" i="6"/>
  <c r="F1394" i="6"/>
  <c r="E1393" i="6"/>
  <c r="F1393" i="6"/>
  <c r="E1392" i="6"/>
  <c r="F1392" i="6"/>
  <c r="E1389" i="6"/>
  <c r="F1389" i="6"/>
  <c r="E1396" i="6"/>
  <c r="F1396" i="6"/>
  <c r="E1397" i="6"/>
  <c r="F1397" i="6"/>
  <c r="E1398" i="6"/>
  <c r="F1398" i="6"/>
  <c r="E1399" i="6"/>
  <c r="F1399" i="6"/>
  <c r="E1400" i="6"/>
  <c r="F1400" i="6"/>
  <c r="E1401" i="6"/>
  <c r="F1401" i="6"/>
  <c r="E1402" i="6"/>
  <c r="F1402" i="6"/>
  <c r="E1406" i="6"/>
  <c r="F1406" i="6"/>
  <c r="E1404" i="6"/>
  <c r="G1404" i="6" s="1"/>
  <c r="F1404" i="6"/>
  <c r="E1405" i="6"/>
  <c r="F1405" i="6"/>
  <c r="E1403" i="6"/>
  <c r="F1403" i="6"/>
  <c r="E1395" i="6"/>
  <c r="G1395" i="6" s="1"/>
  <c r="F1395" i="6"/>
  <c r="E1408" i="6"/>
  <c r="G1408" i="6" s="1"/>
  <c r="F1408" i="6"/>
  <c r="E1409" i="6"/>
  <c r="F1409" i="6"/>
  <c r="E1410" i="6"/>
  <c r="F1410" i="6"/>
  <c r="E1411" i="6"/>
  <c r="F1411" i="6"/>
  <c r="E1412" i="6"/>
  <c r="F1412" i="6"/>
  <c r="E1413" i="6"/>
  <c r="F1413" i="6"/>
  <c r="E1414" i="6"/>
  <c r="F1414" i="6"/>
  <c r="E1418" i="6"/>
  <c r="F1418" i="6"/>
  <c r="E1416" i="6"/>
  <c r="F1416" i="6"/>
  <c r="E1417" i="6"/>
  <c r="F1417" i="6"/>
  <c r="E1415" i="6"/>
  <c r="F1415" i="6"/>
  <c r="E1407" i="6"/>
  <c r="F1407" i="6"/>
  <c r="E1420" i="6"/>
  <c r="F1420" i="6"/>
  <c r="E1424" i="6"/>
  <c r="F1424" i="6"/>
  <c r="E1422" i="6"/>
  <c r="F1422" i="6"/>
  <c r="E1423" i="6"/>
  <c r="F1423" i="6"/>
  <c r="E1421" i="6"/>
  <c r="F1421" i="6"/>
  <c r="E1419" i="6"/>
  <c r="G1419" i="6" s="1"/>
  <c r="F1419" i="6"/>
  <c r="E1426" i="6"/>
  <c r="F1426" i="6"/>
  <c r="E1427" i="6"/>
  <c r="F1427" i="6"/>
  <c r="E1428" i="6"/>
  <c r="F1428" i="6"/>
  <c r="E1429" i="6"/>
  <c r="F1429" i="6"/>
  <c r="E1430" i="6"/>
  <c r="F1430" i="6"/>
  <c r="E1431" i="6"/>
  <c r="F1431" i="6"/>
  <c r="E1432" i="6"/>
  <c r="F1432" i="6"/>
  <c r="E1436" i="6"/>
  <c r="G1436" i="6" s="1"/>
  <c r="F1436" i="6"/>
  <c r="E1434" i="6"/>
  <c r="G1434" i="6" s="1"/>
  <c r="F1434" i="6"/>
  <c r="E1435" i="6"/>
  <c r="F1435" i="6"/>
  <c r="E1433" i="6"/>
  <c r="F1433" i="6"/>
  <c r="E1425" i="6"/>
  <c r="F1425" i="6"/>
  <c r="E1439" i="6"/>
  <c r="F1439" i="6"/>
  <c r="E1438" i="6"/>
  <c r="F1438" i="6"/>
  <c r="E1437" i="6"/>
  <c r="F1437" i="6"/>
  <c r="E1441" i="6"/>
  <c r="F1441" i="6"/>
  <c r="E1442" i="6"/>
  <c r="F1442" i="6"/>
  <c r="E1443" i="6"/>
  <c r="F1443" i="6"/>
  <c r="E1444" i="6"/>
  <c r="F1444" i="6"/>
  <c r="E1446" i="6"/>
  <c r="F1446" i="6"/>
  <c r="E1445" i="6"/>
  <c r="F1445" i="6"/>
  <c r="E1440" i="6"/>
  <c r="F1440" i="6"/>
  <c r="E1448" i="6"/>
  <c r="F1448" i="6"/>
  <c r="E1449" i="6"/>
  <c r="F1449" i="6"/>
  <c r="E1450" i="6"/>
  <c r="F1450" i="6"/>
  <c r="E1451" i="6"/>
  <c r="G1451" i="6" s="1"/>
  <c r="F1451" i="6"/>
  <c r="E1447" i="6"/>
  <c r="F1447" i="6"/>
  <c r="E1453" i="6"/>
  <c r="F1453" i="6"/>
  <c r="E1454" i="6"/>
  <c r="G1454" i="6" s="1"/>
  <c r="F1454" i="6"/>
  <c r="E1455" i="6"/>
  <c r="G1455" i="6" s="1"/>
  <c r="F1455" i="6"/>
  <c r="E1456" i="6"/>
  <c r="F1456" i="6"/>
  <c r="E1457" i="6"/>
  <c r="F1457" i="6"/>
  <c r="E1458" i="6"/>
  <c r="F1458" i="6"/>
  <c r="E1462" i="6"/>
  <c r="F1462" i="6"/>
  <c r="E1460" i="6"/>
  <c r="F1460" i="6"/>
  <c r="E1461" i="6"/>
  <c r="F1461" i="6"/>
  <c r="E1459" i="6"/>
  <c r="F1459" i="6"/>
  <c r="E1452" i="6"/>
  <c r="F1452" i="6"/>
  <c r="E1464" i="6"/>
  <c r="F1464" i="6"/>
  <c r="E1465" i="6"/>
  <c r="F1465" i="6"/>
  <c r="E1466" i="6"/>
  <c r="F1466" i="6"/>
  <c r="E1467" i="6"/>
  <c r="F1467" i="6"/>
  <c r="E1468" i="6"/>
  <c r="F1468" i="6"/>
  <c r="E1469" i="6"/>
  <c r="F1469" i="6"/>
  <c r="E1470" i="6"/>
  <c r="F1470" i="6"/>
  <c r="E1474" i="6"/>
  <c r="G1474" i="6" s="1"/>
  <c r="F1474" i="6"/>
  <c r="E1472" i="6"/>
  <c r="F1472" i="6"/>
  <c r="E1473" i="6"/>
  <c r="F1473" i="6"/>
  <c r="E1471" i="6"/>
  <c r="G1471" i="6" s="1"/>
  <c r="F1471" i="6"/>
  <c r="E1463" i="6"/>
  <c r="G1463" i="6" s="1"/>
  <c r="F1463" i="6"/>
  <c r="E1476" i="6"/>
  <c r="F1476" i="6"/>
  <c r="E1477" i="6"/>
  <c r="F1477" i="6"/>
  <c r="E1478" i="6"/>
  <c r="F1478" i="6"/>
  <c r="E1479" i="6"/>
  <c r="F1479" i="6"/>
  <c r="E1480" i="6"/>
  <c r="F1480" i="6"/>
  <c r="E1481" i="6"/>
  <c r="F1481" i="6"/>
  <c r="E1482" i="6"/>
  <c r="F1482" i="6"/>
  <c r="E1486" i="6"/>
  <c r="F1486" i="6"/>
  <c r="E1484" i="6"/>
  <c r="F1484" i="6"/>
  <c r="E1485" i="6"/>
  <c r="F1485" i="6"/>
  <c r="E1483" i="6"/>
  <c r="F1483" i="6"/>
  <c r="E1475" i="6"/>
  <c r="F1475" i="6"/>
  <c r="E1488" i="6"/>
  <c r="F1488" i="6"/>
  <c r="E1489" i="6"/>
  <c r="F1489" i="6"/>
  <c r="E1490" i="6"/>
  <c r="G1490" i="6" s="1"/>
  <c r="F1490" i="6"/>
  <c r="E1491" i="6"/>
  <c r="F1491" i="6"/>
  <c r="E1492" i="6"/>
  <c r="F1492" i="6"/>
  <c r="E1493" i="6"/>
  <c r="F1493" i="6"/>
  <c r="E1496" i="6"/>
  <c r="F1496" i="6"/>
  <c r="E1494" i="6"/>
  <c r="F1494" i="6"/>
  <c r="E1495" i="6"/>
  <c r="G1495" i="6" s="1"/>
  <c r="F1495" i="6"/>
  <c r="E1487" i="6"/>
  <c r="G1487" i="6" s="1"/>
  <c r="F1487" i="6"/>
  <c r="E1498" i="6"/>
  <c r="F1498" i="6"/>
  <c r="E1499" i="6"/>
  <c r="F1499" i="6"/>
  <c r="E1497" i="6"/>
  <c r="F1497" i="6"/>
  <c r="E1501" i="6"/>
  <c r="F1501" i="6"/>
  <c r="E1502" i="6"/>
  <c r="F1502" i="6"/>
  <c r="E1503" i="6"/>
  <c r="F1503" i="6"/>
  <c r="E1504" i="6"/>
  <c r="F1504" i="6"/>
  <c r="E1505" i="6"/>
  <c r="F1505" i="6"/>
  <c r="E1506" i="6"/>
  <c r="F1506" i="6"/>
  <c r="E1507" i="6"/>
  <c r="F1507" i="6"/>
  <c r="E1510" i="6"/>
  <c r="F1510" i="6"/>
  <c r="E1509" i="6"/>
  <c r="F1509" i="6"/>
  <c r="E1508" i="6"/>
  <c r="F1508" i="6"/>
  <c r="E1500" i="6"/>
  <c r="F1500" i="6"/>
  <c r="E1512" i="6"/>
  <c r="G1512" i="6" s="1"/>
  <c r="F1512" i="6"/>
  <c r="E1513" i="6"/>
  <c r="F1513" i="6"/>
  <c r="E1514" i="6"/>
  <c r="F1514" i="6"/>
  <c r="E1515" i="6"/>
  <c r="G1515" i="6" s="1"/>
  <c r="F1515" i="6"/>
  <c r="E1516" i="6"/>
  <c r="G1516" i="6" s="1"/>
  <c r="F1516" i="6"/>
  <c r="E1517" i="6"/>
  <c r="F1517" i="6"/>
  <c r="E1518" i="6"/>
  <c r="F1518" i="6"/>
  <c r="E1521" i="6"/>
  <c r="F1521" i="6"/>
  <c r="E1519" i="6"/>
  <c r="F1519" i="6"/>
  <c r="E1520" i="6"/>
  <c r="F1520" i="6"/>
  <c r="E1511" i="6"/>
  <c r="F1511" i="6"/>
  <c r="E1523" i="6"/>
  <c r="F1523" i="6"/>
  <c r="E1524" i="6"/>
  <c r="F1524" i="6"/>
  <c r="E1525" i="6"/>
  <c r="H1525" i="6" s="1"/>
  <c r="F1525" i="6"/>
  <c r="E1526" i="6"/>
  <c r="H1526" i="6" s="1"/>
  <c r="F1526" i="6"/>
  <c r="E1530" i="6"/>
  <c r="F1530" i="6"/>
  <c r="E1528" i="6"/>
  <c r="F1528" i="6"/>
  <c r="E1529" i="6"/>
  <c r="F1529" i="6"/>
  <c r="E1527" i="6"/>
  <c r="F1527" i="6"/>
  <c r="E1522" i="6"/>
  <c r="G1522" i="6" s="1"/>
  <c r="F1522" i="6"/>
  <c r="E1532" i="6"/>
  <c r="F1532" i="6"/>
  <c r="E1533" i="6"/>
  <c r="F1533" i="6"/>
  <c r="E1534" i="6"/>
  <c r="G1534" i="6" s="1"/>
  <c r="F1534" i="6"/>
  <c r="E1535" i="6"/>
  <c r="G1535" i="6" s="1"/>
  <c r="F1535" i="6"/>
  <c r="E1536" i="6"/>
  <c r="F1536" i="6"/>
  <c r="E1537" i="6"/>
  <c r="F1537" i="6"/>
  <c r="E1538" i="6"/>
  <c r="F1538" i="6"/>
  <c r="E1542" i="6"/>
  <c r="F1542" i="6"/>
  <c r="E1540" i="6"/>
  <c r="F1540" i="6"/>
  <c r="E1541" i="6"/>
  <c r="F1541" i="6"/>
  <c r="E1539" i="6"/>
  <c r="F1539" i="6"/>
  <c r="E1531" i="6"/>
  <c r="F1531" i="6"/>
  <c r="E1544" i="6"/>
  <c r="F1544" i="6"/>
  <c r="E1545" i="6"/>
  <c r="F1545" i="6"/>
  <c r="E1546" i="6"/>
  <c r="F1546" i="6"/>
  <c r="E1547" i="6"/>
  <c r="F1547" i="6"/>
  <c r="E1548" i="6"/>
  <c r="F1548" i="6"/>
  <c r="E1549" i="6"/>
  <c r="F1549" i="6"/>
  <c r="E1550" i="6"/>
  <c r="G1550" i="6" s="1"/>
  <c r="F1550" i="6"/>
  <c r="E1554" i="6"/>
  <c r="F1554" i="6"/>
  <c r="E1552" i="6"/>
  <c r="F1552" i="6"/>
  <c r="E1553" i="6"/>
  <c r="G1553" i="6" s="1"/>
  <c r="F1553" i="6"/>
  <c r="E1551" i="6"/>
  <c r="G1551" i="6" s="1"/>
  <c r="F1551" i="6"/>
  <c r="E1543" i="6"/>
  <c r="F1543" i="6"/>
  <c r="E1556" i="6"/>
  <c r="F1556" i="6"/>
  <c r="E1557" i="6"/>
  <c r="F1557" i="6"/>
  <c r="E1558" i="6"/>
  <c r="F1558" i="6"/>
  <c r="E1559" i="6"/>
  <c r="F1559" i="6"/>
  <c r="E1560" i="6"/>
  <c r="F1560" i="6"/>
  <c r="E1561" i="6"/>
  <c r="F1561" i="6"/>
  <c r="E1562" i="6"/>
  <c r="F1562" i="6"/>
  <c r="E1566" i="6"/>
  <c r="F1566" i="6"/>
  <c r="E1564" i="6"/>
  <c r="F1564" i="6"/>
  <c r="E1565" i="6"/>
  <c r="F1565" i="6"/>
  <c r="E1563" i="6"/>
  <c r="F1563" i="6"/>
  <c r="E1555" i="6"/>
  <c r="F1555" i="6"/>
  <c r="E1568" i="6"/>
  <c r="F1568" i="6"/>
  <c r="E1569" i="6"/>
  <c r="G1569" i="6" s="1"/>
  <c r="F1569" i="6"/>
  <c r="E1570" i="6"/>
  <c r="F1570" i="6"/>
  <c r="E1567" i="6"/>
  <c r="F1567" i="6"/>
  <c r="E1572" i="6"/>
  <c r="F1572" i="6"/>
  <c r="E1573" i="6"/>
  <c r="F1573" i="6"/>
  <c r="E1574" i="6"/>
  <c r="G1574" i="6" s="1"/>
  <c r="F1574" i="6"/>
  <c r="E1576" i="6"/>
  <c r="F1576" i="6"/>
  <c r="E1575" i="6"/>
  <c r="G1575" i="6" s="1"/>
  <c r="F1575" i="6"/>
  <c r="E1571" i="6"/>
  <c r="F1571" i="6"/>
  <c r="E1578" i="6"/>
  <c r="F1578" i="6"/>
  <c r="E1579" i="6"/>
  <c r="F1579" i="6"/>
  <c r="E1580" i="6"/>
  <c r="F1580" i="6"/>
  <c r="E1581" i="6"/>
  <c r="F1581" i="6"/>
  <c r="E1582" i="6"/>
  <c r="F1582" i="6"/>
  <c r="E1583" i="6"/>
  <c r="F1583" i="6"/>
  <c r="E1584" i="6"/>
  <c r="F1584" i="6"/>
  <c r="E1588" i="6"/>
  <c r="F1588" i="6"/>
  <c r="E1586" i="6"/>
  <c r="F1586" i="6"/>
  <c r="E1587" i="6"/>
  <c r="F1587" i="6"/>
  <c r="E1585" i="6"/>
  <c r="F1585" i="6"/>
  <c r="E1577" i="6"/>
  <c r="F1577" i="6"/>
  <c r="E1590" i="6"/>
  <c r="G1590" i="6" s="1"/>
  <c r="F1590" i="6"/>
  <c r="E1591" i="6"/>
  <c r="F1591" i="6"/>
  <c r="E1592" i="6"/>
  <c r="F1592" i="6"/>
  <c r="E1596" i="6"/>
  <c r="F1596" i="6"/>
  <c r="E1594" i="6"/>
  <c r="G1594" i="6" s="1"/>
  <c r="F1594" i="6"/>
  <c r="E1595" i="6"/>
  <c r="G1595" i="6" s="1"/>
  <c r="F1595" i="6"/>
  <c r="E1593" i="6"/>
  <c r="F1593" i="6"/>
  <c r="E1589" i="6"/>
  <c r="F1589" i="6"/>
  <c r="E1598" i="6"/>
  <c r="F1598" i="6"/>
  <c r="E1599" i="6"/>
  <c r="F1599" i="6"/>
  <c r="E1600" i="6"/>
  <c r="F1600" i="6"/>
  <c r="E1601" i="6"/>
  <c r="F1601" i="6"/>
  <c r="E1602" i="6"/>
  <c r="F1602" i="6"/>
  <c r="E1603" i="6"/>
  <c r="F1603" i="6"/>
  <c r="E1604" i="6"/>
  <c r="F1604" i="6"/>
  <c r="E1608" i="6"/>
  <c r="F1608" i="6"/>
  <c r="E1606" i="6"/>
  <c r="F1606" i="6"/>
  <c r="E1607" i="6"/>
  <c r="F1607" i="6"/>
  <c r="E1605" i="6"/>
  <c r="F1605" i="6"/>
  <c r="E1597" i="6"/>
  <c r="F1597" i="6"/>
  <c r="E1611" i="6"/>
  <c r="G1611" i="6" s="1"/>
  <c r="F1611" i="6"/>
  <c r="E1612" i="6"/>
  <c r="F1612" i="6"/>
  <c r="E1610" i="6"/>
  <c r="F1610" i="6"/>
  <c r="E1609" i="6"/>
  <c r="G1609" i="6" s="1"/>
  <c r="F1609" i="6"/>
  <c r="E1614" i="6"/>
  <c r="G1614" i="6" s="1"/>
  <c r="F1614" i="6"/>
  <c r="E1615" i="6"/>
  <c r="F1615" i="6"/>
  <c r="E1616" i="6"/>
  <c r="F1616" i="6"/>
  <c r="E1617" i="6"/>
  <c r="F1617" i="6"/>
  <c r="E1618" i="6"/>
  <c r="F1618" i="6"/>
  <c r="E1619" i="6"/>
  <c r="F1619" i="6"/>
  <c r="E1620" i="6"/>
  <c r="F1620" i="6"/>
  <c r="E1624" i="6"/>
  <c r="F1624" i="6"/>
  <c r="E1622" i="6"/>
  <c r="F1622" i="6"/>
  <c r="E1623" i="6"/>
  <c r="F1623" i="6"/>
  <c r="E1621" i="6"/>
  <c r="F1621" i="6"/>
  <c r="E1613" i="6"/>
  <c r="F1613" i="6"/>
  <c r="E1626" i="6"/>
  <c r="F1626" i="6"/>
  <c r="E1627" i="6"/>
  <c r="F1627" i="6"/>
  <c r="E1628" i="6"/>
  <c r="F1628" i="6"/>
  <c r="E1629" i="6"/>
  <c r="G1629" i="6" s="1"/>
  <c r="F1629" i="6"/>
  <c r="E1630" i="6"/>
  <c r="F1630" i="6"/>
  <c r="E1631" i="6"/>
  <c r="F1631" i="6"/>
  <c r="E1632" i="6"/>
  <c r="G1632" i="6" s="1"/>
  <c r="F1632" i="6"/>
  <c r="E1636" i="6"/>
  <c r="G1636" i="6" s="1"/>
  <c r="F1636" i="6"/>
  <c r="E1634" i="6"/>
  <c r="F1634" i="6"/>
  <c r="E1635" i="6"/>
  <c r="F1635" i="6"/>
  <c r="E1633" i="6"/>
  <c r="F1633" i="6"/>
  <c r="E1625" i="6"/>
  <c r="F1625" i="6"/>
  <c r="E1638" i="6"/>
  <c r="F1638" i="6"/>
  <c r="E1639" i="6"/>
  <c r="F1639" i="6"/>
  <c r="E1640" i="6"/>
  <c r="F1640" i="6"/>
  <c r="E1641" i="6"/>
  <c r="F1641" i="6"/>
  <c r="E1637" i="6"/>
  <c r="F1637" i="6"/>
  <c r="E1643" i="6"/>
  <c r="F1643" i="6"/>
  <c r="E1644" i="6"/>
  <c r="F1644" i="6"/>
  <c r="E1645" i="6"/>
  <c r="F1645" i="6"/>
  <c r="E1646" i="6"/>
  <c r="F1646" i="6"/>
  <c r="E1647" i="6"/>
  <c r="F1647" i="6"/>
  <c r="E1651" i="6"/>
  <c r="G1651" i="6" s="1"/>
  <c r="F1651" i="6"/>
  <c r="E1649" i="6"/>
  <c r="F1649" i="6"/>
  <c r="E1650" i="6"/>
  <c r="F1650" i="6"/>
  <c r="E1648" i="6"/>
  <c r="G1648" i="6" s="1"/>
  <c r="F1648" i="6"/>
  <c r="E1642" i="6"/>
  <c r="F1642" i="6"/>
  <c r="E1653" i="6"/>
  <c r="F1653" i="6"/>
  <c r="E1654" i="6"/>
  <c r="G1654" i="6" s="1"/>
  <c r="F1654" i="6"/>
  <c r="E1652" i="6"/>
  <c r="F1652" i="6"/>
  <c r="E1657" i="6"/>
  <c r="F1657" i="6"/>
  <c r="E1656" i="6"/>
  <c r="F1656" i="6"/>
  <c r="E1655" i="6"/>
  <c r="F1655" i="6"/>
  <c r="E1659" i="6"/>
  <c r="F1659" i="6"/>
  <c r="E1660" i="6"/>
  <c r="F1660" i="6"/>
  <c r="E1661" i="6"/>
  <c r="F1661" i="6"/>
  <c r="E1662" i="6"/>
  <c r="F1662" i="6"/>
  <c r="E1658" i="6"/>
  <c r="F1658" i="6"/>
  <c r="E1664" i="6"/>
  <c r="F1664" i="6"/>
  <c r="E1665" i="6"/>
  <c r="F1665" i="6"/>
  <c r="E1663" i="6"/>
  <c r="F1663" i="6"/>
  <c r="E1667" i="6"/>
  <c r="G1667" i="6" s="1"/>
  <c r="F1667" i="6"/>
  <c r="E1668" i="6"/>
  <c r="F1668" i="6"/>
  <c r="E1669" i="6"/>
  <c r="F1669" i="6"/>
  <c r="E1670" i="6"/>
  <c r="F1670" i="6"/>
  <c r="E1671" i="6"/>
  <c r="F1671" i="6"/>
  <c r="E1672" i="6"/>
  <c r="F1672" i="6"/>
  <c r="E1673" i="6"/>
  <c r="G1673" i="6" s="1"/>
  <c r="F1673" i="6"/>
  <c r="E1677" i="6"/>
  <c r="G1677" i="6" s="1"/>
  <c r="F1677" i="6"/>
  <c r="E1675" i="6"/>
  <c r="F1675" i="6"/>
  <c r="E1676" i="6"/>
  <c r="F1676" i="6"/>
  <c r="E1674" i="6"/>
  <c r="F1674" i="6"/>
  <c r="E1666" i="6"/>
  <c r="F1666" i="6"/>
  <c r="E1679" i="6"/>
  <c r="F1679" i="6"/>
  <c r="E1680" i="6"/>
  <c r="F1680" i="6"/>
  <c r="E1681" i="6"/>
  <c r="F1681" i="6"/>
  <c r="E1682" i="6"/>
  <c r="F1682" i="6"/>
  <c r="E1683" i="6"/>
  <c r="F1683" i="6"/>
  <c r="E1684" i="6"/>
  <c r="F1684" i="6"/>
  <c r="E1685" i="6"/>
  <c r="F1685" i="6"/>
  <c r="E1689" i="6"/>
  <c r="F1689" i="6"/>
  <c r="E1687" i="6"/>
  <c r="F1687" i="6"/>
  <c r="E1688" i="6"/>
  <c r="F1688" i="6"/>
  <c r="E1686" i="6"/>
  <c r="G1686" i="6" s="1"/>
  <c r="F1686" i="6"/>
  <c r="E1678" i="6"/>
  <c r="F1678" i="6"/>
  <c r="E1691" i="6"/>
  <c r="F1691" i="6"/>
  <c r="E1692" i="6"/>
  <c r="G1692" i="6" s="1"/>
  <c r="F1692" i="6"/>
  <c r="E1693" i="6"/>
  <c r="G1693" i="6" s="1"/>
  <c r="F1693" i="6"/>
  <c r="E1690" i="6"/>
  <c r="F1690" i="6"/>
  <c r="E1695" i="6"/>
  <c r="F1695" i="6"/>
  <c r="E1696" i="6"/>
  <c r="F1696" i="6"/>
  <c r="E1697" i="6"/>
  <c r="F1697" i="6"/>
  <c r="E1698" i="6"/>
  <c r="F1698" i="6"/>
  <c r="E1699" i="6"/>
  <c r="F1699" i="6"/>
  <c r="E1700" i="6"/>
  <c r="F1700" i="6"/>
  <c r="E1701" i="6"/>
  <c r="F1701" i="6"/>
  <c r="E1705" i="6"/>
  <c r="F1705" i="6"/>
  <c r="E1703" i="6"/>
  <c r="F1703" i="6"/>
  <c r="E1704" i="6"/>
  <c r="F1704" i="6"/>
  <c r="E1702" i="6"/>
  <c r="F1702" i="6"/>
  <c r="E1694" i="6"/>
  <c r="F1694" i="6"/>
  <c r="E1707" i="6"/>
  <c r="F1707" i="6"/>
  <c r="E1708" i="6"/>
  <c r="G1708" i="6" s="1"/>
  <c r="F1708" i="6"/>
  <c r="E1709" i="6"/>
  <c r="F1709" i="6"/>
  <c r="E1710" i="6"/>
  <c r="F1710" i="6"/>
  <c r="E1711" i="6"/>
  <c r="G1711" i="6" s="1"/>
  <c r="F1711" i="6"/>
  <c r="E1712" i="6"/>
  <c r="G1712" i="6" s="1"/>
  <c r="F1712" i="6"/>
  <c r="E1713" i="6"/>
  <c r="F1713" i="6"/>
  <c r="E1717" i="6"/>
  <c r="F1717" i="6"/>
  <c r="E1715" i="6"/>
  <c r="F1715" i="6"/>
  <c r="E1716" i="6"/>
  <c r="F1716" i="6"/>
  <c r="E1714" i="6"/>
  <c r="F1714" i="6"/>
  <c r="E1706" i="6"/>
  <c r="F1706" i="6"/>
  <c r="E1719" i="6"/>
  <c r="F1719" i="6"/>
  <c r="E1720" i="6"/>
  <c r="F1720" i="6"/>
  <c r="E1721" i="6"/>
  <c r="F1721" i="6"/>
  <c r="E1722" i="6"/>
  <c r="F1722" i="6"/>
  <c r="E1723" i="6"/>
  <c r="F1723" i="6"/>
  <c r="E1724" i="6"/>
  <c r="F1724" i="6"/>
  <c r="E1725" i="6"/>
  <c r="F1725" i="6"/>
  <c r="E1729" i="6"/>
  <c r="F1729" i="6"/>
  <c r="E1727" i="6"/>
  <c r="G1727" i="6" s="1"/>
  <c r="F1727" i="6"/>
  <c r="E1728" i="6"/>
  <c r="F1728" i="6"/>
  <c r="E1726" i="6"/>
  <c r="F1726" i="6"/>
  <c r="E1718" i="6"/>
  <c r="G1718" i="6" s="1"/>
  <c r="F1718" i="6"/>
  <c r="E1731" i="6"/>
  <c r="G1731" i="6" s="1"/>
  <c r="F1731" i="6"/>
  <c r="E1730" i="6"/>
  <c r="F1730" i="6"/>
  <c r="E1733" i="6"/>
  <c r="F1733" i="6"/>
  <c r="E1734" i="6"/>
  <c r="F1734" i="6"/>
  <c r="E1735" i="6"/>
  <c r="F1735" i="6"/>
  <c r="E1736" i="6"/>
  <c r="F1736" i="6"/>
  <c r="E1737" i="6"/>
  <c r="H1737" i="6" s="1"/>
  <c r="F1737" i="6"/>
  <c r="E1738" i="6"/>
  <c r="H1738" i="6" s="1"/>
  <c r="F1738" i="6"/>
  <c r="E1739" i="6"/>
  <c r="F1739" i="6"/>
  <c r="E1743" i="6"/>
  <c r="F1743" i="6"/>
  <c r="E1741" i="6"/>
  <c r="F1741" i="6"/>
  <c r="E1742" i="6"/>
  <c r="F1742" i="6"/>
  <c r="E1740" i="6"/>
  <c r="F1740" i="6"/>
  <c r="E1732" i="6"/>
  <c r="F1732" i="6"/>
  <c r="E1745" i="6"/>
  <c r="F1745" i="6"/>
  <c r="E1746" i="6"/>
  <c r="G1746" i="6" s="1"/>
  <c r="F1746" i="6"/>
  <c r="E1744" i="6"/>
  <c r="F1744" i="6"/>
  <c r="E1748" i="6"/>
  <c r="F1748" i="6"/>
  <c r="E1749" i="6"/>
  <c r="F1749" i="6"/>
  <c r="E1750" i="6"/>
  <c r="F1750" i="6"/>
  <c r="E1751" i="6"/>
  <c r="F1751" i="6"/>
  <c r="E1747" i="6"/>
  <c r="G1747" i="6" s="1"/>
  <c r="F1747" i="6"/>
  <c r="E1753" i="6"/>
  <c r="G1753" i="6" s="1"/>
  <c r="F1753" i="6"/>
  <c r="E1754" i="6"/>
  <c r="F1754" i="6"/>
  <c r="E1755" i="6"/>
  <c r="F1755" i="6"/>
  <c r="E1752" i="6"/>
  <c r="F1752" i="6"/>
  <c r="E1757" i="6"/>
  <c r="F1757" i="6"/>
  <c r="E1758" i="6"/>
  <c r="F1758" i="6"/>
  <c r="E1759" i="6"/>
  <c r="F1759" i="6"/>
  <c r="E1760" i="6"/>
  <c r="F1760" i="6"/>
  <c r="E1761" i="6"/>
  <c r="F1761" i="6"/>
  <c r="E1765" i="6"/>
  <c r="F1765" i="6"/>
  <c r="E1763" i="6"/>
  <c r="F1763" i="6"/>
  <c r="E1764" i="6"/>
  <c r="F1764" i="6"/>
  <c r="E1762" i="6"/>
  <c r="F1762" i="6"/>
  <c r="E1756" i="6"/>
  <c r="F1756" i="6"/>
  <c r="E1767" i="6"/>
  <c r="F1767" i="6"/>
  <c r="E1768" i="6"/>
  <c r="G1768" i="6" s="1"/>
  <c r="F1768" i="6"/>
  <c r="E1769" i="6"/>
  <c r="F1769" i="6"/>
  <c r="E1772" i="6"/>
  <c r="F1772" i="6"/>
  <c r="E1770" i="6"/>
  <c r="G1770" i="6" s="1"/>
  <c r="F1770" i="6"/>
  <c r="E1771" i="6"/>
  <c r="G1771" i="6" s="1"/>
  <c r="F1771" i="6"/>
  <c r="E1766" i="6"/>
  <c r="F1766" i="6"/>
  <c r="E1774" i="6"/>
  <c r="F1774" i="6"/>
  <c r="E1775" i="6"/>
  <c r="F1775" i="6"/>
  <c r="E1776" i="6"/>
  <c r="F1776" i="6"/>
  <c r="E1777" i="6"/>
  <c r="F1777" i="6"/>
  <c r="E1779" i="6"/>
  <c r="F1779" i="6"/>
  <c r="E1778" i="6"/>
  <c r="F1778" i="6"/>
  <c r="E1773" i="6"/>
  <c r="F1773" i="6"/>
  <c r="E1781" i="6"/>
  <c r="F1781" i="6"/>
  <c r="E1780" i="6"/>
  <c r="F1780" i="6"/>
  <c r="E1783" i="6"/>
  <c r="F1783" i="6"/>
  <c r="E1784" i="6"/>
  <c r="F1784" i="6"/>
  <c r="E1786" i="6"/>
  <c r="F1786" i="6"/>
  <c r="E1785" i="6"/>
  <c r="F1785" i="6"/>
  <c r="E1782" i="6"/>
  <c r="G1782" i="6" s="1"/>
  <c r="F1782" i="6"/>
  <c r="E1788" i="6"/>
  <c r="F1788" i="6"/>
  <c r="E1787" i="6"/>
  <c r="F1787" i="6"/>
  <c r="E1790" i="6"/>
  <c r="G1790" i="6" s="1"/>
  <c r="F1790" i="6"/>
  <c r="E1792" i="6"/>
  <c r="G1792" i="6" s="1"/>
  <c r="F1792" i="6"/>
  <c r="E1791" i="6"/>
  <c r="F1791" i="6"/>
  <c r="E1789" i="6"/>
  <c r="F1789" i="6"/>
  <c r="E1794" i="6"/>
  <c r="F1794" i="6"/>
  <c r="E1793" i="6"/>
  <c r="F1793" i="6"/>
  <c r="E1796" i="6"/>
  <c r="F1796" i="6"/>
  <c r="E1797" i="6"/>
  <c r="F1797" i="6"/>
  <c r="E1798" i="6"/>
  <c r="F1798" i="6"/>
  <c r="E1799" i="6"/>
  <c r="F1799" i="6"/>
  <c r="E1800" i="6"/>
  <c r="F1800" i="6"/>
  <c r="E1801" i="6"/>
  <c r="F1801" i="6"/>
  <c r="E1802" i="6"/>
  <c r="F1802" i="6"/>
  <c r="E1806" i="6"/>
  <c r="F1806" i="6"/>
  <c r="E1804" i="6"/>
  <c r="F1804" i="6"/>
  <c r="E1805" i="6"/>
  <c r="F1805" i="6"/>
  <c r="E1803" i="6"/>
  <c r="G1803" i="6" s="1"/>
  <c r="F1803" i="6"/>
  <c r="E1795" i="6"/>
  <c r="F1795" i="6"/>
  <c r="E1808" i="6"/>
  <c r="F1808" i="6"/>
  <c r="E1809" i="6"/>
  <c r="G1809" i="6" s="1"/>
  <c r="F1809" i="6"/>
  <c r="E1807" i="6"/>
  <c r="G1807" i="6" s="1"/>
  <c r="F1807" i="6"/>
  <c r="E1811" i="6"/>
  <c r="F1811" i="6"/>
  <c r="E1812" i="6"/>
  <c r="F1812" i="6"/>
  <c r="E1810" i="6"/>
  <c r="F1810" i="6"/>
  <c r="E1814" i="6"/>
  <c r="F1814" i="6"/>
  <c r="E1813" i="6"/>
  <c r="F1813" i="6"/>
  <c r="E1816" i="6"/>
  <c r="F1816" i="6"/>
  <c r="E1817" i="6"/>
  <c r="F1817" i="6"/>
  <c r="E1819" i="6"/>
  <c r="F1819" i="6"/>
  <c r="E1818" i="6"/>
  <c r="F1818" i="6"/>
  <c r="E1815" i="6"/>
  <c r="F1815" i="6"/>
  <c r="E1821" i="6"/>
  <c r="F1821" i="6"/>
  <c r="E1822" i="6"/>
  <c r="F1822" i="6"/>
  <c r="E1820" i="6"/>
  <c r="F1820" i="6"/>
  <c r="E1824" i="6"/>
  <c r="F1824" i="6"/>
  <c r="E1826" i="6"/>
  <c r="G1826" i="6" s="1"/>
  <c r="F1826" i="6"/>
  <c r="E1825" i="6"/>
  <c r="F1825" i="6"/>
  <c r="E1823" i="6"/>
  <c r="F1823" i="6"/>
  <c r="E1828" i="6"/>
  <c r="F1828" i="6"/>
  <c r="E1827" i="6"/>
  <c r="F1827" i="6"/>
  <c r="E1830" i="6"/>
  <c r="G1830" i="6" s="1"/>
  <c r="F1830" i="6"/>
  <c r="E1829" i="6"/>
  <c r="F1829" i="6"/>
  <c r="E1832" i="6"/>
  <c r="G1832" i="6" s="1"/>
  <c r="F1832" i="6"/>
  <c r="E1833" i="6"/>
  <c r="F1833" i="6"/>
  <c r="E1831" i="6"/>
  <c r="F1831" i="6"/>
  <c r="E1835" i="6"/>
  <c r="F1835" i="6"/>
  <c r="E1836" i="6"/>
  <c r="F1836" i="6"/>
  <c r="E1837" i="6"/>
  <c r="F1837" i="6"/>
  <c r="E1838" i="6"/>
  <c r="F1838" i="6"/>
  <c r="E1839" i="6"/>
  <c r="F1839" i="6"/>
  <c r="E1834" i="6"/>
  <c r="F1834" i="6"/>
  <c r="E1841" i="6"/>
  <c r="F1841" i="6"/>
  <c r="E1842" i="6"/>
  <c r="F1842" i="6"/>
  <c r="E1840" i="6"/>
  <c r="F1840" i="6"/>
  <c r="E1844" i="6"/>
  <c r="F1844" i="6"/>
  <c r="E1843" i="6"/>
  <c r="F1843" i="6"/>
  <c r="E1846" i="6"/>
  <c r="G1846" i="6" s="1"/>
  <c r="F1846" i="6"/>
  <c r="E1847" i="6"/>
  <c r="F1847" i="6"/>
  <c r="E1845" i="6"/>
  <c r="F1845" i="6"/>
  <c r="E1849" i="6"/>
  <c r="F1849" i="6"/>
  <c r="E1848" i="6"/>
  <c r="G1848" i="6" s="1"/>
  <c r="F1848" i="6"/>
  <c r="F3" i="6"/>
  <c r="E3" i="6"/>
  <c r="G3" i="6" s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H69" i="6" l="1"/>
  <c r="H1534" i="6"/>
  <c r="H1522" i="6"/>
  <c r="H695" i="6"/>
  <c r="G4" i="6"/>
  <c r="H736" i="6"/>
  <c r="H1516" i="6"/>
  <c r="H694" i="6"/>
  <c r="H1419" i="6"/>
  <c r="H655" i="6"/>
  <c r="H1408" i="6"/>
  <c r="H596" i="6"/>
  <c r="H1395" i="6"/>
  <c r="H548" i="6"/>
  <c r="H1271" i="6"/>
  <c r="H483" i="6"/>
  <c r="H1262" i="6"/>
  <c r="H478" i="6"/>
  <c r="H1069" i="6"/>
  <c r="H388" i="6"/>
  <c r="H1068" i="6"/>
  <c r="H398" i="6"/>
  <c r="H3" i="6"/>
  <c r="H1040" i="6"/>
  <c r="H320" i="6"/>
  <c r="H1846" i="6"/>
  <c r="H1036" i="6"/>
  <c r="H310" i="6"/>
  <c r="H1731" i="6"/>
  <c r="H1004" i="6"/>
  <c r="H224" i="6"/>
  <c r="H1636" i="6"/>
  <c r="H816" i="6"/>
  <c r="H226" i="6"/>
  <c r="H1632" i="6"/>
  <c r="H818" i="6"/>
  <c r="H1629" i="6"/>
  <c r="H775" i="6"/>
  <c r="H68" i="6"/>
  <c r="G1717" i="6"/>
  <c r="H1717" i="6"/>
  <c r="G1514" i="6"/>
  <c r="H1514" i="6"/>
  <c r="G1410" i="6"/>
  <c r="H1410" i="6"/>
  <c r="G1255" i="6"/>
  <c r="H1255" i="6"/>
  <c r="G1090" i="6"/>
  <c r="H1090" i="6"/>
  <c r="G882" i="6"/>
  <c r="H882" i="6"/>
  <c r="G1840" i="6"/>
  <c r="H1840" i="6"/>
  <c r="G1835" i="6"/>
  <c r="H1835" i="6"/>
  <c r="G1823" i="6"/>
  <c r="H1823" i="6"/>
  <c r="G1818" i="6"/>
  <c r="H1818" i="6"/>
  <c r="G1811" i="6"/>
  <c r="H1811" i="6"/>
  <c r="G1806" i="6"/>
  <c r="H1806" i="6"/>
  <c r="G1793" i="6"/>
  <c r="H1793" i="6"/>
  <c r="G1778" i="6"/>
  <c r="H1778" i="6"/>
  <c r="G1763" i="6"/>
  <c r="H1763" i="6"/>
  <c r="G1755" i="6"/>
  <c r="H1755" i="6"/>
  <c r="G1744" i="6"/>
  <c r="H1744" i="6"/>
  <c r="G1739" i="6"/>
  <c r="H1739" i="6"/>
  <c r="G1723" i="6"/>
  <c r="H1723" i="6"/>
  <c r="G1715" i="6"/>
  <c r="H1715" i="6"/>
  <c r="G1707" i="6"/>
  <c r="H1707" i="6"/>
  <c r="G1699" i="6"/>
  <c r="H1699" i="6"/>
  <c r="G1691" i="6"/>
  <c r="H1691" i="6"/>
  <c r="G1683" i="6"/>
  <c r="H1683" i="6"/>
  <c r="G1675" i="6"/>
  <c r="H1675" i="6"/>
  <c r="G1659" i="6"/>
  <c r="H1659" i="6"/>
  <c r="G1643" i="6"/>
  <c r="H1643" i="6"/>
  <c r="G1635" i="6"/>
  <c r="H1635" i="6"/>
  <c r="G1627" i="6"/>
  <c r="H1627" i="6"/>
  <c r="G1619" i="6"/>
  <c r="H1619" i="6"/>
  <c r="G1612" i="6"/>
  <c r="H1612" i="6"/>
  <c r="G1603" i="6"/>
  <c r="H1603" i="6"/>
  <c r="G1587" i="6"/>
  <c r="H1587" i="6"/>
  <c r="G1579" i="6"/>
  <c r="H1579" i="6"/>
  <c r="G1567" i="6"/>
  <c r="H1567" i="6"/>
  <c r="G1566" i="6"/>
  <c r="H1566" i="6"/>
  <c r="G1543" i="6"/>
  <c r="H1543" i="6"/>
  <c r="G1547" i="6"/>
  <c r="H1547" i="6"/>
  <c r="G1542" i="6"/>
  <c r="H1542" i="6"/>
  <c r="G1523" i="6"/>
  <c r="H1523" i="6"/>
  <c r="G1507" i="6"/>
  <c r="H1507" i="6"/>
  <c r="G1499" i="6"/>
  <c r="H1499" i="6"/>
  <c r="G1491" i="6"/>
  <c r="H1491" i="6"/>
  <c r="G1486" i="6"/>
  <c r="H1486" i="6"/>
  <c r="G1467" i="6"/>
  <c r="H1467" i="6"/>
  <c r="G1462" i="6"/>
  <c r="H1462" i="6"/>
  <c r="G1443" i="6"/>
  <c r="H1443" i="6"/>
  <c r="G1435" i="6"/>
  <c r="H1435" i="6"/>
  <c r="G1427" i="6"/>
  <c r="H1427" i="6"/>
  <c r="H1407" i="6"/>
  <c r="G1407" i="6"/>
  <c r="G1411" i="6"/>
  <c r="H1411" i="6"/>
  <c r="G1406" i="6"/>
  <c r="H1406" i="6"/>
  <c r="G1389" i="6"/>
  <c r="H1389" i="6"/>
  <c r="G1379" i="6"/>
  <c r="H1379" i="6"/>
  <c r="G1371" i="6"/>
  <c r="H1371" i="6"/>
  <c r="G1363" i="6"/>
  <c r="H1363" i="6"/>
  <c r="G1355" i="6"/>
  <c r="H1355" i="6"/>
  <c r="G1347" i="6"/>
  <c r="H1347" i="6"/>
  <c r="G1331" i="6"/>
  <c r="H1331" i="6"/>
  <c r="G1323" i="6"/>
  <c r="H1323" i="6"/>
  <c r="G1315" i="6"/>
  <c r="H1315" i="6"/>
  <c r="G1295" i="6"/>
  <c r="H1295" i="6"/>
  <c r="G1299" i="6"/>
  <c r="H1299" i="6"/>
  <c r="G1294" i="6"/>
  <c r="H1294" i="6"/>
  <c r="G1275" i="6"/>
  <c r="H1275" i="6"/>
  <c r="G1270" i="6"/>
  <c r="H1270" i="6"/>
  <c r="G1247" i="6"/>
  <c r="H1247" i="6"/>
  <c r="G1251" i="6"/>
  <c r="H1251" i="6"/>
  <c r="G1240" i="6"/>
  <c r="H1240" i="6"/>
  <c r="G1235" i="6"/>
  <c r="H1235" i="6"/>
  <c r="G1215" i="6"/>
  <c r="H1215" i="6"/>
  <c r="G1219" i="6"/>
  <c r="H1219" i="6"/>
  <c r="G1214" i="6"/>
  <c r="H1214" i="6"/>
  <c r="G1191" i="6"/>
  <c r="H1191" i="6"/>
  <c r="G1195" i="6"/>
  <c r="H1195" i="6"/>
  <c r="G1190" i="6"/>
  <c r="H1190" i="6"/>
  <c r="G1167" i="6"/>
  <c r="H1167" i="6"/>
  <c r="G1171" i="6"/>
  <c r="H1171" i="6"/>
  <c r="G1166" i="6"/>
  <c r="H1166" i="6"/>
  <c r="G1143" i="6"/>
  <c r="H1143" i="6"/>
  <c r="G1147" i="6"/>
  <c r="H1147" i="6"/>
  <c r="G1142" i="6"/>
  <c r="H1142" i="6"/>
  <c r="G1119" i="6"/>
  <c r="H1119" i="6"/>
  <c r="G1123" i="6"/>
  <c r="H1123" i="6"/>
  <c r="G1118" i="6"/>
  <c r="H1118" i="6"/>
  <c r="G1095" i="6"/>
  <c r="H1095" i="6"/>
  <c r="G1099" i="6"/>
  <c r="H1099" i="6"/>
  <c r="G1077" i="6"/>
  <c r="H1077" i="6"/>
  <c r="G1075" i="6"/>
  <c r="H1075" i="6"/>
  <c r="G1067" i="6"/>
  <c r="H1067" i="6"/>
  <c r="H1059" i="6"/>
  <c r="G1059" i="6"/>
  <c r="G1051" i="6"/>
  <c r="H1051" i="6"/>
  <c r="G1043" i="6"/>
  <c r="H1043" i="6"/>
  <c r="G1035" i="6"/>
  <c r="H1035" i="6"/>
  <c r="G1027" i="6"/>
  <c r="H1027" i="6"/>
  <c r="G1019" i="6"/>
  <c r="H1019" i="6"/>
  <c r="H1011" i="6"/>
  <c r="G1011" i="6"/>
  <c r="G1003" i="6"/>
  <c r="H1003" i="6"/>
  <c r="G998" i="6"/>
  <c r="H998" i="6"/>
  <c r="G975" i="6"/>
  <c r="H975" i="6"/>
  <c r="G979" i="6"/>
  <c r="H979" i="6"/>
  <c r="G974" i="6"/>
  <c r="H974" i="6"/>
  <c r="G951" i="6"/>
  <c r="H951" i="6"/>
  <c r="G955" i="6"/>
  <c r="H955" i="6"/>
  <c r="G950" i="6"/>
  <c r="H950" i="6"/>
  <c r="G927" i="6"/>
  <c r="H927" i="6"/>
  <c r="G931" i="6"/>
  <c r="H931" i="6"/>
  <c r="G926" i="6"/>
  <c r="H926" i="6"/>
  <c r="G907" i="6"/>
  <c r="H907" i="6"/>
  <c r="G902" i="6"/>
  <c r="H902" i="6"/>
  <c r="G879" i="6"/>
  <c r="H879" i="6"/>
  <c r="G878" i="6"/>
  <c r="H878" i="6"/>
  <c r="G855" i="6"/>
  <c r="H855" i="6"/>
  <c r="G859" i="6"/>
  <c r="H859" i="6"/>
  <c r="G831" i="6"/>
  <c r="H831" i="6"/>
  <c r="G835" i="6"/>
  <c r="H835" i="6"/>
  <c r="G830" i="6"/>
  <c r="H830" i="6"/>
  <c r="G807" i="6"/>
  <c r="H807" i="6"/>
  <c r="G811" i="6"/>
  <c r="H811" i="6"/>
  <c r="G800" i="6"/>
  <c r="H800" i="6"/>
  <c r="G795" i="6"/>
  <c r="H795" i="6"/>
  <c r="G787" i="6"/>
  <c r="H787" i="6"/>
  <c r="G776" i="6"/>
  <c r="H776" i="6"/>
  <c r="G771" i="6"/>
  <c r="H771" i="6"/>
  <c r="G763" i="6"/>
  <c r="H763" i="6"/>
  <c r="G752" i="6"/>
  <c r="H752" i="6"/>
  <c r="G747" i="6"/>
  <c r="H747" i="6"/>
  <c r="G739" i="6"/>
  <c r="H739" i="6"/>
  <c r="G728" i="6"/>
  <c r="H728" i="6"/>
  <c r="G723" i="6"/>
  <c r="H723" i="6"/>
  <c r="G715" i="6"/>
  <c r="H715" i="6"/>
  <c r="G704" i="6"/>
  <c r="H704" i="6"/>
  <c r="G699" i="6"/>
  <c r="H699" i="6"/>
  <c r="G691" i="6"/>
  <c r="H691" i="6"/>
  <c r="G683" i="6"/>
  <c r="H683" i="6"/>
  <c r="G675" i="6"/>
  <c r="H675" i="6"/>
  <c r="G667" i="6"/>
  <c r="H667" i="6"/>
  <c r="G659" i="6"/>
  <c r="H659" i="6"/>
  <c r="G643" i="6"/>
  <c r="H643" i="6"/>
  <c r="G635" i="6"/>
  <c r="H635" i="6"/>
  <c r="G627" i="6"/>
  <c r="H627" i="6"/>
  <c r="G619" i="6"/>
  <c r="H619" i="6"/>
  <c r="G611" i="6"/>
  <c r="H611" i="6"/>
  <c r="G603" i="6"/>
  <c r="H603" i="6"/>
  <c r="G595" i="6"/>
  <c r="H595" i="6"/>
  <c r="G587" i="6"/>
  <c r="H587" i="6"/>
  <c r="H579" i="6"/>
  <c r="G579" i="6"/>
  <c r="G571" i="6"/>
  <c r="H571" i="6"/>
  <c r="H563" i="6"/>
  <c r="G563" i="6"/>
  <c r="G555" i="6"/>
  <c r="H555" i="6"/>
  <c r="G547" i="6"/>
  <c r="H547" i="6"/>
  <c r="G539" i="6"/>
  <c r="H539" i="6"/>
  <c r="G531" i="6"/>
  <c r="H531" i="6"/>
  <c r="G523" i="6"/>
  <c r="H523" i="6"/>
  <c r="G515" i="6"/>
  <c r="H515" i="6"/>
  <c r="G504" i="6"/>
  <c r="H504" i="6"/>
  <c r="G499" i="6"/>
  <c r="H499" i="6"/>
  <c r="G491" i="6"/>
  <c r="H491" i="6"/>
  <c r="G480" i="6"/>
  <c r="H480" i="6"/>
  <c r="G475" i="6"/>
  <c r="H475" i="6"/>
  <c r="G467" i="6"/>
  <c r="H467" i="6"/>
  <c r="G456" i="6"/>
  <c r="H456" i="6"/>
  <c r="G451" i="6"/>
  <c r="H451" i="6"/>
  <c r="G443" i="6"/>
  <c r="H443" i="6"/>
  <c r="H432" i="6"/>
  <c r="G432" i="6"/>
  <c r="G427" i="6"/>
  <c r="H427" i="6"/>
  <c r="G419" i="6"/>
  <c r="H419" i="6"/>
  <c r="G408" i="6"/>
  <c r="H408" i="6"/>
  <c r="G403" i="6"/>
  <c r="H403" i="6"/>
  <c r="G395" i="6"/>
  <c r="H395" i="6"/>
  <c r="G384" i="6"/>
  <c r="H384" i="6"/>
  <c r="G379" i="6"/>
  <c r="H379" i="6"/>
  <c r="G371" i="6"/>
  <c r="H371" i="6"/>
  <c r="G360" i="6"/>
  <c r="H360" i="6"/>
  <c r="G355" i="6"/>
  <c r="H355" i="6"/>
  <c r="G347" i="6"/>
  <c r="H347" i="6"/>
  <c r="G336" i="6"/>
  <c r="H336" i="6"/>
  <c r="G331" i="6"/>
  <c r="H331" i="6"/>
  <c r="G323" i="6"/>
  <c r="H323" i="6"/>
  <c r="G312" i="6"/>
  <c r="H312" i="6"/>
  <c r="G307" i="6"/>
  <c r="H307" i="6"/>
  <c r="G299" i="6"/>
  <c r="H299" i="6"/>
  <c r="G288" i="6"/>
  <c r="H288" i="6"/>
  <c r="G283" i="6"/>
  <c r="H283" i="6"/>
  <c r="G275" i="6"/>
  <c r="H275" i="6"/>
  <c r="G267" i="6"/>
  <c r="H267" i="6"/>
  <c r="G262" i="6"/>
  <c r="H262" i="6"/>
  <c r="G239" i="6"/>
  <c r="H239" i="6"/>
  <c r="G243" i="6"/>
  <c r="H243" i="6"/>
  <c r="G238" i="6"/>
  <c r="H238" i="6"/>
  <c r="G215" i="6"/>
  <c r="H215" i="6"/>
  <c r="G219" i="6"/>
  <c r="H219" i="6"/>
  <c r="G214" i="6"/>
  <c r="H214" i="6"/>
  <c r="G191" i="6"/>
  <c r="H191" i="6"/>
  <c r="G195" i="6"/>
  <c r="H195" i="6"/>
  <c r="G190" i="6"/>
  <c r="H190" i="6"/>
  <c r="G167" i="6"/>
  <c r="H167" i="6"/>
  <c r="G171" i="6"/>
  <c r="H171" i="6"/>
  <c r="G166" i="6"/>
  <c r="H166" i="6"/>
  <c r="G144" i="6"/>
  <c r="H144" i="6"/>
  <c r="G147" i="6"/>
  <c r="H147" i="6"/>
  <c r="G139" i="6"/>
  <c r="H139" i="6"/>
  <c r="G130" i="6"/>
  <c r="H130" i="6"/>
  <c r="G123" i="6"/>
  <c r="H123" i="6"/>
  <c r="G115" i="6"/>
  <c r="H115" i="6"/>
  <c r="G107" i="6"/>
  <c r="H107" i="6"/>
  <c r="G99" i="6"/>
  <c r="H99" i="6"/>
  <c r="G91" i="6"/>
  <c r="H91" i="6"/>
  <c r="G75" i="6"/>
  <c r="H75" i="6"/>
  <c r="G67" i="6"/>
  <c r="H67" i="6"/>
  <c r="G59" i="6"/>
  <c r="H59" i="6"/>
  <c r="G51" i="6"/>
  <c r="H51" i="6"/>
  <c r="G43" i="6"/>
  <c r="H43" i="6"/>
  <c r="G35" i="6"/>
  <c r="H35" i="6"/>
  <c r="G27" i="6"/>
  <c r="H27" i="6"/>
  <c r="G19" i="6"/>
  <c r="H19" i="6"/>
  <c r="G11" i="6"/>
  <c r="H11" i="6"/>
  <c r="H1747" i="6"/>
  <c r="H1651" i="6"/>
  <c r="H1535" i="6"/>
  <c r="H1436" i="6"/>
  <c r="H1308" i="6"/>
  <c r="H1094" i="6"/>
  <c r="H850" i="6"/>
  <c r="G83" i="6"/>
  <c r="H1848" i="6"/>
  <c r="H1746" i="6"/>
  <c r="H1290" i="6"/>
  <c r="G1819" i="6"/>
  <c r="H1819" i="6"/>
  <c r="G1698" i="6"/>
  <c r="H1698" i="6"/>
  <c r="G1546" i="6"/>
  <c r="H1546" i="6"/>
  <c r="G1415" i="6"/>
  <c r="H1415" i="6"/>
  <c r="G1279" i="6"/>
  <c r="H1279" i="6"/>
  <c r="G1175" i="6"/>
  <c r="H1175" i="6"/>
  <c r="G1103" i="6"/>
  <c r="H1103" i="6"/>
  <c r="G1074" i="6"/>
  <c r="H1074" i="6"/>
  <c r="G1026" i="6"/>
  <c r="H1026" i="6"/>
  <c r="G994" i="6"/>
  <c r="H994" i="6"/>
  <c r="G970" i="6"/>
  <c r="H970" i="6"/>
  <c r="G935" i="6"/>
  <c r="H935" i="6"/>
  <c r="G911" i="6"/>
  <c r="H911" i="6"/>
  <c r="G834" i="6"/>
  <c r="H834" i="6"/>
  <c r="G815" i="6"/>
  <c r="H815" i="6"/>
  <c r="G810" i="6"/>
  <c r="H810" i="6"/>
  <c r="G794" i="6"/>
  <c r="H794" i="6"/>
  <c r="G778" i="6"/>
  <c r="H778" i="6"/>
  <c r="G762" i="6"/>
  <c r="H762" i="6"/>
  <c r="G746" i="6"/>
  <c r="H746" i="6"/>
  <c r="G738" i="6"/>
  <c r="H738" i="6"/>
  <c r="G730" i="6"/>
  <c r="H730" i="6"/>
  <c r="G722" i="6"/>
  <c r="H722" i="6"/>
  <c r="G714" i="6"/>
  <c r="H714" i="6"/>
  <c r="G706" i="6"/>
  <c r="H706" i="6"/>
  <c r="G698" i="6"/>
  <c r="H698" i="6"/>
  <c r="G690" i="6"/>
  <c r="H690" i="6"/>
  <c r="G682" i="6"/>
  <c r="H682" i="6"/>
  <c r="G674" i="6"/>
  <c r="H674" i="6"/>
  <c r="G666" i="6"/>
  <c r="H666" i="6"/>
  <c r="G658" i="6"/>
  <c r="H658" i="6"/>
  <c r="G650" i="6"/>
  <c r="H650" i="6"/>
  <c r="G642" i="6"/>
  <c r="H642" i="6"/>
  <c r="G634" i="6"/>
  <c r="H634" i="6"/>
  <c r="G626" i="6"/>
  <c r="H626" i="6"/>
  <c r="G618" i="6"/>
  <c r="H618" i="6"/>
  <c r="G610" i="6"/>
  <c r="H610" i="6"/>
  <c r="G602" i="6"/>
  <c r="H602" i="6"/>
  <c r="G594" i="6"/>
  <c r="H594" i="6"/>
  <c r="G586" i="6"/>
  <c r="H586" i="6"/>
  <c r="G1785" i="6"/>
  <c r="H1785" i="6"/>
  <c r="H1722" i="6"/>
  <c r="G1722" i="6"/>
  <c r="G1626" i="6"/>
  <c r="H1626" i="6"/>
  <c r="G1538" i="6"/>
  <c r="H1538" i="6"/>
  <c r="G1442" i="6"/>
  <c r="H1442" i="6"/>
  <c r="G1342" i="6"/>
  <c r="H1342" i="6"/>
  <c r="G1170" i="6"/>
  <c r="H1170" i="6"/>
  <c r="G887" i="6"/>
  <c r="H887" i="6"/>
  <c r="H1832" i="6"/>
  <c r="H1718" i="6"/>
  <c r="G1637" i="6"/>
  <c r="H1637" i="6"/>
  <c r="G1482" i="6"/>
  <c r="H1482" i="6"/>
  <c r="G1426" i="6"/>
  <c r="H1426" i="6"/>
  <c r="H1370" i="6"/>
  <c r="G1370" i="6"/>
  <c r="G1314" i="6"/>
  <c r="H1314" i="6"/>
  <c r="G1266" i="6"/>
  <c r="H1266" i="6"/>
  <c r="G1194" i="6"/>
  <c r="H1194" i="6"/>
  <c r="G1146" i="6"/>
  <c r="H1146" i="6"/>
  <c r="G1050" i="6"/>
  <c r="H1050" i="6"/>
  <c r="G954" i="6"/>
  <c r="H954" i="6"/>
  <c r="H786" i="6"/>
  <c r="G786" i="6"/>
  <c r="G1726" i="6"/>
  <c r="H1726" i="6"/>
  <c r="G1702" i="6"/>
  <c r="H1702" i="6"/>
  <c r="G1665" i="6"/>
  <c r="H1665" i="6"/>
  <c r="H1656" i="6"/>
  <c r="G1656" i="6"/>
  <c r="G1649" i="6"/>
  <c r="H1649" i="6"/>
  <c r="G1613" i="6"/>
  <c r="H1613" i="6"/>
  <c r="G1617" i="6"/>
  <c r="H1617" i="6"/>
  <c r="G1597" i="6"/>
  <c r="H1597" i="6"/>
  <c r="G1601" i="6"/>
  <c r="H1601" i="6"/>
  <c r="H1571" i="6"/>
  <c r="G1571" i="6"/>
  <c r="G1489" i="6"/>
  <c r="H1489" i="6"/>
  <c r="G1481" i="6"/>
  <c r="H1481" i="6"/>
  <c r="G1473" i="6"/>
  <c r="H1473" i="6"/>
  <c r="G1465" i="6"/>
  <c r="H1465" i="6"/>
  <c r="G1457" i="6"/>
  <c r="H1457" i="6"/>
  <c r="H1449" i="6"/>
  <c r="G1449" i="6"/>
  <c r="G1441" i="6"/>
  <c r="H1441" i="6"/>
  <c r="G1417" i="6"/>
  <c r="H1417" i="6"/>
  <c r="G1409" i="6"/>
  <c r="H1409" i="6"/>
  <c r="G1401" i="6"/>
  <c r="H1401" i="6"/>
  <c r="G1393" i="6"/>
  <c r="H1393" i="6"/>
  <c r="G1388" i="6"/>
  <c r="H1388" i="6"/>
  <c r="G1365" i="6"/>
  <c r="H1365" i="6"/>
  <c r="G1369" i="6"/>
  <c r="H1369" i="6"/>
  <c r="G1350" i="6"/>
  <c r="H1350" i="6"/>
  <c r="G1345" i="6"/>
  <c r="H1345" i="6"/>
  <c r="H1337" i="6"/>
  <c r="G1337" i="6"/>
  <c r="G1329" i="6"/>
  <c r="H1329" i="6"/>
  <c r="G1324" i="6"/>
  <c r="H1324" i="6"/>
  <c r="G1307" i="6"/>
  <c r="H1307" i="6"/>
  <c r="G1305" i="6"/>
  <c r="H1305" i="6"/>
  <c r="G1297" i="6"/>
  <c r="H1297" i="6"/>
  <c r="G1289" i="6"/>
  <c r="H1289" i="6"/>
  <c r="G1281" i="6"/>
  <c r="H1281" i="6"/>
  <c r="G1273" i="6"/>
  <c r="H1273" i="6"/>
  <c r="G1265" i="6"/>
  <c r="H1265" i="6"/>
  <c r="G1257" i="6"/>
  <c r="H1257" i="6"/>
  <c r="G1249" i="6"/>
  <c r="H1249" i="6"/>
  <c r="G1241" i="6"/>
  <c r="H1241" i="6"/>
  <c r="G1225" i="6"/>
  <c r="H1225" i="6"/>
  <c r="G1217" i="6"/>
  <c r="H1217" i="6"/>
  <c r="G1209" i="6"/>
  <c r="H1209" i="6"/>
  <c r="G1201" i="6"/>
  <c r="H1201" i="6"/>
  <c r="G1193" i="6"/>
  <c r="H1193" i="6"/>
  <c r="G1185" i="6"/>
  <c r="H1185" i="6"/>
  <c r="G1177" i="6"/>
  <c r="H1177" i="6"/>
  <c r="G1169" i="6"/>
  <c r="H1169" i="6"/>
  <c r="G1161" i="6"/>
  <c r="H1161" i="6"/>
  <c r="G1153" i="6"/>
  <c r="H1153" i="6"/>
  <c r="G1145" i="6"/>
  <c r="H1145" i="6"/>
  <c r="G1137" i="6"/>
  <c r="H1137" i="6"/>
  <c r="G1129" i="6"/>
  <c r="H1129" i="6"/>
  <c r="G1113" i="6"/>
  <c r="H1113" i="6"/>
  <c r="G1105" i="6"/>
  <c r="H1105" i="6"/>
  <c r="G1097" i="6"/>
  <c r="H1097" i="6"/>
  <c r="G1089" i="6"/>
  <c r="H1089" i="6"/>
  <c r="G1081" i="6"/>
  <c r="H1081" i="6"/>
  <c r="G1076" i="6"/>
  <c r="H1076" i="6"/>
  <c r="H1053" i="6"/>
  <c r="G1053" i="6"/>
  <c r="G1057" i="6"/>
  <c r="H1057" i="6"/>
  <c r="G1052" i="6"/>
  <c r="H1052" i="6"/>
  <c r="G1029" i="6"/>
  <c r="H1029" i="6"/>
  <c r="G1033" i="6"/>
  <c r="H1033" i="6"/>
  <c r="G1028" i="6"/>
  <c r="H1028" i="6"/>
  <c r="G1005" i="6"/>
  <c r="H1005" i="6"/>
  <c r="G1009" i="6"/>
  <c r="H1009" i="6"/>
  <c r="G1001" i="6"/>
  <c r="H1001" i="6"/>
  <c r="G993" i="6"/>
  <c r="H993" i="6"/>
  <c r="G985" i="6"/>
  <c r="H985" i="6"/>
  <c r="G977" i="6"/>
  <c r="H977" i="6"/>
  <c r="G969" i="6"/>
  <c r="H969" i="6"/>
  <c r="G961" i="6"/>
  <c r="H961" i="6"/>
  <c r="G953" i="6"/>
  <c r="H953" i="6"/>
  <c r="G945" i="6"/>
  <c r="H945" i="6"/>
  <c r="G937" i="6"/>
  <c r="H937" i="6"/>
  <c r="G929" i="6"/>
  <c r="H929" i="6"/>
  <c r="G921" i="6"/>
  <c r="H921" i="6"/>
  <c r="G913" i="6"/>
  <c r="H913" i="6"/>
  <c r="G905" i="6"/>
  <c r="H905" i="6"/>
  <c r="G897" i="6"/>
  <c r="H897" i="6"/>
  <c r="G889" i="6"/>
  <c r="H889" i="6"/>
  <c r="G881" i="6"/>
  <c r="H881" i="6"/>
  <c r="G873" i="6"/>
  <c r="H873" i="6"/>
  <c r="G865" i="6"/>
  <c r="H865" i="6"/>
  <c r="G857" i="6"/>
  <c r="H857" i="6"/>
  <c r="G849" i="6"/>
  <c r="H849" i="6"/>
  <c r="G841" i="6"/>
  <c r="H841" i="6"/>
  <c r="G833" i="6"/>
  <c r="H833" i="6"/>
  <c r="G825" i="6"/>
  <c r="H825" i="6"/>
  <c r="G817" i="6"/>
  <c r="H817" i="6"/>
  <c r="G809" i="6"/>
  <c r="H809" i="6"/>
  <c r="G801" i="6"/>
  <c r="H801" i="6"/>
  <c r="G793" i="6"/>
  <c r="H793" i="6"/>
  <c r="G785" i="6"/>
  <c r="H785" i="6"/>
  <c r="G777" i="6"/>
  <c r="H777" i="6"/>
  <c r="G769" i="6"/>
  <c r="H769" i="6"/>
  <c r="G761" i="6"/>
  <c r="H761" i="6"/>
  <c r="G753" i="6"/>
  <c r="H753" i="6"/>
  <c r="G745" i="6"/>
  <c r="H745" i="6"/>
  <c r="G729" i="6"/>
  <c r="H729" i="6"/>
  <c r="G721" i="6"/>
  <c r="H721" i="6"/>
  <c r="G713" i="6"/>
  <c r="H713" i="6"/>
  <c r="G705" i="6"/>
  <c r="H705" i="6"/>
  <c r="H697" i="6"/>
  <c r="G697" i="6"/>
  <c r="G677" i="6"/>
  <c r="H677" i="6"/>
  <c r="G681" i="6"/>
  <c r="H681" i="6"/>
  <c r="G676" i="6"/>
  <c r="H676" i="6"/>
  <c r="H653" i="6"/>
  <c r="G653" i="6"/>
  <c r="G657" i="6"/>
  <c r="H657" i="6"/>
  <c r="G652" i="6"/>
  <c r="H652" i="6"/>
  <c r="G629" i="6"/>
  <c r="H629" i="6"/>
  <c r="H633" i="6"/>
  <c r="G633" i="6"/>
  <c r="G628" i="6"/>
  <c r="H628" i="6"/>
  <c r="G605" i="6"/>
  <c r="H605" i="6"/>
  <c r="G609" i="6"/>
  <c r="H609" i="6"/>
  <c r="G604" i="6"/>
  <c r="H604" i="6"/>
  <c r="G581" i="6"/>
  <c r="H581" i="6"/>
  <c r="G585" i="6"/>
  <c r="H585" i="6"/>
  <c r="G580" i="6"/>
  <c r="H580" i="6"/>
  <c r="G562" i="6"/>
  <c r="H562" i="6"/>
  <c r="G558" i="6"/>
  <c r="H558" i="6"/>
  <c r="G553" i="6"/>
  <c r="H553" i="6"/>
  <c r="G545" i="6"/>
  <c r="H545" i="6"/>
  <c r="G534" i="6"/>
  <c r="H534" i="6"/>
  <c r="G529" i="6"/>
  <c r="H529" i="6"/>
  <c r="G521" i="6"/>
  <c r="H521" i="6"/>
  <c r="G513" i="6"/>
  <c r="H513" i="6"/>
  <c r="G505" i="6"/>
  <c r="H505" i="6"/>
  <c r="G497" i="6"/>
  <c r="H497" i="6"/>
  <c r="G489" i="6"/>
  <c r="H489" i="6"/>
  <c r="G481" i="6"/>
  <c r="H481" i="6"/>
  <c r="G473" i="6"/>
  <c r="H473" i="6"/>
  <c r="G465" i="6"/>
  <c r="H465" i="6"/>
  <c r="G457" i="6"/>
  <c r="H457" i="6"/>
  <c r="G449" i="6"/>
  <c r="H449" i="6"/>
  <c r="G441" i="6"/>
  <c r="H441" i="6"/>
  <c r="G433" i="6"/>
  <c r="H433" i="6"/>
  <c r="G425" i="6"/>
  <c r="H425" i="6"/>
  <c r="G417" i="6"/>
  <c r="H417" i="6"/>
  <c r="G409" i="6"/>
  <c r="H409" i="6"/>
  <c r="G401" i="6"/>
  <c r="H401" i="6"/>
  <c r="G393" i="6"/>
  <c r="H393" i="6"/>
  <c r="G385" i="6"/>
  <c r="H385" i="6"/>
  <c r="G377" i="6"/>
  <c r="H377" i="6"/>
  <c r="G369" i="6"/>
  <c r="H369" i="6"/>
  <c r="G361" i="6"/>
  <c r="H361" i="6"/>
  <c r="G353" i="6"/>
  <c r="H353" i="6"/>
  <c r="G345" i="6"/>
  <c r="H345" i="6"/>
  <c r="G337" i="6"/>
  <c r="H337" i="6"/>
  <c r="G329" i="6"/>
  <c r="H329" i="6"/>
  <c r="G321" i="6"/>
  <c r="H321" i="6"/>
  <c r="G313" i="6"/>
  <c r="H313" i="6"/>
  <c r="G305" i="6"/>
  <c r="H305" i="6"/>
  <c r="G297" i="6"/>
  <c r="H297" i="6"/>
  <c r="G289" i="6"/>
  <c r="H289" i="6"/>
  <c r="G281" i="6"/>
  <c r="H281" i="6"/>
  <c r="G273" i="6"/>
  <c r="H273" i="6"/>
  <c r="G265" i="6"/>
  <c r="H265" i="6"/>
  <c r="G257" i="6"/>
  <c r="H257" i="6"/>
  <c r="G249" i="6"/>
  <c r="H249" i="6"/>
  <c r="G241" i="6"/>
  <c r="H241" i="6"/>
  <c r="G233" i="6"/>
  <c r="H233" i="6"/>
  <c r="G225" i="6"/>
  <c r="H225" i="6"/>
  <c r="G217" i="6"/>
  <c r="H217" i="6"/>
  <c r="G209" i="6"/>
  <c r="H209" i="6"/>
  <c r="G201" i="6"/>
  <c r="H201" i="6"/>
  <c r="G193" i="6"/>
  <c r="H193" i="6"/>
  <c r="G185" i="6"/>
  <c r="H185" i="6"/>
  <c r="G177" i="6"/>
  <c r="H177" i="6"/>
  <c r="G169" i="6"/>
  <c r="H169" i="6"/>
  <c r="G161" i="6"/>
  <c r="H161" i="6"/>
  <c r="G152" i="6"/>
  <c r="H152" i="6"/>
  <c r="G145" i="6"/>
  <c r="H145" i="6"/>
  <c r="G137" i="6"/>
  <c r="H137" i="6"/>
  <c r="G129" i="6"/>
  <c r="H129" i="6"/>
  <c r="G118" i="6"/>
  <c r="H118" i="6"/>
  <c r="G113" i="6"/>
  <c r="H113" i="6"/>
  <c r="G105" i="6"/>
  <c r="H105" i="6"/>
  <c r="G94" i="6"/>
  <c r="H94" i="6"/>
  <c r="G89" i="6"/>
  <c r="H89" i="6"/>
  <c r="G81" i="6"/>
  <c r="H81" i="6"/>
  <c r="G70" i="6"/>
  <c r="H70" i="6"/>
  <c r="G65" i="6"/>
  <c r="H65" i="6"/>
  <c r="G57" i="6"/>
  <c r="H57" i="6"/>
  <c r="G46" i="6"/>
  <c r="H46" i="6"/>
  <c r="G41" i="6"/>
  <c r="H41" i="6"/>
  <c r="G33" i="6"/>
  <c r="H33" i="6"/>
  <c r="G22" i="6"/>
  <c r="H22" i="6"/>
  <c r="H1830" i="6"/>
  <c r="H1727" i="6"/>
  <c r="H1614" i="6"/>
  <c r="H1515" i="6"/>
  <c r="H1404" i="6"/>
  <c r="H1261" i="6"/>
  <c r="H774" i="6"/>
  <c r="G1794" i="6"/>
  <c r="H1794" i="6"/>
  <c r="G1678" i="6"/>
  <c r="H1678" i="6"/>
  <c r="H1578" i="6"/>
  <c r="G1578" i="6"/>
  <c r="G1466" i="6"/>
  <c r="H1466" i="6"/>
  <c r="G1341" i="6"/>
  <c r="H1341" i="6"/>
  <c r="G863" i="6"/>
  <c r="H863" i="6"/>
  <c r="G1841" i="6"/>
  <c r="H1841" i="6"/>
  <c r="G1641" i="6"/>
  <c r="H1641" i="6"/>
  <c r="H1826" i="6"/>
  <c r="H1712" i="6"/>
  <c r="H1609" i="6"/>
  <c r="H1512" i="6"/>
  <c r="H1387" i="6"/>
  <c r="H1234" i="6"/>
  <c r="H999" i="6"/>
  <c r="H737" i="6"/>
  <c r="G1618" i="6"/>
  <c r="H1618" i="6"/>
  <c r="H1450" i="6"/>
  <c r="G1450" i="6"/>
  <c r="G1223" i="6"/>
  <c r="H1223" i="6"/>
  <c r="G898" i="6"/>
  <c r="H898" i="6"/>
  <c r="G1769" i="6"/>
  <c r="H1769" i="6"/>
  <c r="G1596" i="6"/>
  <c r="H1596" i="6"/>
  <c r="G1824" i="6"/>
  <c r="H1824" i="6"/>
  <c r="G1640" i="6"/>
  <c r="H1640" i="6"/>
  <c r="G1621" i="6"/>
  <c r="H1621" i="6"/>
  <c r="G1616" i="6"/>
  <c r="H1616" i="6"/>
  <c r="G1605" i="6"/>
  <c r="H1605" i="6"/>
  <c r="G1600" i="6"/>
  <c r="H1600" i="6"/>
  <c r="G1584" i="6"/>
  <c r="H1584" i="6"/>
  <c r="G1568" i="6"/>
  <c r="H1568" i="6"/>
  <c r="G1560" i="6"/>
  <c r="H1560" i="6"/>
  <c r="G1552" i="6"/>
  <c r="H1552" i="6"/>
  <c r="G1544" i="6"/>
  <c r="H1544" i="6"/>
  <c r="G1536" i="6"/>
  <c r="H1536" i="6"/>
  <c r="G1528" i="6"/>
  <c r="H1528" i="6"/>
  <c r="G1519" i="6"/>
  <c r="H1519" i="6"/>
  <c r="G1488" i="6"/>
  <c r="H1488" i="6"/>
  <c r="H1480" i="6"/>
  <c r="G1480" i="6"/>
  <c r="G1472" i="6"/>
  <c r="H1472" i="6"/>
  <c r="G1464" i="6"/>
  <c r="H1464" i="6"/>
  <c r="G1456" i="6"/>
  <c r="H1456" i="6"/>
  <c r="H1448" i="6"/>
  <c r="G1448" i="6"/>
  <c r="G1437" i="6"/>
  <c r="H1437" i="6"/>
  <c r="G1432" i="6"/>
  <c r="H1432" i="6"/>
  <c r="G1421" i="6"/>
  <c r="H1421" i="6"/>
  <c r="G1416" i="6"/>
  <c r="H1416" i="6"/>
  <c r="G1400" i="6"/>
  <c r="H1400" i="6"/>
  <c r="G1394" i="6"/>
  <c r="H1394" i="6"/>
  <c r="G1384" i="6"/>
  <c r="H1384" i="6"/>
  <c r="G1373" i="6"/>
  <c r="H1373" i="6"/>
  <c r="H1368" i="6"/>
  <c r="G1368" i="6"/>
  <c r="G1352" i="6"/>
  <c r="H1352" i="6"/>
  <c r="G1344" i="6"/>
  <c r="H1344" i="6"/>
  <c r="H1336" i="6"/>
  <c r="G1336" i="6"/>
  <c r="G1325" i="6"/>
  <c r="H1325" i="6"/>
  <c r="G1320" i="6"/>
  <c r="H1320" i="6"/>
  <c r="G1304" i="6"/>
  <c r="H1304" i="6"/>
  <c r="G1296" i="6"/>
  <c r="H1296" i="6"/>
  <c r="G1288" i="6"/>
  <c r="H1288" i="6"/>
  <c r="G1280" i="6"/>
  <c r="H1280" i="6"/>
  <c r="G1272" i="6"/>
  <c r="H1272" i="6"/>
  <c r="G1264" i="6"/>
  <c r="H1264" i="6"/>
  <c r="G1256" i="6"/>
  <c r="H1256" i="6"/>
  <c r="G1248" i="6"/>
  <c r="H1248" i="6"/>
  <c r="G1243" i="6"/>
  <c r="H1243" i="6"/>
  <c r="G1229" i="6"/>
  <c r="H1229" i="6"/>
  <c r="G1224" i="6"/>
  <c r="H1224" i="6"/>
  <c r="G1216" i="6"/>
  <c r="H1216" i="6"/>
  <c r="G1208" i="6"/>
  <c r="H1208" i="6"/>
  <c r="G1200" i="6"/>
  <c r="H1200" i="6"/>
  <c r="H1192" i="6"/>
  <c r="G1192" i="6"/>
  <c r="G1184" i="6"/>
  <c r="H1184" i="6"/>
  <c r="G1176" i="6"/>
  <c r="H1176" i="6"/>
  <c r="G1168" i="6"/>
  <c r="H1168" i="6"/>
  <c r="G1160" i="6"/>
  <c r="H1160" i="6"/>
  <c r="G1144" i="6"/>
  <c r="H1144" i="6"/>
  <c r="G1136" i="6"/>
  <c r="H1136" i="6"/>
  <c r="G1128" i="6"/>
  <c r="H1128" i="6"/>
  <c r="G1120" i="6"/>
  <c r="H1120" i="6"/>
  <c r="G1112" i="6"/>
  <c r="H1112" i="6"/>
  <c r="G1104" i="6"/>
  <c r="H1104" i="6"/>
  <c r="G1096" i="6"/>
  <c r="H1096" i="6"/>
  <c r="G1088" i="6"/>
  <c r="H1088" i="6"/>
  <c r="G1080" i="6"/>
  <c r="H1080" i="6"/>
  <c r="G1072" i="6"/>
  <c r="H1072" i="6"/>
  <c r="H1061" i="6"/>
  <c r="G1061" i="6"/>
  <c r="G1056" i="6"/>
  <c r="H1056" i="6"/>
  <c r="H1048" i="6"/>
  <c r="G1048" i="6"/>
  <c r="G1037" i="6"/>
  <c r="H1037" i="6"/>
  <c r="G1032" i="6"/>
  <c r="H1032" i="6"/>
  <c r="G1024" i="6"/>
  <c r="H1024" i="6"/>
  <c r="G1013" i="6"/>
  <c r="H1013" i="6"/>
  <c r="G1008" i="6"/>
  <c r="H1008" i="6"/>
  <c r="G1000" i="6"/>
  <c r="H1000" i="6"/>
  <c r="H992" i="6"/>
  <c r="G992" i="6"/>
  <c r="H984" i="6"/>
  <c r="G984" i="6"/>
  <c r="G976" i="6"/>
  <c r="H976" i="6"/>
  <c r="G968" i="6"/>
  <c r="H968" i="6"/>
  <c r="G960" i="6"/>
  <c r="H960" i="6"/>
  <c r="G952" i="6"/>
  <c r="H952" i="6"/>
  <c r="G944" i="6"/>
  <c r="H944" i="6"/>
  <c r="G936" i="6"/>
  <c r="H936" i="6"/>
  <c r="G928" i="6"/>
  <c r="H928" i="6"/>
  <c r="H920" i="6"/>
  <c r="G920" i="6"/>
  <c r="G912" i="6"/>
  <c r="H912" i="6"/>
  <c r="G904" i="6"/>
  <c r="H904" i="6"/>
  <c r="G896" i="6"/>
  <c r="H896" i="6"/>
  <c r="G888" i="6"/>
  <c r="H888" i="6"/>
  <c r="G880" i="6"/>
  <c r="H880" i="6"/>
  <c r="H872" i="6"/>
  <c r="G872" i="6"/>
  <c r="G864" i="6"/>
  <c r="H864" i="6"/>
  <c r="G856" i="6"/>
  <c r="H856" i="6"/>
  <c r="G848" i="6"/>
  <c r="H848" i="6"/>
  <c r="H840" i="6"/>
  <c r="G840" i="6"/>
  <c r="G832" i="6"/>
  <c r="H832" i="6"/>
  <c r="G824" i="6"/>
  <c r="H824" i="6"/>
  <c r="G808" i="6"/>
  <c r="H808" i="6"/>
  <c r="G803" i="6"/>
  <c r="H803" i="6"/>
  <c r="H780" i="6"/>
  <c r="G780" i="6"/>
  <c r="G784" i="6"/>
  <c r="H784" i="6"/>
  <c r="G779" i="6"/>
  <c r="H779" i="6"/>
  <c r="G756" i="6"/>
  <c r="H756" i="6"/>
  <c r="G760" i="6"/>
  <c r="H760" i="6"/>
  <c r="G755" i="6"/>
  <c r="H755" i="6"/>
  <c r="G732" i="6"/>
  <c r="H732" i="6"/>
  <c r="H1807" i="6"/>
  <c r="H1711" i="6"/>
  <c r="H1611" i="6"/>
  <c r="H1487" i="6"/>
  <c r="H1386" i="6"/>
  <c r="H1227" i="6"/>
  <c r="G1802" i="6"/>
  <c r="H1802" i="6"/>
  <c r="G1694" i="6"/>
  <c r="H1694" i="6"/>
  <c r="G1562" i="6"/>
  <c r="H1562" i="6"/>
  <c r="G1392" i="6"/>
  <c r="H1392" i="6"/>
  <c r="G1303" i="6"/>
  <c r="H1303" i="6"/>
  <c r="G1242" i="6"/>
  <c r="H1242" i="6"/>
  <c r="G1186" i="6"/>
  <c r="H1186" i="6"/>
  <c r="G1127" i="6"/>
  <c r="H1127" i="6"/>
  <c r="G1058" i="6"/>
  <c r="H1058" i="6"/>
  <c r="H1010" i="6"/>
  <c r="G1010" i="6"/>
  <c r="G983" i="6"/>
  <c r="H983" i="6"/>
  <c r="G930" i="6"/>
  <c r="H930" i="6"/>
  <c r="G770" i="6"/>
  <c r="H770" i="6"/>
  <c r="G1849" i="6"/>
  <c r="H1849" i="6"/>
  <c r="G1789" i="6"/>
  <c r="H1789" i="6"/>
  <c r="G1745" i="6"/>
  <c r="H1745" i="6"/>
  <c r="G1681" i="6"/>
  <c r="H1681" i="6"/>
  <c r="G1537" i="6"/>
  <c r="H1537" i="6"/>
  <c r="G1800" i="6"/>
  <c r="H1800" i="6"/>
  <c r="G1776" i="6"/>
  <c r="H1776" i="6"/>
  <c r="G1720" i="6"/>
  <c r="H1720" i="6"/>
  <c r="G1657" i="6"/>
  <c r="H1657" i="6"/>
  <c r="G1592" i="6"/>
  <c r="H1592" i="6"/>
  <c r="H1809" i="6"/>
  <c r="H1708" i="6"/>
  <c r="H1595" i="6"/>
  <c r="H1495" i="6"/>
  <c r="H1378" i="6"/>
  <c r="H1212" i="6"/>
  <c r="H973" i="6"/>
  <c r="G1682" i="6"/>
  <c r="H1682" i="6"/>
  <c r="G1346" i="6"/>
  <c r="H1346" i="6"/>
  <c r="G906" i="6"/>
  <c r="H906" i="6"/>
  <c r="G1761" i="6"/>
  <c r="H1761" i="6"/>
  <c r="G1697" i="6"/>
  <c r="H1697" i="6"/>
  <c r="G1520" i="6"/>
  <c r="H1520" i="6"/>
  <c r="G1845" i="6"/>
  <c r="H1845" i="6"/>
  <c r="G1808" i="6"/>
  <c r="H1808" i="6"/>
  <c r="G1784" i="6"/>
  <c r="H1784" i="6"/>
  <c r="G1732" i="6"/>
  <c r="H1732" i="6"/>
  <c r="G1664" i="6"/>
  <c r="H1664" i="6"/>
  <c r="G1829" i="6"/>
  <c r="H1829" i="6"/>
  <c r="G1813" i="6"/>
  <c r="H1813" i="6"/>
  <c r="G1775" i="6"/>
  <c r="H1775" i="6"/>
  <c r="G1759" i="6"/>
  <c r="H1759" i="6"/>
  <c r="G1740" i="6"/>
  <c r="H1740" i="6"/>
  <c r="H1719" i="6"/>
  <c r="G1719" i="6"/>
  <c r="G1703" i="6"/>
  <c r="H1703" i="6"/>
  <c r="G1695" i="6"/>
  <c r="H1695" i="6"/>
  <c r="G1687" i="6"/>
  <c r="H1687" i="6"/>
  <c r="G1671" i="6"/>
  <c r="H1671" i="6"/>
  <c r="G1658" i="6"/>
  <c r="H1658" i="6"/>
  <c r="H1652" i="6"/>
  <c r="G1652" i="6"/>
  <c r="G1647" i="6"/>
  <c r="H1647" i="6"/>
  <c r="G1639" i="6"/>
  <c r="H1639" i="6"/>
  <c r="G1631" i="6"/>
  <c r="H1631" i="6"/>
  <c r="G1623" i="6"/>
  <c r="H1623" i="6"/>
  <c r="G1615" i="6"/>
  <c r="H1615" i="6"/>
  <c r="H1607" i="6"/>
  <c r="G1607" i="6"/>
  <c r="G1599" i="6"/>
  <c r="H1599" i="6"/>
  <c r="G1591" i="6"/>
  <c r="H1591" i="6"/>
  <c r="G1583" i="6"/>
  <c r="H1583" i="6"/>
  <c r="H1576" i="6"/>
  <c r="G1576" i="6"/>
  <c r="G1555" i="6"/>
  <c r="H1555" i="6"/>
  <c r="H1559" i="6"/>
  <c r="G1559" i="6"/>
  <c r="G1554" i="6"/>
  <c r="H1554" i="6"/>
  <c r="G1531" i="6"/>
  <c r="H1531" i="6"/>
  <c r="G1530" i="6"/>
  <c r="H1530" i="6"/>
  <c r="G1521" i="6"/>
  <c r="H1521" i="6"/>
  <c r="G1500" i="6"/>
  <c r="H1500" i="6"/>
  <c r="G1503" i="6"/>
  <c r="H1503" i="6"/>
  <c r="G1494" i="6"/>
  <c r="H1494" i="6"/>
  <c r="G1475" i="6"/>
  <c r="H1475" i="6"/>
  <c r="G1479" i="6"/>
  <c r="H1479" i="6"/>
  <c r="G1452" i="6"/>
  <c r="H1452" i="6"/>
  <c r="H1440" i="6"/>
  <c r="G1440" i="6"/>
  <c r="G1438" i="6"/>
  <c r="H1438" i="6"/>
  <c r="H1431" i="6"/>
  <c r="G1431" i="6"/>
  <c r="G1423" i="6"/>
  <c r="H1423" i="6"/>
  <c r="G1418" i="6"/>
  <c r="H1418" i="6"/>
  <c r="G1399" i="6"/>
  <c r="H1399" i="6"/>
  <c r="G1391" i="6"/>
  <c r="H1391" i="6"/>
  <c r="G1383" i="6"/>
  <c r="H1383" i="6"/>
  <c r="G1375" i="6"/>
  <c r="H1375" i="6"/>
  <c r="G1367" i="6"/>
  <c r="H1367" i="6"/>
  <c r="G1359" i="6"/>
  <c r="H1359" i="6"/>
  <c r="G1351" i="6"/>
  <c r="H1351" i="6"/>
  <c r="G1343" i="6"/>
  <c r="H1343" i="6"/>
  <c r="G1335" i="6"/>
  <c r="H1335" i="6"/>
  <c r="G1327" i="6"/>
  <c r="H1327" i="6"/>
  <c r="G1319" i="6"/>
  <c r="H1319" i="6"/>
  <c r="G1306" i="6"/>
  <c r="H1306" i="6"/>
  <c r="G1283" i="6"/>
  <c r="H1283" i="6"/>
  <c r="G1287" i="6"/>
  <c r="H1287" i="6"/>
  <c r="G1282" i="6"/>
  <c r="H1282" i="6"/>
  <c r="G1259" i="6"/>
  <c r="H1259" i="6"/>
  <c r="G1263" i="6"/>
  <c r="H1263" i="6"/>
  <c r="G1258" i="6"/>
  <c r="H1258" i="6"/>
  <c r="G1244" i="6"/>
  <c r="H1244" i="6"/>
  <c r="G1239" i="6"/>
  <c r="H1239" i="6"/>
  <c r="G1231" i="6"/>
  <c r="H1231" i="6"/>
  <c r="G1226" i="6"/>
  <c r="H1226" i="6"/>
  <c r="G1203" i="6"/>
  <c r="H1203" i="6"/>
  <c r="G1207" i="6"/>
  <c r="H1207" i="6"/>
  <c r="G1202" i="6"/>
  <c r="H1202" i="6"/>
  <c r="G1179" i="6"/>
  <c r="H1179" i="6"/>
  <c r="G1183" i="6"/>
  <c r="H1183" i="6"/>
  <c r="G1178" i="6"/>
  <c r="H1178" i="6"/>
  <c r="G1155" i="6"/>
  <c r="H1155" i="6"/>
  <c r="G1159" i="6"/>
  <c r="H1159" i="6"/>
  <c r="G1131" i="6"/>
  <c r="H1131" i="6"/>
  <c r="G1135" i="6"/>
  <c r="H1135" i="6"/>
  <c r="G1130" i="6"/>
  <c r="H1130" i="6"/>
  <c r="G1107" i="6"/>
  <c r="H1107" i="6"/>
  <c r="G1111" i="6"/>
  <c r="H1111" i="6"/>
  <c r="G1106" i="6"/>
  <c r="H1106" i="6"/>
  <c r="G1083" i="6"/>
  <c r="H1083" i="6"/>
  <c r="G1087" i="6"/>
  <c r="H1087" i="6"/>
  <c r="G1079" i="6"/>
  <c r="H1079" i="6"/>
  <c r="G1071" i="6"/>
  <c r="H1071" i="6"/>
  <c r="G1063" i="6"/>
  <c r="H1063" i="6"/>
  <c r="G1055" i="6"/>
  <c r="H1055" i="6"/>
  <c r="G1047" i="6"/>
  <c r="H1047" i="6"/>
  <c r="G1039" i="6"/>
  <c r="H1039" i="6"/>
  <c r="G1031" i="6"/>
  <c r="H1031" i="6"/>
  <c r="G1023" i="6"/>
  <c r="H1023" i="6"/>
  <c r="G1015" i="6"/>
  <c r="H1015" i="6"/>
  <c r="G1007" i="6"/>
  <c r="H1007" i="6"/>
  <c r="G987" i="6"/>
  <c r="H987" i="6"/>
  <c r="G991" i="6"/>
  <c r="H991" i="6"/>
  <c r="G986" i="6"/>
  <c r="H986" i="6"/>
  <c r="G963" i="6"/>
  <c r="H963" i="6"/>
  <c r="G967" i="6"/>
  <c r="H967" i="6"/>
  <c r="G962" i="6"/>
  <c r="H962" i="6"/>
  <c r="G939" i="6"/>
  <c r="H939" i="6"/>
  <c r="G943" i="6"/>
  <c r="H943" i="6"/>
  <c r="G938" i="6"/>
  <c r="H938" i="6"/>
  <c r="G915" i="6"/>
  <c r="H915" i="6"/>
  <c r="G919" i="6"/>
  <c r="H919" i="6"/>
  <c r="G914" i="6"/>
  <c r="H914" i="6"/>
  <c r="G891" i="6"/>
  <c r="H891" i="6"/>
  <c r="G895" i="6"/>
  <c r="H895" i="6"/>
  <c r="G890" i="6"/>
  <c r="H890" i="6"/>
  <c r="G867" i="6"/>
  <c r="H867" i="6"/>
  <c r="G871" i="6"/>
  <c r="H871" i="6"/>
  <c r="G866" i="6"/>
  <c r="H866" i="6"/>
  <c r="G843" i="6"/>
  <c r="H843" i="6"/>
  <c r="G847" i="6"/>
  <c r="H847" i="6"/>
  <c r="G842" i="6"/>
  <c r="H842" i="6"/>
  <c r="G819" i="6"/>
  <c r="H819" i="6"/>
  <c r="G823" i="6"/>
  <c r="H823" i="6"/>
  <c r="G804" i="6"/>
  <c r="H804" i="6"/>
  <c r="G799" i="6"/>
  <c r="H799" i="6"/>
  <c r="G788" i="6"/>
  <c r="H788" i="6"/>
  <c r="H1803" i="6"/>
  <c r="H1693" i="6"/>
  <c r="H1594" i="6"/>
  <c r="H1490" i="6"/>
  <c r="H1364" i="6"/>
  <c r="H1210" i="6"/>
  <c r="H972" i="6"/>
  <c r="G1779" i="6"/>
  <c r="H1779" i="6"/>
  <c r="G1650" i="6"/>
  <c r="H1650" i="6"/>
  <c r="G1362" i="6"/>
  <c r="H1362" i="6"/>
  <c r="G1151" i="6"/>
  <c r="H1151" i="6"/>
  <c r="G1034" i="6"/>
  <c r="H1034" i="6"/>
  <c r="G839" i="6"/>
  <c r="H839" i="6"/>
  <c r="G1833" i="6"/>
  <c r="H1833" i="6"/>
  <c r="G1713" i="6"/>
  <c r="H1713" i="6"/>
  <c r="G1505" i="6"/>
  <c r="H1505" i="6"/>
  <c r="G1816" i="6"/>
  <c r="H1816" i="6"/>
  <c r="G1791" i="6"/>
  <c r="H1791" i="6"/>
  <c r="G1760" i="6"/>
  <c r="H1760" i="6"/>
  <c r="G1688" i="6"/>
  <c r="H1688" i="6"/>
  <c r="H1504" i="6"/>
  <c r="G1504" i="6"/>
  <c r="G1847" i="6"/>
  <c r="H1847" i="6"/>
  <c r="G1839" i="6"/>
  <c r="H1839" i="6"/>
  <c r="G1820" i="6"/>
  <c r="H1820" i="6"/>
  <c r="G1795" i="6"/>
  <c r="H1795" i="6"/>
  <c r="H1799" i="6"/>
  <c r="G1799" i="6"/>
  <c r="G1783" i="6"/>
  <c r="H1783" i="6"/>
  <c r="G1767" i="6"/>
  <c r="H1767" i="6"/>
  <c r="G1751" i="6"/>
  <c r="H1751" i="6"/>
  <c r="G1735" i="6"/>
  <c r="H1735" i="6"/>
  <c r="G1679" i="6"/>
  <c r="H1679" i="6"/>
  <c r="H1792" i="6"/>
  <c r="H1692" i="6"/>
  <c r="H1590" i="6"/>
  <c r="H1463" i="6"/>
  <c r="H1360" i="6"/>
  <c r="H1182" i="6"/>
  <c r="H948" i="6"/>
  <c r="G1825" i="6"/>
  <c r="H1825" i="6"/>
  <c r="G1655" i="6"/>
  <c r="H1655" i="6"/>
  <c r="G1586" i="6"/>
  <c r="H1586" i="6"/>
  <c r="G1506" i="6"/>
  <c r="H1506" i="6"/>
  <c r="G1402" i="6"/>
  <c r="H1402" i="6"/>
  <c r="G1250" i="6"/>
  <c r="H1250" i="6"/>
  <c r="G1082" i="6"/>
  <c r="H1082" i="6"/>
  <c r="G858" i="6"/>
  <c r="H858" i="6"/>
  <c r="G1801" i="6"/>
  <c r="H1801" i="6"/>
  <c r="G1588" i="6"/>
  <c r="H1588" i="6"/>
  <c r="G1736" i="6"/>
  <c r="H1736" i="6"/>
  <c r="G1758" i="6"/>
  <c r="H1758" i="6"/>
  <c r="G1742" i="6"/>
  <c r="H1742" i="6"/>
  <c r="G1706" i="6"/>
  <c r="H1706" i="6"/>
  <c r="G1705" i="6"/>
  <c r="H1705" i="6"/>
  <c r="G1689" i="6"/>
  <c r="H1689" i="6"/>
  <c r="G1666" i="6"/>
  <c r="H1666" i="6"/>
  <c r="G1670" i="6"/>
  <c r="H1670" i="6"/>
  <c r="G1662" i="6"/>
  <c r="H1662" i="6"/>
  <c r="G1646" i="6"/>
  <c r="H1646" i="6"/>
  <c r="G1630" i="6"/>
  <c r="H1630" i="6"/>
  <c r="G1606" i="6"/>
  <c r="H1606" i="6"/>
  <c r="G1598" i="6"/>
  <c r="H1598" i="6"/>
  <c r="G1558" i="6"/>
  <c r="H1558" i="6"/>
  <c r="G1518" i="6"/>
  <c r="H1518" i="6"/>
  <c r="G1508" i="6"/>
  <c r="H1508" i="6"/>
  <c r="G1502" i="6"/>
  <c r="H1502" i="6"/>
  <c r="G1496" i="6"/>
  <c r="H1496" i="6"/>
  <c r="G1483" i="6"/>
  <c r="H1483" i="6"/>
  <c r="G1478" i="6"/>
  <c r="H1478" i="6"/>
  <c r="G1470" i="6"/>
  <c r="H1470" i="6"/>
  <c r="G1459" i="6"/>
  <c r="H1459" i="6"/>
  <c r="G1445" i="6"/>
  <c r="H1445" i="6"/>
  <c r="G1439" i="6"/>
  <c r="H1439" i="6"/>
  <c r="H1430" i="6"/>
  <c r="G1430" i="6"/>
  <c r="G1422" i="6"/>
  <c r="H1422" i="6"/>
  <c r="G1414" i="6"/>
  <c r="H1414" i="6"/>
  <c r="G1403" i="6"/>
  <c r="H1403" i="6"/>
  <c r="G1398" i="6"/>
  <c r="H1398" i="6"/>
  <c r="G1390" i="6"/>
  <c r="H1390" i="6"/>
  <c r="G1382" i="6"/>
  <c r="H1382" i="6"/>
  <c r="G1374" i="6"/>
  <c r="H1374" i="6"/>
  <c r="G1366" i="6"/>
  <c r="H1366" i="6"/>
  <c r="G1353" i="6"/>
  <c r="H1353" i="6"/>
  <c r="G1330" i="6"/>
  <c r="H1330" i="6"/>
  <c r="H1334" i="6"/>
  <c r="G1334" i="6"/>
  <c r="G1326" i="6"/>
  <c r="H1326" i="6"/>
  <c r="G1318" i="6"/>
  <c r="H1318" i="6"/>
  <c r="G1310" i="6"/>
  <c r="H1310" i="6"/>
  <c r="G1302" i="6"/>
  <c r="H1302" i="6"/>
  <c r="G1291" i="6"/>
  <c r="H1291" i="6"/>
  <c r="G1286" i="6"/>
  <c r="H1286" i="6"/>
  <c r="G1278" i="6"/>
  <c r="H1278" i="6"/>
  <c r="G1267" i="6"/>
  <c r="H1267" i="6"/>
  <c r="G1254" i="6"/>
  <c r="H1254" i="6"/>
  <c r="G1245" i="6"/>
  <c r="H1245" i="6"/>
  <c r="H1238" i="6"/>
  <c r="G1238" i="6"/>
  <c r="G1230" i="6"/>
  <c r="H1230" i="6"/>
  <c r="G1222" i="6"/>
  <c r="H1222" i="6"/>
  <c r="G1211" i="6"/>
  <c r="H1211" i="6"/>
  <c r="G1206" i="6"/>
  <c r="H1206" i="6"/>
  <c r="G1198" i="6"/>
  <c r="H1198" i="6"/>
  <c r="H1187" i="6"/>
  <c r="G1187" i="6"/>
  <c r="G1174" i="6"/>
  <c r="H1174" i="6"/>
  <c r="G1163" i="6"/>
  <c r="H1163" i="6"/>
  <c r="G1158" i="6"/>
  <c r="H1158" i="6"/>
  <c r="G1150" i="6"/>
  <c r="H1150" i="6"/>
  <c r="G1139" i="6"/>
  <c r="H1139" i="6"/>
  <c r="G1134" i="6"/>
  <c r="H1134" i="6"/>
  <c r="G1126" i="6"/>
  <c r="H1126" i="6"/>
  <c r="G1115" i="6"/>
  <c r="H1115" i="6"/>
  <c r="G1110" i="6"/>
  <c r="H1110" i="6"/>
  <c r="G1102" i="6"/>
  <c r="H1102" i="6"/>
  <c r="G1091" i="6"/>
  <c r="H1091" i="6"/>
  <c r="G1086" i="6"/>
  <c r="H1086" i="6"/>
  <c r="G1078" i="6"/>
  <c r="H1078" i="6"/>
  <c r="G1070" i="6"/>
  <c r="H1070" i="6"/>
  <c r="G1062" i="6"/>
  <c r="H1062" i="6"/>
  <c r="G1054" i="6"/>
  <c r="H1054" i="6"/>
  <c r="G1046" i="6"/>
  <c r="H1046" i="6"/>
  <c r="G1038" i="6"/>
  <c r="H1038" i="6"/>
  <c r="G1030" i="6"/>
  <c r="H1030" i="6"/>
  <c r="G1022" i="6"/>
  <c r="H1022" i="6"/>
  <c r="G1014" i="6"/>
  <c r="H1014" i="6"/>
  <c r="G1006" i="6"/>
  <c r="H1006" i="6"/>
  <c r="G995" i="6"/>
  <c r="H995" i="6"/>
  <c r="G990" i="6"/>
  <c r="H990" i="6"/>
  <c r="G982" i="6"/>
  <c r="H982" i="6"/>
  <c r="G971" i="6"/>
  <c r="H971" i="6"/>
  <c r="G966" i="6"/>
  <c r="H966" i="6"/>
  <c r="G958" i="6"/>
  <c r="H958" i="6"/>
  <c r="G947" i="6"/>
  <c r="H947" i="6"/>
  <c r="G942" i="6"/>
  <c r="H942" i="6"/>
  <c r="G934" i="6"/>
  <c r="H934" i="6"/>
  <c r="G923" i="6"/>
  <c r="H923" i="6"/>
  <c r="G918" i="6"/>
  <c r="H918" i="6"/>
  <c r="G910" i="6"/>
  <c r="H910" i="6"/>
  <c r="G899" i="6"/>
  <c r="H899" i="6"/>
  <c r="G894" i="6"/>
  <c r="H894" i="6"/>
  <c r="G886" i="6"/>
  <c r="H886" i="6"/>
  <c r="G875" i="6"/>
  <c r="H875" i="6"/>
  <c r="G870" i="6"/>
  <c r="H870" i="6"/>
  <c r="G862" i="6"/>
  <c r="H862" i="6"/>
  <c r="G851" i="6"/>
  <c r="H851" i="6"/>
  <c r="G846" i="6"/>
  <c r="H846" i="6"/>
  <c r="G838" i="6"/>
  <c r="H838" i="6"/>
  <c r="G827" i="6"/>
  <c r="H827" i="6"/>
  <c r="G822" i="6"/>
  <c r="H822" i="6"/>
  <c r="G814" i="6"/>
  <c r="H814" i="6"/>
  <c r="G806" i="6"/>
  <c r="H806" i="6"/>
  <c r="G798" i="6"/>
  <c r="H798" i="6"/>
  <c r="G790" i="6"/>
  <c r="H790" i="6"/>
  <c r="G782" i="6"/>
  <c r="H782" i="6"/>
  <c r="G766" i="6"/>
  <c r="H766" i="6"/>
  <c r="G758" i="6"/>
  <c r="H758" i="6"/>
  <c r="G750" i="6"/>
  <c r="H750" i="6"/>
  <c r="H1790" i="6"/>
  <c r="H1686" i="6"/>
  <c r="H1575" i="6"/>
  <c r="H1471" i="6"/>
  <c r="H1357" i="6"/>
  <c r="H1181" i="6"/>
  <c r="H946" i="6"/>
  <c r="H651" i="6"/>
  <c r="G1738" i="6"/>
  <c r="G1765" i="6"/>
  <c r="H1765" i="6"/>
  <c r="G1663" i="6"/>
  <c r="H1663" i="6"/>
  <c r="G1602" i="6"/>
  <c r="H1602" i="6"/>
  <c r="G1570" i="6"/>
  <c r="H1570" i="6"/>
  <c r="G1527" i="6"/>
  <c r="H1527" i="6"/>
  <c r="G1458" i="6"/>
  <c r="H1458" i="6"/>
  <c r="G1322" i="6"/>
  <c r="H1322" i="6"/>
  <c r="G1274" i="6"/>
  <c r="H1274" i="6"/>
  <c r="G1218" i="6"/>
  <c r="H1218" i="6"/>
  <c r="G1162" i="6"/>
  <c r="H1162" i="6"/>
  <c r="G1066" i="6"/>
  <c r="H1066" i="6"/>
  <c r="G959" i="6"/>
  <c r="H959" i="6"/>
  <c r="G802" i="6"/>
  <c r="H802" i="6"/>
  <c r="G1777" i="6"/>
  <c r="H1777" i="6"/>
  <c r="G1704" i="6"/>
  <c r="H1704" i="6"/>
  <c r="G1838" i="6"/>
  <c r="H1838" i="6"/>
  <c r="G1822" i="6"/>
  <c r="H1822" i="6"/>
  <c r="G1798" i="6"/>
  <c r="H1798" i="6"/>
  <c r="G1756" i="6"/>
  <c r="H1756" i="6"/>
  <c r="G1750" i="6"/>
  <c r="H1750" i="6"/>
  <c r="G1734" i="6"/>
  <c r="H1734" i="6"/>
  <c r="G1729" i="6"/>
  <c r="H1729" i="6"/>
  <c r="G1710" i="6"/>
  <c r="H1710" i="6"/>
  <c r="G1690" i="6"/>
  <c r="H1690" i="6"/>
  <c r="G1638" i="6"/>
  <c r="H1638" i="6"/>
  <c r="G1622" i="6"/>
  <c r="H1622" i="6"/>
  <c r="G1582" i="6"/>
  <c r="H1582" i="6"/>
  <c r="G1563" i="6"/>
  <c r="H1563" i="6"/>
  <c r="G1539" i="6"/>
  <c r="H1539" i="6"/>
  <c r="G1358" i="6"/>
  <c r="H1358" i="6"/>
  <c r="H1782" i="6"/>
  <c r="H1677" i="6"/>
  <c r="H1574" i="6"/>
  <c r="H1474" i="6"/>
  <c r="H1340" i="6"/>
  <c r="H1152" i="6"/>
  <c r="H916" i="6"/>
  <c r="H597" i="6"/>
  <c r="G1737" i="6"/>
  <c r="G1529" i="6"/>
  <c r="H1529" i="6"/>
  <c r="G1672" i="6"/>
  <c r="H1672" i="6"/>
  <c r="G1814" i="6"/>
  <c r="H1814" i="6"/>
  <c r="G1843" i="6"/>
  <c r="H1843" i="6"/>
  <c r="G1837" i="6"/>
  <c r="H1837" i="6"/>
  <c r="G1827" i="6"/>
  <c r="H1827" i="6"/>
  <c r="G1821" i="6"/>
  <c r="H1821" i="6"/>
  <c r="G1810" i="6"/>
  <c r="H1810" i="6"/>
  <c r="G1805" i="6"/>
  <c r="H1805" i="6"/>
  <c r="G1787" i="6"/>
  <c r="H1787" i="6"/>
  <c r="H1781" i="6"/>
  <c r="G1781" i="6"/>
  <c r="G1766" i="6"/>
  <c r="H1766" i="6"/>
  <c r="H1762" i="6"/>
  <c r="G1762" i="6"/>
  <c r="G1757" i="6"/>
  <c r="H1757" i="6"/>
  <c r="G1749" i="6"/>
  <c r="H1749" i="6"/>
  <c r="G1733" i="6"/>
  <c r="H1733" i="6"/>
  <c r="G1725" i="6"/>
  <c r="H1725" i="6"/>
  <c r="G1709" i="6"/>
  <c r="H1709" i="6"/>
  <c r="H1701" i="6"/>
  <c r="G1701" i="6"/>
  <c r="G1674" i="6"/>
  <c r="H1674" i="6"/>
  <c r="H1653" i="6"/>
  <c r="G1653" i="6"/>
  <c r="H1608" i="6"/>
  <c r="G1608" i="6"/>
  <c r="G1589" i="6"/>
  <c r="H1589" i="6"/>
  <c r="G1577" i="6"/>
  <c r="H1577" i="6"/>
  <c r="G1573" i="6"/>
  <c r="H1573" i="6"/>
  <c r="G1565" i="6"/>
  <c r="H1565" i="6"/>
  <c r="H1557" i="6"/>
  <c r="G1557" i="6"/>
  <c r="G1549" i="6"/>
  <c r="H1549" i="6"/>
  <c r="G1541" i="6"/>
  <c r="H1541" i="6"/>
  <c r="G1533" i="6"/>
  <c r="H1533" i="6"/>
  <c r="G1517" i="6"/>
  <c r="H1517" i="6"/>
  <c r="H1509" i="6"/>
  <c r="G1509" i="6"/>
  <c r="G1493" i="6"/>
  <c r="H1493" i="6"/>
  <c r="G1485" i="6"/>
  <c r="H1485" i="6"/>
  <c r="H1477" i="6"/>
  <c r="G1477" i="6"/>
  <c r="G1469" i="6"/>
  <c r="H1469" i="6"/>
  <c r="G1461" i="6"/>
  <c r="H1461" i="6"/>
  <c r="G1453" i="6"/>
  <c r="H1453" i="6"/>
  <c r="G1446" i="6"/>
  <c r="H1446" i="6"/>
  <c r="G1425" i="6"/>
  <c r="H1425" i="6"/>
  <c r="G1429" i="6"/>
  <c r="H1429" i="6"/>
  <c r="G1424" i="6"/>
  <c r="H1424" i="6"/>
  <c r="G1413" i="6"/>
  <c r="H1413" i="6"/>
  <c r="G1405" i="6"/>
  <c r="H1405" i="6"/>
  <c r="G1397" i="6"/>
  <c r="H1397" i="6"/>
  <c r="G1377" i="6"/>
  <c r="H1377" i="6"/>
  <c r="G1381" i="6"/>
  <c r="H1381" i="6"/>
  <c r="G1376" i="6"/>
  <c r="H1376" i="6"/>
  <c r="H1349" i="6"/>
  <c r="G1349" i="6"/>
  <c r="G1338" i="6"/>
  <c r="H1338" i="6"/>
  <c r="G1333" i="6"/>
  <c r="H1333" i="6"/>
  <c r="G1313" i="6"/>
  <c r="H1313" i="6"/>
  <c r="G1317" i="6"/>
  <c r="H1317" i="6"/>
  <c r="G1312" i="6"/>
  <c r="H1312" i="6"/>
  <c r="H1301" i="6"/>
  <c r="G1301" i="6"/>
  <c r="G1293" i="6"/>
  <c r="H1293" i="6"/>
  <c r="G1285" i="6"/>
  <c r="H1285" i="6"/>
  <c r="G1277" i="6"/>
  <c r="H1277" i="6"/>
  <c r="G1269" i="6"/>
  <c r="H1269" i="6"/>
  <c r="G1253" i="6"/>
  <c r="H1253" i="6"/>
  <c r="G1246" i="6"/>
  <c r="H1246" i="6"/>
  <c r="G1237" i="6"/>
  <c r="H1237" i="6"/>
  <c r="G1232" i="6"/>
  <c r="H1232" i="6"/>
  <c r="G1221" i="6"/>
  <c r="H1221" i="6"/>
  <c r="G1213" i="6"/>
  <c r="H1213" i="6"/>
  <c r="G1205" i="6"/>
  <c r="H1205" i="6"/>
  <c r="G1197" i="6"/>
  <c r="H1197" i="6"/>
  <c r="G1189" i="6"/>
  <c r="H1189" i="6"/>
  <c r="G1173" i="6"/>
  <c r="H1173" i="6"/>
  <c r="G1165" i="6"/>
  <c r="H1165" i="6"/>
  <c r="H1157" i="6"/>
  <c r="G1157" i="6"/>
  <c r="G1149" i="6"/>
  <c r="H1149" i="6"/>
  <c r="G1141" i="6"/>
  <c r="H1141" i="6"/>
  <c r="G1133" i="6"/>
  <c r="H1133" i="6"/>
  <c r="G1125" i="6"/>
  <c r="H1125" i="6"/>
  <c r="G1117" i="6"/>
  <c r="H1117" i="6"/>
  <c r="H1109" i="6"/>
  <c r="G1109" i="6"/>
  <c r="G1101" i="6"/>
  <c r="H1101" i="6"/>
  <c r="G1093" i="6"/>
  <c r="H1093" i="6"/>
  <c r="G1085" i="6"/>
  <c r="H1085" i="6"/>
  <c r="G1065" i="6"/>
  <c r="H1065" i="6"/>
  <c r="H1064" i="6"/>
  <c r="G1064" i="6"/>
  <c r="G1041" i="6"/>
  <c r="H1041" i="6"/>
  <c r="G1017" i="6"/>
  <c r="H1017" i="6"/>
  <c r="G1021" i="6"/>
  <c r="H1021" i="6"/>
  <c r="G1016" i="6"/>
  <c r="H1016" i="6"/>
  <c r="G997" i="6"/>
  <c r="H997" i="6"/>
  <c r="G989" i="6"/>
  <c r="H989" i="6"/>
  <c r="G981" i="6"/>
  <c r="H981" i="6"/>
  <c r="G965" i="6"/>
  <c r="H965" i="6"/>
  <c r="G957" i="6"/>
  <c r="H957" i="6"/>
  <c r="G949" i="6"/>
  <c r="H949" i="6"/>
  <c r="G941" i="6"/>
  <c r="H941" i="6"/>
  <c r="G933" i="6"/>
  <c r="H933" i="6"/>
  <c r="H925" i="6"/>
  <c r="G925" i="6"/>
  <c r="G917" i="6"/>
  <c r="H917" i="6"/>
  <c r="G909" i="6"/>
  <c r="H909" i="6"/>
  <c r="G901" i="6"/>
  <c r="H901" i="6"/>
  <c r="G893" i="6"/>
  <c r="H893" i="6"/>
  <c r="G885" i="6"/>
  <c r="H885" i="6"/>
  <c r="G877" i="6"/>
  <c r="H877" i="6"/>
  <c r="G869" i="6"/>
  <c r="H869" i="6"/>
  <c r="G861" i="6"/>
  <c r="H861" i="6"/>
  <c r="G853" i="6"/>
  <c r="H853" i="6"/>
  <c r="G845" i="6"/>
  <c r="H845" i="6"/>
  <c r="G837" i="6"/>
  <c r="H837" i="6"/>
  <c r="G829" i="6"/>
  <c r="H829" i="6"/>
  <c r="G821" i="6"/>
  <c r="H821" i="6"/>
  <c r="G813" i="6"/>
  <c r="H813" i="6"/>
  <c r="G805" i="6"/>
  <c r="H805" i="6"/>
  <c r="G797" i="6"/>
  <c r="H797" i="6"/>
  <c r="G789" i="6"/>
  <c r="H789" i="6"/>
  <c r="H781" i="6"/>
  <c r="G781" i="6"/>
  <c r="G773" i="6"/>
  <c r="H773" i="6"/>
  <c r="G765" i="6"/>
  <c r="H765" i="6"/>
  <c r="G757" i="6"/>
  <c r="H757" i="6"/>
  <c r="G749" i="6"/>
  <c r="H749" i="6"/>
  <c r="G741" i="6"/>
  <c r="H741" i="6"/>
  <c r="G733" i="6"/>
  <c r="H733" i="6"/>
  <c r="G725" i="6"/>
  <c r="H725" i="6"/>
  <c r="G717" i="6"/>
  <c r="H717" i="6"/>
  <c r="G709" i="6"/>
  <c r="H709" i="6"/>
  <c r="G701" i="6"/>
  <c r="H701" i="6"/>
  <c r="G693" i="6"/>
  <c r="H693" i="6"/>
  <c r="G688" i="6"/>
  <c r="H688" i="6"/>
  <c r="G665" i="6"/>
  <c r="H665" i="6"/>
  <c r="G669" i="6"/>
  <c r="H669" i="6"/>
  <c r="G664" i="6"/>
  <c r="H664" i="6"/>
  <c r="G641" i="6"/>
  <c r="H641" i="6"/>
  <c r="G645" i="6"/>
  <c r="H645" i="6"/>
  <c r="G640" i="6"/>
  <c r="H640" i="6"/>
  <c r="G617" i="6"/>
  <c r="H617" i="6"/>
  <c r="G621" i="6"/>
  <c r="H621" i="6"/>
  <c r="G616" i="6"/>
  <c r="H616" i="6"/>
  <c r="G593" i="6"/>
  <c r="H593" i="6"/>
  <c r="G592" i="6"/>
  <c r="H592" i="6"/>
  <c r="G569" i="6"/>
  <c r="H569" i="6"/>
  <c r="G573" i="6"/>
  <c r="H573" i="6"/>
  <c r="G565" i="6"/>
  <c r="H565" i="6"/>
  <c r="H557" i="6"/>
  <c r="G557" i="6"/>
  <c r="G541" i="6"/>
  <c r="H541" i="6"/>
  <c r="G533" i="6"/>
  <c r="H533" i="6"/>
  <c r="H525" i="6"/>
  <c r="G525" i="6"/>
  <c r="G517" i="6"/>
  <c r="H517" i="6"/>
  <c r="H509" i="6"/>
  <c r="G509" i="6"/>
  <c r="G501" i="6"/>
  <c r="H501" i="6"/>
  <c r="G493" i="6"/>
  <c r="H493" i="6"/>
  <c r="G485" i="6"/>
  <c r="H485" i="6"/>
  <c r="G477" i="6"/>
  <c r="H477" i="6"/>
  <c r="G469" i="6"/>
  <c r="H469" i="6"/>
  <c r="G461" i="6"/>
  <c r="H461" i="6"/>
  <c r="G453" i="6"/>
  <c r="H453" i="6"/>
  <c r="G445" i="6"/>
  <c r="H445" i="6"/>
  <c r="G437" i="6"/>
  <c r="H437" i="6"/>
  <c r="G429" i="6"/>
  <c r="H429" i="6"/>
  <c r="G421" i="6"/>
  <c r="H421" i="6"/>
  <c r="G413" i="6"/>
  <c r="H413" i="6"/>
  <c r="G405" i="6"/>
  <c r="H405" i="6"/>
  <c r="G397" i="6"/>
  <c r="H397" i="6"/>
  <c r="G389" i="6"/>
  <c r="H389" i="6"/>
  <c r="H381" i="6"/>
  <c r="G381" i="6"/>
  <c r="G373" i="6"/>
  <c r="H373" i="6"/>
  <c r="G365" i="6"/>
  <c r="H365" i="6"/>
  <c r="H1771" i="6"/>
  <c r="H1673" i="6"/>
  <c r="H1569" i="6"/>
  <c r="H1455" i="6"/>
  <c r="H1339" i="6"/>
  <c r="H1154" i="6"/>
  <c r="H903" i="6"/>
  <c r="G1526" i="6"/>
  <c r="G1772" i="6"/>
  <c r="H1772" i="6"/>
  <c r="G1498" i="6"/>
  <c r="H1498" i="6"/>
  <c r="G1114" i="6"/>
  <c r="H1114" i="6"/>
  <c r="G874" i="6"/>
  <c r="H874" i="6"/>
  <c r="G1561" i="6"/>
  <c r="H1561" i="6"/>
  <c r="H1680" i="6"/>
  <c r="G1680" i="6"/>
  <c r="G1780" i="6"/>
  <c r="H1780" i="6"/>
  <c r="H1797" i="6"/>
  <c r="G1797" i="6"/>
  <c r="G1685" i="6"/>
  <c r="H1685" i="6"/>
  <c r="G1669" i="6"/>
  <c r="H1669" i="6"/>
  <c r="G1661" i="6"/>
  <c r="H1661" i="6"/>
  <c r="G1645" i="6"/>
  <c r="H1645" i="6"/>
  <c r="G1625" i="6"/>
  <c r="H1625" i="6"/>
  <c r="G1624" i="6"/>
  <c r="H1624" i="6"/>
  <c r="G1581" i="6"/>
  <c r="H1581" i="6"/>
  <c r="G1501" i="6"/>
  <c r="H1501" i="6"/>
  <c r="G1354" i="6"/>
  <c r="H1354" i="6"/>
  <c r="G1045" i="6"/>
  <c r="H1045" i="6"/>
  <c r="H1770" i="6"/>
  <c r="H1667" i="6"/>
  <c r="H1551" i="6"/>
  <c r="H1454" i="6"/>
  <c r="H1328" i="6"/>
  <c r="H1122" i="6"/>
  <c r="H884" i="6"/>
  <c r="H546" i="6"/>
  <c r="G1525" i="6"/>
  <c r="G1842" i="6"/>
  <c r="H1842" i="6"/>
  <c r="G1754" i="6"/>
  <c r="H1754" i="6"/>
  <c r="G1634" i="6"/>
  <c r="H1634" i="6"/>
  <c r="G1138" i="6"/>
  <c r="H1138" i="6"/>
  <c r="G1018" i="6"/>
  <c r="H1018" i="6"/>
  <c r="G826" i="6"/>
  <c r="H826" i="6"/>
  <c r="G1817" i="6"/>
  <c r="H1817" i="6"/>
  <c r="G1721" i="6"/>
  <c r="H1721" i="6"/>
  <c r="G1513" i="6"/>
  <c r="H1513" i="6"/>
  <c r="G1834" i="6"/>
  <c r="H1834" i="6"/>
  <c r="G1696" i="6"/>
  <c r="H1696" i="6"/>
  <c r="G1741" i="6"/>
  <c r="H1741" i="6"/>
  <c r="G1836" i="6"/>
  <c r="H1836" i="6"/>
  <c r="G1815" i="6"/>
  <c r="H1815" i="6"/>
  <c r="G1796" i="6"/>
  <c r="H1796" i="6"/>
  <c r="H1764" i="6"/>
  <c r="G1764" i="6"/>
  <c r="G1748" i="6"/>
  <c r="H1748" i="6"/>
  <c r="G1743" i="6"/>
  <c r="H1743" i="6"/>
  <c r="G1730" i="6"/>
  <c r="H1730" i="6"/>
  <c r="G1724" i="6"/>
  <c r="H1724" i="6"/>
  <c r="H1716" i="6"/>
  <c r="G1716" i="6"/>
  <c r="H1700" i="6"/>
  <c r="G1700" i="6"/>
  <c r="G1684" i="6"/>
  <c r="H1684" i="6"/>
  <c r="G1668" i="6"/>
  <c r="H1668" i="6"/>
  <c r="G1642" i="6"/>
  <c r="H1642" i="6"/>
  <c r="G1644" i="6"/>
  <c r="H1644" i="6"/>
  <c r="G1633" i="6"/>
  <c r="H1633" i="6"/>
  <c r="G1620" i="6"/>
  <c r="H1620" i="6"/>
  <c r="G1610" i="6"/>
  <c r="H1610" i="6"/>
  <c r="G1604" i="6"/>
  <c r="H1604" i="6"/>
  <c r="G1593" i="6"/>
  <c r="H1593" i="6"/>
  <c r="G1580" i="6"/>
  <c r="H1580" i="6"/>
  <c r="G1572" i="6"/>
  <c r="H1572" i="6"/>
  <c r="G1564" i="6"/>
  <c r="H1564" i="6"/>
  <c r="G1556" i="6"/>
  <c r="H1556" i="6"/>
  <c r="G1548" i="6"/>
  <c r="H1548" i="6"/>
  <c r="G1540" i="6"/>
  <c r="H1540" i="6"/>
  <c r="G1524" i="6"/>
  <c r="H1524" i="6"/>
  <c r="G1510" i="6"/>
  <c r="H1510" i="6"/>
  <c r="G1497" i="6"/>
  <c r="H1497" i="6"/>
  <c r="G1492" i="6"/>
  <c r="H1492" i="6"/>
  <c r="G1484" i="6"/>
  <c r="H1484" i="6"/>
  <c r="G1476" i="6"/>
  <c r="H1476" i="6"/>
  <c r="G1468" i="6"/>
  <c r="H1468" i="6"/>
  <c r="G1460" i="6"/>
  <c r="H1460" i="6"/>
  <c r="G1447" i="6"/>
  <c r="H1447" i="6"/>
  <c r="G1444" i="6"/>
  <c r="H1444" i="6"/>
  <c r="G1433" i="6"/>
  <c r="H1433" i="6"/>
  <c r="G1428" i="6"/>
  <c r="H1428" i="6"/>
  <c r="G1420" i="6"/>
  <c r="H1420" i="6"/>
  <c r="G1412" i="6"/>
  <c r="H1412" i="6"/>
  <c r="G1396" i="6"/>
  <c r="H1396" i="6"/>
  <c r="G1385" i="6"/>
  <c r="H1385" i="6"/>
  <c r="G1380" i="6"/>
  <c r="H1380" i="6"/>
  <c r="G1372" i="6"/>
  <c r="H1372" i="6"/>
  <c r="G1361" i="6"/>
  <c r="H1361" i="6"/>
  <c r="G1356" i="6"/>
  <c r="H1356" i="6"/>
  <c r="G1332" i="6"/>
  <c r="H1332" i="6"/>
  <c r="G1321" i="6"/>
  <c r="H1321" i="6"/>
  <c r="G1316" i="6"/>
  <c r="H1316" i="6"/>
  <c r="H1300" i="6"/>
  <c r="G1300" i="6"/>
  <c r="G1292" i="6"/>
  <c r="H1292" i="6"/>
  <c r="G1284" i="6"/>
  <c r="H1284" i="6"/>
  <c r="G1276" i="6"/>
  <c r="H1276" i="6"/>
  <c r="H1268" i="6"/>
  <c r="G1268" i="6"/>
  <c r="G1260" i="6"/>
  <c r="H1260" i="6"/>
  <c r="G1252" i="6"/>
  <c r="H1252" i="6"/>
  <c r="G1233" i="6"/>
  <c r="H1233" i="6"/>
  <c r="G1236" i="6"/>
  <c r="H1236" i="6"/>
  <c r="G1228" i="6"/>
  <c r="H1228" i="6"/>
  <c r="G1220" i="6"/>
  <c r="H1220" i="6"/>
  <c r="G1204" i="6"/>
  <c r="H1204" i="6"/>
  <c r="G1188" i="6"/>
  <c r="H1188" i="6"/>
  <c r="G1180" i="6"/>
  <c r="H1180" i="6"/>
  <c r="G1172" i="6"/>
  <c r="H1172" i="6"/>
  <c r="G1164" i="6"/>
  <c r="H1164" i="6"/>
  <c r="G1156" i="6"/>
  <c r="H1156" i="6"/>
  <c r="G1148" i="6"/>
  <c r="H1148" i="6"/>
  <c r="G1140" i="6"/>
  <c r="H1140" i="6"/>
  <c r="G1132" i="6"/>
  <c r="H1132" i="6"/>
  <c r="G1124" i="6"/>
  <c r="H1124" i="6"/>
  <c r="G1116" i="6"/>
  <c r="H1116" i="6"/>
  <c r="H1108" i="6"/>
  <c r="G1108" i="6"/>
  <c r="G1100" i="6"/>
  <c r="H1100" i="6"/>
  <c r="G1092" i="6"/>
  <c r="H1092" i="6"/>
  <c r="G1084" i="6"/>
  <c r="H1084" i="6"/>
  <c r="G1073" i="6"/>
  <c r="H1073" i="6"/>
  <c r="H1060" i="6"/>
  <c r="G1060" i="6"/>
  <c r="G1049" i="6"/>
  <c r="H1049" i="6"/>
  <c r="G1044" i="6"/>
  <c r="H1044" i="6"/>
  <c r="G1025" i="6"/>
  <c r="H1025" i="6"/>
  <c r="G1020" i="6"/>
  <c r="H1020" i="6"/>
  <c r="G1012" i="6"/>
  <c r="H1012" i="6"/>
  <c r="G996" i="6"/>
  <c r="H996" i="6"/>
  <c r="G988" i="6"/>
  <c r="H988" i="6"/>
  <c r="G980" i="6"/>
  <c r="H980" i="6"/>
  <c r="G964" i="6"/>
  <c r="H964" i="6"/>
  <c r="G956" i="6"/>
  <c r="H956" i="6"/>
  <c r="G940" i="6"/>
  <c r="H940" i="6"/>
  <c r="G932" i="6"/>
  <c r="H932" i="6"/>
  <c r="H924" i="6"/>
  <c r="G924" i="6"/>
  <c r="G908" i="6"/>
  <c r="H908" i="6"/>
  <c r="G900" i="6"/>
  <c r="H900" i="6"/>
  <c r="G892" i="6"/>
  <c r="H892" i="6"/>
  <c r="G876" i="6"/>
  <c r="H876" i="6"/>
  <c r="G868" i="6"/>
  <c r="H868" i="6"/>
  <c r="G860" i="6"/>
  <c r="H860" i="6"/>
  <c r="G852" i="6"/>
  <c r="H852" i="6"/>
  <c r="G844" i="6"/>
  <c r="H844" i="6"/>
  <c r="G836" i="6"/>
  <c r="H836" i="6"/>
  <c r="G828" i="6"/>
  <c r="H828" i="6"/>
  <c r="G820" i="6"/>
  <c r="H820" i="6"/>
  <c r="G812" i="6"/>
  <c r="H812" i="6"/>
  <c r="G792" i="6"/>
  <c r="H792" i="6"/>
  <c r="G796" i="6"/>
  <c r="H796" i="6"/>
  <c r="G791" i="6"/>
  <c r="H791" i="6"/>
  <c r="H1768" i="6"/>
  <c r="H1654" i="6"/>
  <c r="H1553" i="6"/>
  <c r="H1451" i="6"/>
  <c r="H1309" i="6"/>
  <c r="H1121" i="6"/>
  <c r="H883" i="6"/>
  <c r="G1199" i="6"/>
  <c r="G1831" i="6"/>
  <c r="H1831" i="6"/>
  <c r="G1511" i="6"/>
  <c r="H1511" i="6"/>
  <c r="G1298" i="6"/>
  <c r="H1298" i="6"/>
  <c r="G1042" i="6"/>
  <c r="H1042" i="6"/>
  <c r="G1002" i="6"/>
  <c r="H1002" i="6"/>
  <c r="G978" i="6"/>
  <c r="H978" i="6"/>
  <c r="G922" i="6"/>
  <c r="H922" i="6"/>
  <c r="G754" i="6"/>
  <c r="H754" i="6"/>
  <c r="G1786" i="6"/>
  <c r="H1786" i="6"/>
  <c r="G1545" i="6"/>
  <c r="H1545" i="6"/>
  <c r="G1728" i="6"/>
  <c r="H1728" i="6"/>
  <c r="G1774" i="6"/>
  <c r="H1774" i="6"/>
  <c r="H1714" i="6"/>
  <c r="G1714" i="6"/>
  <c r="H1844" i="6"/>
  <c r="G1844" i="6"/>
  <c r="G1828" i="6"/>
  <c r="H1828" i="6"/>
  <c r="G1812" i="6"/>
  <c r="H1812" i="6"/>
  <c r="G1804" i="6"/>
  <c r="H1804" i="6"/>
  <c r="G1788" i="6"/>
  <c r="H1788" i="6"/>
  <c r="H1773" i="6"/>
  <c r="G1773" i="6"/>
  <c r="G1752" i="6"/>
  <c r="H1752" i="6"/>
  <c r="H1676" i="6"/>
  <c r="G1676" i="6"/>
  <c r="G1660" i="6"/>
  <c r="H1660" i="6"/>
  <c r="G1628" i="6"/>
  <c r="H1628" i="6"/>
  <c r="G1585" i="6"/>
  <c r="H1585" i="6"/>
  <c r="G1532" i="6"/>
  <c r="H1532" i="6"/>
  <c r="H1348" i="6"/>
  <c r="G1348" i="6"/>
  <c r="H1753" i="6"/>
  <c r="H1648" i="6"/>
  <c r="H1550" i="6"/>
  <c r="H1434" i="6"/>
  <c r="H1311" i="6"/>
  <c r="H1098" i="6"/>
  <c r="H854" i="6"/>
  <c r="G1196" i="6"/>
  <c r="G578" i="6"/>
  <c r="H578" i="6"/>
  <c r="G570" i="6"/>
  <c r="H570" i="6"/>
  <c r="G550" i="6"/>
  <c r="H550" i="6"/>
  <c r="G554" i="6"/>
  <c r="H554" i="6"/>
  <c r="G549" i="6"/>
  <c r="H549" i="6"/>
  <c r="G526" i="6"/>
  <c r="H526" i="6"/>
  <c r="G522" i="6"/>
  <c r="H522" i="6"/>
  <c r="G514" i="6"/>
  <c r="H514" i="6"/>
  <c r="G506" i="6"/>
  <c r="H506" i="6"/>
  <c r="G490" i="6"/>
  <c r="H490" i="6"/>
  <c r="G482" i="6"/>
  <c r="H482" i="6"/>
  <c r="G474" i="6"/>
  <c r="H474" i="6"/>
  <c r="G458" i="6"/>
  <c r="H458" i="6"/>
  <c r="G442" i="6"/>
  <c r="H442" i="6"/>
  <c r="G434" i="6"/>
  <c r="H434" i="6"/>
  <c r="G426" i="6"/>
  <c r="H426" i="6"/>
  <c r="G418" i="6"/>
  <c r="H418" i="6"/>
  <c r="G410" i="6"/>
  <c r="H410" i="6"/>
  <c r="G394" i="6"/>
  <c r="H394" i="6"/>
  <c r="G386" i="6"/>
  <c r="H386" i="6"/>
  <c r="G378" i="6"/>
  <c r="H378" i="6"/>
  <c r="G362" i="6"/>
  <c r="H362" i="6"/>
  <c r="G354" i="6"/>
  <c r="H354" i="6"/>
  <c r="G346" i="6"/>
  <c r="H346" i="6"/>
  <c r="G330" i="6"/>
  <c r="H330" i="6"/>
  <c r="G314" i="6"/>
  <c r="H314" i="6"/>
  <c r="G306" i="6"/>
  <c r="H306" i="6"/>
  <c r="G298" i="6"/>
  <c r="H298" i="6"/>
  <c r="G290" i="6"/>
  <c r="H290" i="6"/>
  <c r="G282" i="6"/>
  <c r="H282" i="6"/>
  <c r="G266" i="6"/>
  <c r="H266" i="6"/>
  <c r="G258" i="6"/>
  <c r="H258" i="6"/>
  <c r="G247" i="6"/>
  <c r="H247" i="6"/>
  <c r="G242" i="6"/>
  <c r="H242" i="6"/>
  <c r="G234" i="6"/>
  <c r="H234" i="6"/>
  <c r="G223" i="6"/>
  <c r="H223" i="6"/>
  <c r="G218" i="6"/>
  <c r="H218" i="6"/>
  <c r="G210" i="6"/>
  <c r="H210" i="6"/>
  <c r="G199" i="6"/>
  <c r="H199" i="6"/>
  <c r="G194" i="6"/>
  <c r="H194" i="6"/>
  <c r="G186" i="6"/>
  <c r="H186" i="6"/>
  <c r="G175" i="6"/>
  <c r="H175" i="6"/>
  <c r="G170" i="6"/>
  <c r="H170" i="6"/>
  <c r="G146" i="6"/>
  <c r="H146" i="6"/>
  <c r="G138" i="6"/>
  <c r="H138" i="6"/>
  <c r="G131" i="6"/>
  <c r="H131" i="6"/>
  <c r="G110" i="6"/>
  <c r="H110" i="6"/>
  <c r="G114" i="6"/>
  <c r="H114" i="6"/>
  <c r="G109" i="6"/>
  <c r="H109" i="6"/>
  <c r="G86" i="6"/>
  <c r="H86" i="6"/>
  <c r="G90" i="6"/>
  <c r="H90" i="6"/>
  <c r="G85" i="6"/>
  <c r="H85" i="6"/>
  <c r="G62" i="6"/>
  <c r="H62" i="6"/>
  <c r="G61" i="6"/>
  <c r="H61" i="6"/>
  <c r="G38" i="6"/>
  <c r="H38" i="6"/>
  <c r="G42" i="6"/>
  <c r="H42" i="6"/>
  <c r="G37" i="6"/>
  <c r="H37" i="6"/>
  <c r="G14" i="6"/>
  <c r="H14" i="6"/>
  <c r="G18" i="6"/>
  <c r="H18" i="6"/>
  <c r="G13" i="6"/>
  <c r="H13" i="6"/>
  <c r="H735" i="6"/>
  <c r="H544" i="6"/>
  <c r="H470" i="6"/>
  <c r="H376" i="6"/>
  <c r="H300" i="6"/>
  <c r="H221" i="6"/>
  <c r="H66" i="6"/>
  <c r="H772" i="6"/>
  <c r="H734" i="6"/>
  <c r="H637" i="6"/>
  <c r="H466" i="6"/>
  <c r="H372" i="6"/>
  <c r="H302" i="6"/>
  <c r="H206" i="6"/>
  <c r="H48" i="6"/>
  <c r="H720" i="6"/>
  <c r="H679" i="6"/>
  <c r="H639" i="6"/>
  <c r="H530" i="6"/>
  <c r="H374" i="6"/>
  <c r="H294" i="6"/>
  <c r="H187" i="6"/>
  <c r="H29" i="6"/>
  <c r="H727" i="6"/>
  <c r="H678" i="6"/>
  <c r="H638" i="6"/>
  <c r="H589" i="6"/>
  <c r="H528" i="6"/>
  <c r="H452" i="6"/>
  <c r="H375" i="6"/>
  <c r="H280" i="6"/>
  <c r="H189" i="6"/>
  <c r="H731" i="6"/>
  <c r="G731" i="6"/>
  <c r="G712" i="6"/>
  <c r="H712" i="6"/>
  <c r="G707" i="6"/>
  <c r="H707" i="6"/>
  <c r="H689" i="6"/>
  <c r="G689" i="6"/>
  <c r="G685" i="6"/>
  <c r="H685" i="6"/>
  <c r="G680" i="6"/>
  <c r="H680" i="6"/>
  <c r="G672" i="6"/>
  <c r="H672" i="6"/>
  <c r="G648" i="6"/>
  <c r="H648" i="6"/>
  <c r="H632" i="6"/>
  <c r="G632" i="6"/>
  <c r="G624" i="6"/>
  <c r="H624" i="6"/>
  <c r="G613" i="6"/>
  <c r="H613" i="6"/>
  <c r="H600" i="6"/>
  <c r="G600" i="6"/>
  <c r="G584" i="6"/>
  <c r="H584" i="6"/>
  <c r="H568" i="6"/>
  <c r="G568" i="6"/>
  <c r="G560" i="6"/>
  <c r="H560" i="6"/>
  <c r="G552" i="6"/>
  <c r="H552" i="6"/>
  <c r="G536" i="6"/>
  <c r="H536" i="6"/>
  <c r="G508" i="6"/>
  <c r="H508" i="6"/>
  <c r="G512" i="6"/>
  <c r="H512" i="6"/>
  <c r="H507" i="6"/>
  <c r="G507" i="6"/>
  <c r="G484" i="6"/>
  <c r="H484" i="6"/>
  <c r="G488" i="6"/>
  <c r="H488" i="6"/>
  <c r="G460" i="6"/>
  <c r="H460" i="6"/>
  <c r="G464" i="6"/>
  <c r="H464" i="6"/>
  <c r="G459" i="6"/>
  <c r="H459" i="6"/>
  <c r="G440" i="6"/>
  <c r="H440" i="6"/>
  <c r="G435" i="6"/>
  <c r="H435" i="6"/>
  <c r="G412" i="6"/>
  <c r="H412" i="6"/>
  <c r="G411" i="6"/>
  <c r="H411" i="6"/>
  <c r="G392" i="6"/>
  <c r="H392" i="6"/>
  <c r="G387" i="6"/>
  <c r="H387" i="6"/>
  <c r="H364" i="6"/>
  <c r="G364" i="6"/>
  <c r="G368" i="6"/>
  <c r="H368" i="6"/>
  <c r="G363" i="6"/>
  <c r="H363" i="6"/>
  <c r="G344" i="6"/>
  <c r="H344" i="6"/>
  <c r="G339" i="6"/>
  <c r="H339" i="6"/>
  <c r="G316" i="6"/>
  <c r="H316" i="6"/>
  <c r="H315" i="6"/>
  <c r="G315" i="6"/>
  <c r="G292" i="6"/>
  <c r="H292" i="6"/>
  <c r="G296" i="6"/>
  <c r="H296" i="6"/>
  <c r="G268" i="6"/>
  <c r="H268" i="6"/>
  <c r="G264" i="6"/>
  <c r="H264" i="6"/>
  <c r="G256" i="6"/>
  <c r="H256" i="6"/>
  <c r="H248" i="6"/>
  <c r="G248" i="6"/>
  <c r="G240" i="6"/>
  <c r="H240" i="6"/>
  <c r="G232" i="6"/>
  <c r="H232" i="6"/>
  <c r="G216" i="6"/>
  <c r="H216" i="6"/>
  <c r="G208" i="6"/>
  <c r="H208" i="6"/>
  <c r="G200" i="6"/>
  <c r="H200" i="6"/>
  <c r="G192" i="6"/>
  <c r="H192" i="6"/>
  <c r="G184" i="6"/>
  <c r="H184" i="6"/>
  <c r="G176" i="6"/>
  <c r="H176" i="6"/>
  <c r="G168" i="6"/>
  <c r="H168" i="6"/>
  <c r="G160" i="6"/>
  <c r="H160" i="6"/>
  <c r="G154" i="6"/>
  <c r="H154" i="6"/>
  <c r="G132" i="6"/>
  <c r="H132" i="6"/>
  <c r="G136" i="6"/>
  <c r="H136" i="6"/>
  <c r="G128" i="6"/>
  <c r="H128" i="6"/>
  <c r="G120" i="6"/>
  <c r="H120" i="6"/>
  <c r="G104" i="6"/>
  <c r="H104" i="6"/>
  <c r="G96" i="6"/>
  <c r="H96" i="6"/>
  <c r="G88" i="6"/>
  <c r="H88" i="6"/>
  <c r="G80" i="6"/>
  <c r="H80" i="6"/>
  <c r="G72" i="6"/>
  <c r="H72" i="6"/>
  <c r="G64" i="6"/>
  <c r="H64" i="6"/>
  <c r="G56" i="6"/>
  <c r="H56" i="6"/>
  <c r="G40" i="6"/>
  <c r="H40" i="6"/>
  <c r="G32" i="6"/>
  <c r="H32" i="6"/>
  <c r="G24" i="6"/>
  <c r="H24" i="6"/>
  <c r="G16" i="6"/>
  <c r="H16" i="6"/>
  <c r="H708" i="6"/>
  <c r="H636" i="6"/>
  <c r="H527" i="6"/>
  <c r="H450" i="6"/>
  <c r="H370" i="6"/>
  <c r="H291" i="6"/>
  <c r="H2" i="6"/>
  <c r="H716" i="6"/>
  <c r="H673" i="6"/>
  <c r="H520" i="6"/>
  <c r="H436" i="6"/>
  <c r="H366" i="6"/>
  <c r="H172" i="6"/>
  <c r="G783" i="6"/>
  <c r="H783" i="6"/>
  <c r="G764" i="6"/>
  <c r="H764" i="6"/>
  <c r="G759" i="6"/>
  <c r="H759" i="6"/>
  <c r="G740" i="6"/>
  <c r="H740" i="6"/>
  <c r="G711" i="6"/>
  <c r="H711" i="6"/>
  <c r="G703" i="6"/>
  <c r="H703" i="6"/>
  <c r="G687" i="6"/>
  <c r="H687" i="6"/>
  <c r="G671" i="6"/>
  <c r="H671" i="6"/>
  <c r="G663" i="6"/>
  <c r="H663" i="6"/>
  <c r="G647" i="6"/>
  <c r="H647" i="6"/>
  <c r="G631" i="6"/>
  <c r="H631" i="6"/>
  <c r="G623" i="6"/>
  <c r="H623" i="6"/>
  <c r="G607" i="6"/>
  <c r="H607" i="6"/>
  <c r="G599" i="6"/>
  <c r="H599" i="6"/>
  <c r="G591" i="6"/>
  <c r="H591" i="6"/>
  <c r="G583" i="6"/>
  <c r="H583" i="6"/>
  <c r="G575" i="6"/>
  <c r="H575" i="6"/>
  <c r="G567" i="6"/>
  <c r="H567" i="6"/>
  <c r="G559" i="6"/>
  <c r="H559" i="6"/>
  <c r="G551" i="6"/>
  <c r="H551" i="6"/>
  <c r="G543" i="6"/>
  <c r="H543" i="6"/>
  <c r="G535" i="6"/>
  <c r="H535" i="6"/>
  <c r="G516" i="6"/>
  <c r="H516" i="6"/>
  <c r="G511" i="6"/>
  <c r="H511" i="6"/>
  <c r="G492" i="6"/>
  <c r="H492" i="6"/>
  <c r="G487" i="6"/>
  <c r="H487" i="6"/>
  <c r="G479" i="6"/>
  <c r="H479" i="6"/>
  <c r="G468" i="6"/>
  <c r="H468" i="6"/>
  <c r="G463" i="6"/>
  <c r="H463" i="6"/>
  <c r="G455" i="6"/>
  <c r="H455" i="6"/>
  <c r="G444" i="6"/>
  <c r="H444" i="6"/>
  <c r="G439" i="6"/>
  <c r="H439" i="6"/>
  <c r="G420" i="6"/>
  <c r="H420" i="6"/>
  <c r="G415" i="6"/>
  <c r="H415" i="6"/>
  <c r="G407" i="6"/>
  <c r="H407" i="6"/>
  <c r="G396" i="6"/>
  <c r="H396" i="6"/>
  <c r="G391" i="6"/>
  <c r="H391" i="6"/>
  <c r="G383" i="6"/>
  <c r="H383" i="6"/>
  <c r="G367" i="6"/>
  <c r="H367" i="6"/>
  <c r="G359" i="6"/>
  <c r="H359" i="6"/>
  <c r="G348" i="6"/>
  <c r="H348" i="6"/>
  <c r="G343" i="6"/>
  <c r="H343" i="6"/>
  <c r="G335" i="6"/>
  <c r="H335" i="6"/>
  <c r="G324" i="6"/>
  <c r="H324" i="6"/>
  <c r="G319" i="6"/>
  <c r="H319" i="6"/>
  <c r="G311" i="6"/>
  <c r="H311" i="6"/>
  <c r="G295" i="6"/>
  <c r="H295" i="6"/>
  <c r="G287" i="6"/>
  <c r="H287" i="6"/>
  <c r="G276" i="6"/>
  <c r="H276" i="6"/>
  <c r="G271" i="6"/>
  <c r="H271" i="6"/>
  <c r="G251" i="6"/>
  <c r="H251" i="6"/>
  <c r="G255" i="6"/>
  <c r="H255" i="6"/>
  <c r="G227" i="6"/>
  <c r="H227" i="6"/>
  <c r="G231" i="6"/>
  <c r="H231" i="6"/>
  <c r="G203" i="6"/>
  <c r="H203" i="6"/>
  <c r="G207" i="6"/>
  <c r="H207" i="6"/>
  <c r="G202" i="6"/>
  <c r="H202" i="6"/>
  <c r="G179" i="6"/>
  <c r="H179" i="6"/>
  <c r="G183" i="6"/>
  <c r="H183" i="6"/>
  <c r="G178" i="6"/>
  <c r="H178" i="6"/>
  <c r="G155" i="6"/>
  <c r="H155" i="6"/>
  <c r="G159" i="6"/>
  <c r="H159" i="6"/>
  <c r="G151" i="6"/>
  <c r="H151" i="6"/>
  <c r="G140" i="6"/>
  <c r="H140" i="6"/>
  <c r="G135" i="6"/>
  <c r="H135" i="6"/>
  <c r="G127" i="6"/>
  <c r="H127" i="6"/>
  <c r="G119" i="6"/>
  <c r="H119" i="6"/>
  <c r="G103" i="6"/>
  <c r="H103" i="6"/>
  <c r="G95" i="6"/>
  <c r="H95" i="6"/>
  <c r="G87" i="6"/>
  <c r="H87" i="6"/>
  <c r="G79" i="6"/>
  <c r="H79" i="6"/>
  <c r="G71" i="6"/>
  <c r="H71" i="6"/>
  <c r="G63" i="6"/>
  <c r="H63" i="6"/>
  <c r="G55" i="6"/>
  <c r="H55" i="6"/>
  <c r="G47" i="6"/>
  <c r="H47" i="6"/>
  <c r="G39" i="6"/>
  <c r="H39" i="6"/>
  <c r="G31" i="6"/>
  <c r="H31" i="6"/>
  <c r="G23" i="6"/>
  <c r="H23" i="6"/>
  <c r="G15" i="6"/>
  <c r="H15" i="6"/>
  <c r="G7" i="6"/>
  <c r="H7" i="6"/>
  <c r="H744" i="6"/>
  <c r="H718" i="6"/>
  <c r="H625" i="6"/>
  <c r="H576" i="6"/>
  <c r="H519" i="6"/>
  <c r="H438" i="6"/>
  <c r="H274" i="6"/>
  <c r="H162" i="6"/>
  <c r="H620" i="6"/>
  <c r="H574" i="6"/>
  <c r="H503" i="6"/>
  <c r="H431" i="6"/>
  <c r="H340" i="6"/>
  <c r="H272" i="6"/>
  <c r="H153" i="6"/>
  <c r="G742" i="6"/>
  <c r="H742" i="6"/>
  <c r="G726" i="6"/>
  <c r="H726" i="6"/>
  <c r="G710" i="6"/>
  <c r="H710" i="6"/>
  <c r="G702" i="6"/>
  <c r="H702" i="6"/>
  <c r="G686" i="6"/>
  <c r="H686" i="6"/>
  <c r="G662" i="6"/>
  <c r="H662" i="6"/>
  <c r="G654" i="6"/>
  <c r="H654" i="6"/>
  <c r="G646" i="6"/>
  <c r="H646" i="6"/>
  <c r="G630" i="6"/>
  <c r="H630" i="6"/>
  <c r="G622" i="6"/>
  <c r="H622" i="6"/>
  <c r="G606" i="6"/>
  <c r="H606" i="6"/>
  <c r="G598" i="6"/>
  <c r="H598" i="6"/>
  <c r="G590" i="6"/>
  <c r="H590" i="6"/>
  <c r="G582" i="6"/>
  <c r="H582" i="6"/>
  <c r="G566" i="6"/>
  <c r="H566" i="6"/>
  <c r="G561" i="6"/>
  <c r="H561" i="6"/>
  <c r="G542" i="6"/>
  <c r="H542" i="6"/>
  <c r="G537" i="6"/>
  <c r="H537" i="6"/>
  <c r="G518" i="6"/>
  <c r="H518" i="6"/>
  <c r="G510" i="6"/>
  <c r="H510" i="6"/>
  <c r="G486" i="6"/>
  <c r="H486" i="6"/>
  <c r="G462" i="6"/>
  <c r="H462" i="6"/>
  <c r="G454" i="6"/>
  <c r="H454" i="6"/>
  <c r="G446" i="6"/>
  <c r="H446" i="6"/>
  <c r="G414" i="6"/>
  <c r="H414" i="6"/>
  <c r="G406" i="6"/>
  <c r="H406" i="6"/>
  <c r="G390" i="6"/>
  <c r="H390" i="6"/>
  <c r="G382" i="6"/>
  <c r="H382" i="6"/>
  <c r="G358" i="6"/>
  <c r="H358" i="6"/>
  <c r="G334" i="6"/>
  <c r="H334" i="6"/>
  <c r="G326" i="6"/>
  <c r="H326" i="6"/>
  <c r="G318" i="6"/>
  <c r="H318" i="6"/>
  <c r="G286" i="6"/>
  <c r="H286" i="6"/>
  <c r="G278" i="6"/>
  <c r="H278" i="6"/>
  <c r="G259" i="6"/>
  <c r="H259" i="6"/>
  <c r="G254" i="6"/>
  <c r="H254" i="6"/>
  <c r="G230" i="6"/>
  <c r="H230" i="6"/>
  <c r="G222" i="6"/>
  <c r="H222" i="6"/>
  <c r="G211" i="6"/>
  <c r="H211" i="6"/>
  <c r="G198" i="6"/>
  <c r="H198" i="6"/>
  <c r="G182" i="6"/>
  <c r="H182" i="6"/>
  <c r="G174" i="6"/>
  <c r="H174" i="6"/>
  <c r="G163" i="6"/>
  <c r="H163" i="6"/>
  <c r="G158" i="6"/>
  <c r="H158" i="6"/>
  <c r="G150" i="6"/>
  <c r="H150" i="6"/>
  <c r="G142" i="6"/>
  <c r="H142" i="6"/>
  <c r="G134" i="6"/>
  <c r="H134" i="6"/>
  <c r="G126" i="6"/>
  <c r="H126" i="6"/>
  <c r="G121" i="6"/>
  <c r="H121" i="6"/>
  <c r="G98" i="6"/>
  <c r="H98" i="6"/>
  <c r="G102" i="6"/>
  <c r="H102" i="6"/>
  <c r="G97" i="6"/>
  <c r="H97" i="6"/>
  <c r="G74" i="6"/>
  <c r="H74" i="6"/>
  <c r="G78" i="6"/>
  <c r="H78" i="6"/>
  <c r="G73" i="6"/>
  <c r="H73" i="6"/>
  <c r="G50" i="6"/>
  <c r="H50" i="6"/>
  <c r="G54" i="6"/>
  <c r="H54" i="6"/>
  <c r="G49" i="6"/>
  <c r="H49" i="6"/>
  <c r="G26" i="6"/>
  <c r="H26" i="6"/>
  <c r="G30" i="6"/>
  <c r="H30" i="6"/>
  <c r="G25" i="6"/>
  <c r="H25" i="6"/>
  <c r="G6" i="6"/>
  <c r="H6" i="6"/>
  <c r="H719" i="6"/>
  <c r="H670" i="6"/>
  <c r="H572" i="6"/>
  <c r="H502" i="6"/>
  <c r="H430" i="6"/>
  <c r="H350" i="6"/>
  <c r="H270" i="6"/>
  <c r="H149" i="6"/>
  <c r="H660" i="6"/>
  <c r="H615" i="6"/>
  <c r="H500" i="6"/>
  <c r="H422" i="6"/>
  <c r="H342" i="6"/>
  <c r="H260" i="6"/>
  <c r="G357" i="6"/>
  <c r="H357" i="6"/>
  <c r="G349" i="6"/>
  <c r="H349" i="6"/>
  <c r="G341" i="6"/>
  <c r="H341" i="6"/>
  <c r="G333" i="6"/>
  <c r="H333" i="6"/>
  <c r="H317" i="6"/>
  <c r="G317" i="6"/>
  <c r="G309" i="6"/>
  <c r="H309" i="6"/>
  <c r="G301" i="6"/>
  <c r="H301" i="6"/>
  <c r="G293" i="6"/>
  <c r="H293" i="6"/>
  <c r="G285" i="6"/>
  <c r="H285" i="6"/>
  <c r="G277" i="6"/>
  <c r="H277" i="6"/>
  <c r="G269" i="6"/>
  <c r="H269" i="6"/>
  <c r="G261" i="6"/>
  <c r="H261" i="6"/>
  <c r="H253" i="6"/>
  <c r="G253" i="6"/>
  <c r="G245" i="6"/>
  <c r="H245" i="6"/>
  <c r="G237" i="6"/>
  <c r="H237" i="6"/>
  <c r="G229" i="6"/>
  <c r="H229" i="6"/>
  <c r="G213" i="6"/>
  <c r="H213" i="6"/>
  <c r="G205" i="6"/>
  <c r="H205" i="6"/>
  <c r="G197" i="6"/>
  <c r="H197" i="6"/>
  <c r="G181" i="6"/>
  <c r="H181" i="6"/>
  <c r="G173" i="6"/>
  <c r="H173" i="6"/>
  <c r="G165" i="6"/>
  <c r="H165" i="6"/>
  <c r="G157" i="6"/>
  <c r="H157" i="6"/>
  <c r="G141" i="6"/>
  <c r="H141" i="6"/>
  <c r="G133" i="6"/>
  <c r="H133" i="6"/>
  <c r="G125" i="6"/>
  <c r="H125" i="6"/>
  <c r="G117" i="6"/>
  <c r="H117" i="6"/>
  <c r="G101" i="6"/>
  <c r="H101" i="6"/>
  <c r="G93" i="6"/>
  <c r="H93" i="6"/>
  <c r="G82" i="6"/>
  <c r="H82" i="6"/>
  <c r="G77" i="6"/>
  <c r="H77" i="6"/>
  <c r="G58" i="6"/>
  <c r="H58" i="6"/>
  <c r="G53" i="6"/>
  <c r="H53" i="6"/>
  <c r="G45" i="6"/>
  <c r="H45" i="6"/>
  <c r="G34" i="6"/>
  <c r="H34" i="6"/>
  <c r="G21" i="6"/>
  <c r="H21" i="6"/>
  <c r="G10" i="6"/>
  <c r="H10" i="6"/>
  <c r="G5" i="6"/>
  <c r="H5" i="6"/>
  <c r="H751" i="6"/>
  <c r="H696" i="6"/>
  <c r="H614" i="6"/>
  <c r="H564" i="6"/>
  <c r="H423" i="6"/>
  <c r="H338" i="6"/>
  <c r="H250" i="6"/>
  <c r="H112" i="6"/>
  <c r="G692" i="6"/>
  <c r="H556" i="6"/>
  <c r="H498" i="6"/>
  <c r="H416" i="6"/>
  <c r="H325" i="6"/>
  <c r="H246" i="6"/>
  <c r="H111" i="6"/>
  <c r="H767" i="6"/>
  <c r="G767" i="6"/>
  <c r="G748" i="6"/>
  <c r="H748" i="6"/>
  <c r="G743" i="6"/>
  <c r="H743" i="6"/>
  <c r="G724" i="6"/>
  <c r="H724" i="6"/>
  <c r="G684" i="6"/>
  <c r="H684" i="6"/>
  <c r="G668" i="6"/>
  <c r="H668" i="6"/>
  <c r="G649" i="6"/>
  <c r="H649" i="6"/>
  <c r="G644" i="6"/>
  <c r="H644" i="6"/>
  <c r="G601" i="6"/>
  <c r="H601" i="6"/>
  <c r="G588" i="6"/>
  <c r="H588" i="6"/>
  <c r="G577" i="6"/>
  <c r="H577" i="6"/>
  <c r="G540" i="6"/>
  <c r="H540" i="6"/>
  <c r="G532" i="6"/>
  <c r="H532" i="6"/>
  <c r="G524" i="6"/>
  <c r="H524" i="6"/>
  <c r="G496" i="6"/>
  <c r="H496" i="6"/>
  <c r="G495" i="6"/>
  <c r="H495" i="6"/>
  <c r="G472" i="6"/>
  <c r="H472" i="6"/>
  <c r="G476" i="6"/>
  <c r="H476" i="6"/>
  <c r="G471" i="6"/>
  <c r="H471" i="6"/>
  <c r="G448" i="6"/>
  <c r="H448" i="6"/>
  <c r="G447" i="6"/>
  <c r="H447" i="6"/>
  <c r="H424" i="6"/>
  <c r="G424" i="6"/>
  <c r="G428" i="6"/>
  <c r="H428" i="6"/>
  <c r="G400" i="6"/>
  <c r="H400" i="6"/>
  <c r="G404" i="6"/>
  <c r="H404" i="6"/>
  <c r="G399" i="6"/>
  <c r="H399" i="6"/>
  <c r="G380" i="6"/>
  <c r="H380" i="6"/>
  <c r="G352" i="6"/>
  <c r="H352" i="6"/>
  <c r="G356" i="6"/>
  <c r="H356" i="6"/>
  <c r="G351" i="6"/>
  <c r="H351" i="6"/>
  <c r="G328" i="6"/>
  <c r="H328" i="6"/>
  <c r="G332" i="6"/>
  <c r="H332" i="6"/>
  <c r="G304" i="6"/>
  <c r="H304" i="6"/>
  <c r="G308" i="6"/>
  <c r="H308" i="6"/>
  <c r="G303" i="6"/>
  <c r="H303" i="6"/>
  <c r="G284" i="6"/>
  <c r="H284" i="6"/>
  <c r="G279" i="6"/>
  <c r="H279" i="6"/>
  <c r="G263" i="6"/>
  <c r="H263" i="6"/>
  <c r="G252" i="6"/>
  <c r="H252" i="6"/>
  <c r="G236" i="6"/>
  <c r="H236" i="6"/>
  <c r="G228" i="6"/>
  <c r="H228" i="6"/>
  <c r="G220" i="6"/>
  <c r="H220" i="6"/>
  <c r="G212" i="6"/>
  <c r="H212" i="6"/>
  <c r="G204" i="6"/>
  <c r="H204" i="6"/>
  <c r="G196" i="6"/>
  <c r="H196" i="6"/>
  <c r="G188" i="6"/>
  <c r="H188" i="6"/>
  <c r="G180" i="6"/>
  <c r="H180" i="6"/>
  <c r="G164" i="6"/>
  <c r="H164" i="6"/>
  <c r="G156" i="6"/>
  <c r="H156" i="6"/>
  <c r="G148" i="6"/>
  <c r="H148" i="6"/>
  <c r="G143" i="6"/>
  <c r="H143" i="6"/>
  <c r="G122" i="6"/>
  <c r="H122" i="6"/>
  <c r="G124" i="6"/>
  <c r="H124" i="6"/>
  <c r="G116" i="6"/>
  <c r="H116" i="6"/>
  <c r="G108" i="6"/>
  <c r="H108" i="6"/>
  <c r="G100" i="6"/>
  <c r="H100" i="6"/>
  <c r="G92" i="6"/>
  <c r="H92" i="6"/>
  <c r="G84" i="6"/>
  <c r="H84" i="6"/>
  <c r="G76" i="6"/>
  <c r="H76" i="6"/>
  <c r="G60" i="6"/>
  <c r="H60" i="6"/>
  <c r="G52" i="6"/>
  <c r="H52" i="6"/>
  <c r="G44" i="6"/>
  <c r="H44" i="6"/>
  <c r="G36" i="6"/>
  <c r="H36" i="6"/>
  <c r="G20" i="6"/>
  <c r="H20" i="6"/>
  <c r="G12" i="6"/>
  <c r="H12" i="6"/>
  <c r="H768" i="6"/>
  <c r="H700" i="6"/>
  <c r="H612" i="6"/>
  <c r="H494" i="6"/>
  <c r="H327" i="6"/>
  <c r="H244" i="6"/>
  <c r="H106" i="6"/>
  <c r="G661" i="6"/>
  <c r="H656" i="6"/>
  <c r="H608" i="6"/>
  <c r="H538" i="6"/>
  <c r="H402" i="6"/>
  <c r="H322" i="6"/>
  <c r="H235" i="6"/>
  <c r="H8" i="6"/>
  <c r="G17" i="6"/>
  <c r="H17" i="6"/>
  <c r="G9" i="6"/>
  <c r="H9" i="6"/>
</calcChain>
</file>

<file path=xl/sharedStrings.xml><?xml version="1.0" encoding="utf-8"?>
<sst xmlns="http://schemas.openxmlformats.org/spreadsheetml/2006/main" count="52" uniqueCount="37">
  <si>
    <t>Prozess_PID</t>
  </si>
  <si>
    <t>Anzahl</t>
  </si>
  <si>
    <t>VDI-Auslastung_Max</t>
  </si>
  <si>
    <t>VDI-Auslastung_Mean</t>
  </si>
  <si>
    <t>Spezial 1</t>
  </si>
  <si>
    <t>Spezial 2</t>
  </si>
  <si>
    <t>Spezial 3</t>
  </si>
  <si>
    <t>Spezial 4</t>
  </si>
  <si>
    <t>Spezial 5</t>
  </si>
  <si>
    <t>Lizenzkosten</t>
  </si>
  <si>
    <t>Setupkosten</t>
  </si>
  <si>
    <t>Speicherbedarf</t>
  </si>
  <si>
    <t>Notiz</t>
  </si>
  <si>
    <t>Bot</t>
  </si>
  <si>
    <t>Preisannahme</t>
  </si>
  <si>
    <t>OS</t>
  </si>
  <si>
    <t>User</t>
  </si>
  <si>
    <t>Annahme: 25€/h durch Einrichter bei Setup-Zeit: 15 Minuten</t>
  </si>
  <si>
    <t>Beispiel-Basisprogramm 1</t>
  </si>
  <si>
    <t>Beispiel-Spezial-Programm 1: Hohe Lizenzkosten, niedriger Speicher, Setup-Zeit: 2 Minuten</t>
  </si>
  <si>
    <t>Beispiel-Spezial-Programm 2: niedrige Lizenzkosten, hohe Speicher, Setup-Zeit: 10 Minuten</t>
  </si>
  <si>
    <t>Beispiel-Spezial-Programm 3: mittlere Lizenzkosten, mittlerer Speicher, Setup-Zeit: 4 Minuten</t>
  </si>
  <si>
    <t>(Leer)</t>
  </si>
  <si>
    <t>Gesamtergebnis</t>
  </si>
  <si>
    <t>Zeilenbeschriftungen</t>
  </si>
  <si>
    <t>Maximale Auslastung</t>
  </si>
  <si>
    <t>Tagesdurchschnittliche Auslastung</t>
  </si>
  <si>
    <t>Prozess_ID</t>
  </si>
  <si>
    <t>Laufzeit_max</t>
  </si>
  <si>
    <t>Laufzeit_mean</t>
  </si>
  <si>
    <t>Month</t>
  </si>
  <si>
    <t>Durchschnittliche tägliche Auslastung</t>
  </si>
  <si>
    <t>VDI-Auslastung bei 1 Prozess je Pool</t>
  </si>
  <si>
    <t>VDI-Auslastung bei einem Pool mit allen Prozessen</t>
  </si>
  <si>
    <t>Alle Prozesse in einer Prozessgruppe</t>
  </si>
  <si>
    <t>Je ein Prozess je Prozessgruppe</t>
  </si>
  <si>
    <t>Maximale tägliche Auslastung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</si>
</sst>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pivotButton="1"/>
    <xf numFmtId="1" fontId="0" fillId="0" borderId="0" xfId="0" applyNumberFormat="1"/>
    <xf numFmtId="0" fontId="3" fillId="2" borderId="3" xfId="0" applyFont="1" applyFill="1" applyBorder="1"/>
    <xf numFmtId="1" fontId="3" fillId="2" borderId="3" xfId="0" applyNumberFormat="1" applyFont="1" applyFill="1" applyBorder="1"/>
  </cellXfs>
  <cellStyles count="1">
    <cellStyle name="Standard" xfId="0" builtinId="0"/>
  </cellStyles>
  <dxfs count="10"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v9.xlsx]Prozesslaufzeit-Überblick 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der maximalen und durchschnittlichen</a:t>
            </a:r>
            <a:r>
              <a:rPr lang="de-DE" baseline="0"/>
              <a:t> Bot-Auslastung nach Prozess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'Prozesslaufzeit-Überblick M'!$B$3</c:f>
              <c:strCache>
                <c:ptCount val="1"/>
                <c:pt idx="0">
                  <c:v>Maximale Auslastung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M'!$A$4:$A$162</c:f>
              <c:strCache>
                <c:ptCount val="158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  <c:pt idx="30">
                  <c:v>1031</c:v>
                </c:pt>
                <c:pt idx="31">
                  <c:v>1032</c:v>
                </c:pt>
                <c:pt idx="32">
                  <c:v>1033</c:v>
                </c:pt>
                <c:pt idx="33">
                  <c:v>1034</c:v>
                </c:pt>
                <c:pt idx="34">
                  <c:v>1035</c:v>
                </c:pt>
                <c:pt idx="35">
                  <c:v>1036</c:v>
                </c:pt>
                <c:pt idx="36">
                  <c:v>1037</c:v>
                </c:pt>
                <c:pt idx="37">
                  <c:v>1038</c:v>
                </c:pt>
                <c:pt idx="38">
                  <c:v>1039</c:v>
                </c:pt>
                <c:pt idx="39">
                  <c:v>1040</c:v>
                </c:pt>
                <c:pt idx="40">
                  <c:v>1041</c:v>
                </c:pt>
                <c:pt idx="41">
                  <c:v>1042</c:v>
                </c:pt>
                <c:pt idx="42">
                  <c:v>1043</c:v>
                </c:pt>
                <c:pt idx="43">
                  <c:v>1044</c:v>
                </c:pt>
                <c:pt idx="44">
                  <c:v>1045</c:v>
                </c:pt>
                <c:pt idx="45">
                  <c:v>1046</c:v>
                </c:pt>
                <c:pt idx="46">
                  <c:v>1047</c:v>
                </c:pt>
                <c:pt idx="47">
                  <c:v>1048</c:v>
                </c:pt>
                <c:pt idx="48">
                  <c:v>1049</c:v>
                </c:pt>
                <c:pt idx="49">
                  <c:v>1050</c:v>
                </c:pt>
                <c:pt idx="50">
                  <c:v>1051</c:v>
                </c:pt>
                <c:pt idx="51">
                  <c:v>1052</c:v>
                </c:pt>
                <c:pt idx="52">
                  <c:v>1053</c:v>
                </c:pt>
                <c:pt idx="53">
                  <c:v>1054</c:v>
                </c:pt>
                <c:pt idx="54">
                  <c:v>1055</c:v>
                </c:pt>
                <c:pt idx="55">
                  <c:v>1056</c:v>
                </c:pt>
                <c:pt idx="56">
                  <c:v>1057</c:v>
                </c:pt>
                <c:pt idx="57">
                  <c:v>1058</c:v>
                </c:pt>
                <c:pt idx="58">
                  <c:v>1059</c:v>
                </c:pt>
                <c:pt idx="59">
                  <c:v>1060</c:v>
                </c:pt>
                <c:pt idx="60">
                  <c:v>1061</c:v>
                </c:pt>
                <c:pt idx="61">
                  <c:v>1062</c:v>
                </c:pt>
                <c:pt idx="62">
                  <c:v>1063</c:v>
                </c:pt>
                <c:pt idx="63">
                  <c:v>1064</c:v>
                </c:pt>
                <c:pt idx="64">
                  <c:v>1065</c:v>
                </c:pt>
                <c:pt idx="65">
                  <c:v>1066</c:v>
                </c:pt>
                <c:pt idx="66">
                  <c:v>1067</c:v>
                </c:pt>
                <c:pt idx="67">
                  <c:v>1068</c:v>
                </c:pt>
                <c:pt idx="68">
                  <c:v>1069</c:v>
                </c:pt>
                <c:pt idx="69">
                  <c:v>1070</c:v>
                </c:pt>
                <c:pt idx="70">
                  <c:v>1071</c:v>
                </c:pt>
                <c:pt idx="71">
                  <c:v>1072</c:v>
                </c:pt>
                <c:pt idx="72">
                  <c:v>1073</c:v>
                </c:pt>
                <c:pt idx="73">
                  <c:v>1074</c:v>
                </c:pt>
                <c:pt idx="74">
                  <c:v>1075</c:v>
                </c:pt>
                <c:pt idx="75">
                  <c:v>1076</c:v>
                </c:pt>
                <c:pt idx="76">
                  <c:v>1077</c:v>
                </c:pt>
                <c:pt idx="77">
                  <c:v>1078</c:v>
                </c:pt>
                <c:pt idx="78">
                  <c:v>1079</c:v>
                </c:pt>
                <c:pt idx="79">
                  <c:v>1080</c:v>
                </c:pt>
                <c:pt idx="80">
                  <c:v>1081</c:v>
                </c:pt>
                <c:pt idx="81">
                  <c:v>1082</c:v>
                </c:pt>
                <c:pt idx="82">
                  <c:v>1083</c:v>
                </c:pt>
                <c:pt idx="83">
                  <c:v>1084</c:v>
                </c:pt>
                <c:pt idx="84">
                  <c:v>1085</c:v>
                </c:pt>
                <c:pt idx="85">
                  <c:v>1086</c:v>
                </c:pt>
                <c:pt idx="86">
                  <c:v>1087</c:v>
                </c:pt>
                <c:pt idx="87">
                  <c:v>1088</c:v>
                </c:pt>
                <c:pt idx="88">
                  <c:v>1089</c:v>
                </c:pt>
                <c:pt idx="89">
                  <c:v>1090</c:v>
                </c:pt>
                <c:pt idx="90">
                  <c:v>1091</c:v>
                </c:pt>
                <c:pt idx="91">
                  <c:v>1092</c:v>
                </c:pt>
                <c:pt idx="92">
                  <c:v>1093</c:v>
                </c:pt>
                <c:pt idx="93">
                  <c:v>1094</c:v>
                </c:pt>
                <c:pt idx="94">
                  <c:v>1095</c:v>
                </c:pt>
                <c:pt idx="95">
                  <c:v>1096</c:v>
                </c:pt>
                <c:pt idx="96">
                  <c:v>1098</c:v>
                </c:pt>
                <c:pt idx="97">
                  <c:v>1099</c:v>
                </c:pt>
                <c:pt idx="98">
                  <c:v>1100</c:v>
                </c:pt>
                <c:pt idx="99">
                  <c:v>1101</c:v>
                </c:pt>
                <c:pt idx="100">
                  <c:v>1102</c:v>
                </c:pt>
                <c:pt idx="101">
                  <c:v>1103</c:v>
                </c:pt>
                <c:pt idx="102">
                  <c:v>1104</c:v>
                </c:pt>
                <c:pt idx="103">
                  <c:v>1105</c:v>
                </c:pt>
                <c:pt idx="104">
                  <c:v>1106</c:v>
                </c:pt>
                <c:pt idx="105">
                  <c:v>1107</c:v>
                </c:pt>
                <c:pt idx="106">
                  <c:v>1108</c:v>
                </c:pt>
                <c:pt idx="107">
                  <c:v>1109</c:v>
                </c:pt>
                <c:pt idx="108">
                  <c:v>1110</c:v>
                </c:pt>
                <c:pt idx="109">
                  <c:v>1111</c:v>
                </c:pt>
                <c:pt idx="110">
                  <c:v>1112</c:v>
                </c:pt>
                <c:pt idx="111">
                  <c:v>1113</c:v>
                </c:pt>
                <c:pt idx="112">
                  <c:v>1114</c:v>
                </c:pt>
                <c:pt idx="113">
                  <c:v>1115</c:v>
                </c:pt>
                <c:pt idx="114">
                  <c:v>1116</c:v>
                </c:pt>
                <c:pt idx="115">
                  <c:v>1117</c:v>
                </c:pt>
                <c:pt idx="116">
                  <c:v>1118</c:v>
                </c:pt>
                <c:pt idx="117">
                  <c:v>1119</c:v>
                </c:pt>
                <c:pt idx="118">
                  <c:v>1120</c:v>
                </c:pt>
                <c:pt idx="119">
                  <c:v>1121</c:v>
                </c:pt>
                <c:pt idx="120">
                  <c:v>1122</c:v>
                </c:pt>
                <c:pt idx="121">
                  <c:v>1123</c:v>
                </c:pt>
                <c:pt idx="122">
                  <c:v>1124</c:v>
                </c:pt>
                <c:pt idx="123">
                  <c:v>1125</c:v>
                </c:pt>
                <c:pt idx="124">
                  <c:v>1126</c:v>
                </c:pt>
                <c:pt idx="125">
                  <c:v>1127</c:v>
                </c:pt>
                <c:pt idx="126">
                  <c:v>1128</c:v>
                </c:pt>
                <c:pt idx="127">
                  <c:v>1129</c:v>
                </c:pt>
                <c:pt idx="128">
                  <c:v>1130</c:v>
                </c:pt>
                <c:pt idx="129">
                  <c:v>1131</c:v>
                </c:pt>
                <c:pt idx="130">
                  <c:v>1132</c:v>
                </c:pt>
                <c:pt idx="131">
                  <c:v>1133</c:v>
                </c:pt>
                <c:pt idx="132">
                  <c:v>1135</c:v>
                </c:pt>
                <c:pt idx="133">
                  <c:v>1138</c:v>
                </c:pt>
                <c:pt idx="134">
                  <c:v>1139</c:v>
                </c:pt>
                <c:pt idx="135">
                  <c:v>1140</c:v>
                </c:pt>
                <c:pt idx="136">
                  <c:v>1141</c:v>
                </c:pt>
                <c:pt idx="137">
                  <c:v>1142</c:v>
                </c:pt>
                <c:pt idx="138">
                  <c:v>1143</c:v>
                </c:pt>
                <c:pt idx="139">
                  <c:v>1146</c:v>
                </c:pt>
                <c:pt idx="140">
                  <c:v>1150</c:v>
                </c:pt>
                <c:pt idx="141">
                  <c:v>1151</c:v>
                </c:pt>
                <c:pt idx="142">
                  <c:v>1152</c:v>
                </c:pt>
                <c:pt idx="143">
                  <c:v>1153</c:v>
                </c:pt>
                <c:pt idx="144">
                  <c:v>1154</c:v>
                </c:pt>
                <c:pt idx="145">
                  <c:v>1155</c:v>
                </c:pt>
                <c:pt idx="146">
                  <c:v>1156</c:v>
                </c:pt>
                <c:pt idx="147">
                  <c:v>1157</c:v>
                </c:pt>
                <c:pt idx="148">
                  <c:v>1158</c:v>
                </c:pt>
                <c:pt idx="149">
                  <c:v>1159</c:v>
                </c:pt>
                <c:pt idx="150">
                  <c:v>1160</c:v>
                </c:pt>
                <c:pt idx="151">
                  <c:v>1161</c:v>
                </c:pt>
                <c:pt idx="152">
                  <c:v>1162</c:v>
                </c:pt>
                <c:pt idx="153">
                  <c:v>1163</c:v>
                </c:pt>
                <c:pt idx="154">
                  <c:v>1164</c:v>
                </c:pt>
                <c:pt idx="155">
                  <c:v>1165</c:v>
                </c:pt>
                <c:pt idx="156">
                  <c:v>1166</c:v>
                </c:pt>
                <c:pt idx="157">
                  <c:v>(Leer)</c:v>
                </c:pt>
              </c:strCache>
            </c:strRef>
          </c:cat>
          <c:val>
            <c:numRef>
              <c:f>'Prozesslaufzeit-Überblick M'!$B$4:$B$162</c:f>
              <c:numCache>
                <c:formatCode>General</c:formatCode>
                <c:ptCount val="158"/>
                <c:pt idx="0">
                  <c:v>8.5400416666666654</c:v>
                </c:pt>
                <c:pt idx="1">
                  <c:v>8.3366805555555565</c:v>
                </c:pt>
                <c:pt idx="2">
                  <c:v>7.9344861111111111</c:v>
                </c:pt>
                <c:pt idx="3">
                  <c:v>7.8477083333333342</c:v>
                </c:pt>
                <c:pt idx="4">
                  <c:v>5.9065972222222225</c:v>
                </c:pt>
                <c:pt idx="5">
                  <c:v>5.2690138888888889</c:v>
                </c:pt>
                <c:pt idx="6">
                  <c:v>4.5950694444444444</c:v>
                </c:pt>
                <c:pt idx="7">
                  <c:v>4.2809583333333325</c:v>
                </c:pt>
                <c:pt idx="8">
                  <c:v>3.8992361111111107</c:v>
                </c:pt>
                <c:pt idx="9">
                  <c:v>3.8410972222222219</c:v>
                </c:pt>
                <c:pt idx="10">
                  <c:v>3.737430555555556</c:v>
                </c:pt>
                <c:pt idx="11">
                  <c:v>3.6971944444444444</c:v>
                </c:pt>
                <c:pt idx="12">
                  <c:v>3.6065138888888888</c:v>
                </c:pt>
                <c:pt idx="13">
                  <c:v>3.5962361111111116</c:v>
                </c:pt>
                <c:pt idx="14">
                  <c:v>3.3860416666666664</c:v>
                </c:pt>
                <c:pt idx="15">
                  <c:v>3.1520694444444439</c:v>
                </c:pt>
                <c:pt idx="16">
                  <c:v>2.9155277777777777</c:v>
                </c:pt>
                <c:pt idx="17">
                  <c:v>2.8094444444444444</c:v>
                </c:pt>
                <c:pt idx="18">
                  <c:v>2.7661944444444444</c:v>
                </c:pt>
                <c:pt idx="19">
                  <c:v>2.7116111111111114</c:v>
                </c:pt>
                <c:pt idx="20">
                  <c:v>2.6472222222222221</c:v>
                </c:pt>
                <c:pt idx="21">
                  <c:v>2.2884027777777778</c:v>
                </c:pt>
                <c:pt idx="22">
                  <c:v>2.1854722222222223</c:v>
                </c:pt>
                <c:pt idx="23">
                  <c:v>2.1459166666666665</c:v>
                </c:pt>
                <c:pt idx="24">
                  <c:v>2.0944583333333333</c:v>
                </c:pt>
                <c:pt idx="25">
                  <c:v>2.0688472222222223</c:v>
                </c:pt>
                <c:pt idx="26">
                  <c:v>2.0410833333333338</c:v>
                </c:pt>
                <c:pt idx="27">
                  <c:v>2.0126944444444446</c:v>
                </c:pt>
                <c:pt idx="28">
                  <c:v>2.0069444444444446</c:v>
                </c:pt>
                <c:pt idx="29">
                  <c:v>1.9849722222222224</c:v>
                </c:pt>
                <c:pt idx="30">
                  <c:v>1.9624999999999999</c:v>
                </c:pt>
                <c:pt idx="31">
                  <c:v>1.7962083333333332</c:v>
                </c:pt>
                <c:pt idx="32">
                  <c:v>1.7896666666666665</c:v>
                </c:pt>
                <c:pt idx="33">
                  <c:v>1.7681805555555556</c:v>
                </c:pt>
                <c:pt idx="34">
                  <c:v>1.6526666666666667</c:v>
                </c:pt>
                <c:pt idx="35">
                  <c:v>1.5249166666666667</c:v>
                </c:pt>
                <c:pt idx="36">
                  <c:v>1.5176527777777777</c:v>
                </c:pt>
                <c:pt idx="37">
                  <c:v>1.4863055555555555</c:v>
                </c:pt>
                <c:pt idx="38">
                  <c:v>1.4699305555555555</c:v>
                </c:pt>
                <c:pt idx="39">
                  <c:v>1.3954722222222222</c:v>
                </c:pt>
                <c:pt idx="40">
                  <c:v>1.3847222222222224</c:v>
                </c:pt>
                <c:pt idx="41">
                  <c:v>1.3331388888888889</c:v>
                </c:pt>
                <c:pt idx="42">
                  <c:v>1.3052222222222221</c:v>
                </c:pt>
                <c:pt idx="43">
                  <c:v>1.2857361111111112</c:v>
                </c:pt>
                <c:pt idx="44">
                  <c:v>1.2745972222222224</c:v>
                </c:pt>
                <c:pt idx="45">
                  <c:v>1.1703888888888889</c:v>
                </c:pt>
                <c:pt idx="46">
                  <c:v>1.1557500000000001</c:v>
                </c:pt>
                <c:pt idx="47">
                  <c:v>1.1412638888888889</c:v>
                </c:pt>
                <c:pt idx="48">
                  <c:v>1.0199305555555556</c:v>
                </c:pt>
                <c:pt idx="49">
                  <c:v>0.99644444444444447</c:v>
                </c:pt>
                <c:pt idx="50">
                  <c:v>0.93269444444444449</c:v>
                </c:pt>
                <c:pt idx="51">
                  <c:v>0.91736111111111107</c:v>
                </c:pt>
                <c:pt idx="52">
                  <c:v>0.89411111111111108</c:v>
                </c:pt>
                <c:pt idx="53">
                  <c:v>0.8931944444444444</c:v>
                </c:pt>
                <c:pt idx="54">
                  <c:v>0.83443055555555556</c:v>
                </c:pt>
                <c:pt idx="55">
                  <c:v>0.7891111111111111</c:v>
                </c:pt>
                <c:pt idx="56">
                  <c:v>0.73659722222222224</c:v>
                </c:pt>
                <c:pt idx="57">
                  <c:v>0.72481944444444446</c:v>
                </c:pt>
                <c:pt idx="58">
                  <c:v>0.70870833333333338</c:v>
                </c:pt>
                <c:pt idx="59">
                  <c:v>0.70304166666666668</c:v>
                </c:pt>
                <c:pt idx="60">
                  <c:v>0.7013194444444445</c:v>
                </c:pt>
                <c:pt idx="61">
                  <c:v>0.68445833333333339</c:v>
                </c:pt>
                <c:pt idx="62">
                  <c:v>0.68154166666666671</c:v>
                </c:pt>
                <c:pt idx="63">
                  <c:v>0.6716388888888889</c:v>
                </c:pt>
                <c:pt idx="64">
                  <c:v>0.62956944444444451</c:v>
                </c:pt>
                <c:pt idx="65">
                  <c:v>0.62566666666666659</c:v>
                </c:pt>
                <c:pt idx="66">
                  <c:v>0.62488888888888883</c:v>
                </c:pt>
                <c:pt idx="67">
                  <c:v>0.62440277777777775</c:v>
                </c:pt>
                <c:pt idx="68">
                  <c:v>0.6180000000000001</c:v>
                </c:pt>
                <c:pt idx="69">
                  <c:v>0.60797222222222225</c:v>
                </c:pt>
                <c:pt idx="70">
                  <c:v>0.60198611111111111</c:v>
                </c:pt>
                <c:pt idx="71">
                  <c:v>0.60091666666666677</c:v>
                </c:pt>
                <c:pt idx="72">
                  <c:v>0.60068055555555566</c:v>
                </c:pt>
                <c:pt idx="73">
                  <c:v>0.60002777777777783</c:v>
                </c:pt>
                <c:pt idx="74">
                  <c:v>0.59887499999999994</c:v>
                </c:pt>
                <c:pt idx="75">
                  <c:v>0.59856944444444449</c:v>
                </c:pt>
                <c:pt idx="76">
                  <c:v>0.59762499999999996</c:v>
                </c:pt>
                <c:pt idx="77">
                  <c:v>0.59673611111111113</c:v>
                </c:pt>
                <c:pt idx="78">
                  <c:v>0.59641666666666671</c:v>
                </c:pt>
                <c:pt idx="79">
                  <c:v>0.57437500000000008</c:v>
                </c:pt>
                <c:pt idx="80">
                  <c:v>0.55781944444444442</c:v>
                </c:pt>
                <c:pt idx="81">
                  <c:v>0.55554166666666671</c:v>
                </c:pt>
                <c:pt idx="82">
                  <c:v>0.54929166666666673</c:v>
                </c:pt>
                <c:pt idx="83">
                  <c:v>0.54738888888888892</c:v>
                </c:pt>
                <c:pt idx="84">
                  <c:v>0.54518055555555556</c:v>
                </c:pt>
                <c:pt idx="85">
                  <c:v>0.5411111111111111</c:v>
                </c:pt>
                <c:pt idx="86">
                  <c:v>0.52712499999999995</c:v>
                </c:pt>
                <c:pt idx="87">
                  <c:v>0.50924999999999998</c:v>
                </c:pt>
                <c:pt idx="88">
                  <c:v>0.50223611111111111</c:v>
                </c:pt>
                <c:pt idx="89">
                  <c:v>0.49818055555555557</c:v>
                </c:pt>
                <c:pt idx="90">
                  <c:v>0.4916666666666667</c:v>
                </c:pt>
                <c:pt idx="91">
                  <c:v>0.48108333333333331</c:v>
                </c:pt>
                <c:pt idx="92">
                  <c:v>0.46409722222222216</c:v>
                </c:pt>
                <c:pt idx="93">
                  <c:v>0.44781944444444444</c:v>
                </c:pt>
                <c:pt idx="94">
                  <c:v>0.41718055555555555</c:v>
                </c:pt>
                <c:pt idx="95">
                  <c:v>0.39861111111111114</c:v>
                </c:pt>
                <c:pt idx="96">
                  <c:v>0.3959583333333333</c:v>
                </c:pt>
                <c:pt idx="97">
                  <c:v>0.38487500000000002</c:v>
                </c:pt>
                <c:pt idx="98">
                  <c:v>0.38330555555555551</c:v>
                </c:pt>
                <c:pt idx="99">
                  <c:v>0.37969444444444445</c:v>
                </c:pt>
                <c:pt idx="100">
                  <c:v>0.37355555555555553</c:v>
                </c:pt>
                <c:pt idx="101">
                  <c:v>0.33340277777777777</c:v>
                </c:pt>
                <c:pt idx="102">
                  <c:v>0.30962499999999998</c:v>
                </c:pt>
                <c:pt idx="103">
                  <c:v>0.30786111111111109</c:v>
                </c:pt>
                <c:pt idx="104">
                  <c:v>0.28166666666666668</c:v>
                </c:pt>
                <c:pt idx="105">
                  <c:v>0.24027777777777776</c:v>
                </c:pt>
                <c:pt idx="106">
                  <c:v>0.238875</c:v>
                </c:pt>
                <c:pt idx="107">
                  <c:v>0.2245138888888889</c:v>
                </c:pt>
                <c:pt idx="108">
                  <c:v>0.22163888888888886</c:v>
                </c:pt>
                <c:pt idx="109">
                  <c:v>0.16740277777777776</c:v>
                </c:pt>
                <c:pt idx="110">
                  <c:v>0.15237499999999998</c:v>
                </c:pt>
                <c:pt idx="111">
                  <c:v>0.13606944444444444</c:v>
                </c:pt>
                <c:pt idx="112">
                  <c:v>0.11044444444444443</c:v>
                </c:pt>
                <c:pt idx="113">
                  <c:v>0.10795833333333334</c:v>
                </c:pt>
                <c:pt idx="114">
                  <c:v>0.10006944444444443</c:v>
                </c:pt>
                <c:pt idx="115">
                  <c:v>9.8500000000000004E-2</c:v>
                </c:pt>
                <c:pt idx="116">
                  <c:v>8.6194444444444449E-2</c:v>
                </c:pt>
                <c:pt idx="117">
                  <c:v>7.6736111111111102E-2</c:v>
                </c:pt>
                <c:pt idx="118">
                  <c:v>7.113888888888889E-2</c:v>
                </c:pt>
                <c:pt idx="119">
                  <c:v>6.0958333333333337E-2</c:v>
                </c:pt>
                <c:pt idx="120">
                  <c:v>5.940277777777777E-2</c:v>
                </c:pt>
                <c:pt idx="121">
                  <c:v>4.7791666666666663E-2</c:v>
                </c:pt>
                <c:pt idx="122">
                  <c:v>4.7291666666666662E-2</c:v>
                </c:pt>
                <c:pt idx="123">
                  <c:v>4.2680555555555555E-2</c:v>
                </c:pt>
                <c:pt idx="124">
                  <c:v>4.2291666666666665E-2</c:v>
                </c:pt>
                <c:pt idx="125">
                  <c:v>4.1597222222222216E-2</c:v>
                </c:pt>
                <c:pt idx="126">
                  <c:v>3.6083333333333328E-2</c:v>
                </c:pt>
                <c:pt idx="127">
                  <c:v>3.5472222222222224E-2</c:v>
                </c:pt>
                <c:pt idx="128">
                  <c:v>3.5166666666666666E-2</c:v>
                </c:pt>
                <c:pt idx="129">
                  <c:v>3.3458333333333333E-2</c:v>
                </c:pt>
                <c:pt idx="130">
                  <c:v>2.6319444444444444E-2</c:v>
                </c:pt>
                <c:pt idx="131">
                  <c:v>2.4236111111111111E-2</c:v>
                </c:pt>
                <c:pt idx="132">
                  <c:v>2.3291666666666665E-2</c:v>
                </c:pt>
                <c:pt idx="133">
                  <c:v>1.9805555555555555E-2</c:v>
                </c:pt>
                <c:pt idx="134">
                  <c:v>1.7874999999999999E-2</c:v>
                </c:pt>
                <c:pt idx="135">
                  <c:v>1.2180555555555556E-2</c:v>
                </c:pt>
                <c:pt idx="136">
                  <c:v>1.1097222222222222E-2</c:v>
                </c:pt>
                <c:pt idx="137">
                  <c:v>9.7638888888888879E-3</c:v>
                </c:pt>
                <c:pt idx="138">
                  <c:v>9.541666666666667E-3</c:v>
                </c:pt>
                <c:pt idx="139">
                  <c:v>9.2916666666666668E-3</c:v>
                </c:pt>
                <c:pt idx="140">
                  <c:v>8.4583333333333333E-3</c:v>
                </c:pt>
                <c:pt idx="141">
                  <c:v>8.1250000000000003E-3</c:v>
                </c:pt>
                <c:pt idx="142">
                  <c:v>7.1388888888888891E-3</c:v>
                </c:pt>
                <c:pt idx="143">
                  <c:v>5.9722222222222225E-3</c:v>
                </c:pt>
                <c:pt idx="144">
                  <c:v>5.7638888888888896E-3</c:v>
                </c:pt>
                <c:pt idx="145">
                  <c:v>5.2638888888888891E-3</c:v>
                </c:pt>
                <c:pt idx="146">
                  <c:v>3.3333333333333331E-3</c:v>
                </c:pt>
                <c:pt idx="147">
                  <c:v>2.5555555555555557E-3</c:v>
                </c:pt>
                <c:pt idx="148">
                  <c:v>1.7916666666666667E-3</c:v>
                </c:pt>
                <c:pt idx="149">
                  <c:v>1.7083333333333332E-3</c:v>
                </c:pt>
                <c:pt idx="150">
                  <c:v>1.6666666666666666E-3</c:v>
                </c:pt>
                <c:pt idx="151">
                  <c:v>1.4722222222222222E-3</c:v>
                </c:pt>
                <c:pt idx="152">
                  <c:v>1.1805555555555558E-3</c:v>
                </c:pt>
                <c:pt idx="153">
                  <c:v>1.0416666666666667E-3</c:v>
                </c:pt>
                <c:pt idx="154">
                  <c:v>8.8888888888888893E-4</c:v>
                </c:pt>
                <c:pt idx="155">
                  <c:v>5.5555555555555545E-4</c:v>
                </c:pt>
                <c:pt idx="156">
                  <c:v>1.8055555555555557E-4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2-4718-84DA-48149B1956E2}"/>
            </c:ext>
          </c:extLst>
        </c:ser>
        <c:ser>
          <c:idx val="1"/>
          <c:order val="1"/>
          <c:tx>
            <c:strRef>
              <c:f>'Prozesslaufzeit-Überblick M'!$C$3</c:f>
              <c:strCache>
                <c:ptCount val="1"/>
                <c:pt idx="0">
                  <c:v>Tagesdurchschnittliche Auslastung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M'!$A$4:$A$162</c:f>
              <c:strCache>
                <c:ptCount val="158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  <c:pt idx="30">
                  <c:v>1031</c:v>
                </c:pt>
                <c:pt idx="31">
                  <c:v>1032</c:v>
                </c:pt>
                <c:pt idx="32">
                  <c:v>1033</c:v>
                </c:pt>
                <c:pt idx="33">
                  <c:v>1034</c:v>
                </c:pt>
                <c:pt idx="34">
                  <c:v>1035</c:v>
                </c:pt>
                <c:pt idx="35">
                  <c:v>1036</c:v>
                </c:pt>
                <c:pt idx="36">
                  <c:v>1037</c:v>
                </c:pt>
                <c:pt idx="37">
                  <c:v>1038</c:v>
                </c:pt>
                <c:pt idx="38">
                  <c:v>1039</c:v>
                </c:pt>
                <c:pt idx="39">
                  <c:v>1040</c:v>
                </c:pt>
                <c:pt idx="40">
                  <c:v>1041</c:v>
                </c:pt>
                <c:pt idx="41">
                  <c:v>1042</c:v>
                </c:pt>
                <c:pt idx="42">
                  <c:v>1043</c:v>
                </c:pt>
                <c:pt idx="43">
                  <c:v>1044</c:v>
                </c:pt>
                <c:pt idx="44">
                  <c:v>1045</c:v>
                </c:pt>
                <c:pt idx="45">
                  <c:v>1046</c:v>
                </c:pt>
                <c:pt idx="46">
                  <c:v>1047</c:v>
                </c:pt>
                <c:pt idx="47">
                  <c:v>1048</c:v>
                </c:pt>
                <c:pt idx="48">
                  <c:v>1049</c:v>
                </c:pt>
                <c:pt idx="49">
                  <c:v>1050</c:v>
                </c:pt>
                <c:pt idx="50">
                  <c:v>1051</c:v>
                </c:pt>
                <c:pt idx="51">
                  <c:v>1052</c:v>
                </c:pt>
                <c:pt idx="52">
                  <c:v>1053</c:v>
                </c:pt>
                <c:pt idx="53">
                  <c:v>1054</c:v>
                </c:pt>
                <c:pt idx="54">
                  <c:v>1055</c:v>
                </c:pt>
                <c:pt idx="55">
                  <c:v>1056</c:v>
                </c:pt>
                <c:pt idx="56">
                  <c:v>1057</c:v>
                </c:pt>
                <c:pt idx="57">
                  <c:v>1058</c:v>
                </c:pt>
                <c:pt idx="58">
                  <c:v>1059</c:v>
                </c:pt>
                <c:pt idx="59">
                  <c:v>1060</c:v>
                </c:pt>
                <c:pt idx="60">
                  <c:v>1061</c:v>
                </c:pt>
                <c:pt idx="61">
                  <c:v>1062</c:v>
                </c:pt>
                <c:pt idx="62">
                  <c:v>1063</c:v>
                </c:pt>
                <c:pt idx="63">
                  <c:v>1064</c:v>
                </c:pt>
                <c:pt idx="64">
                  <c:v>1065</c:v>
                </c:pt>
                <c:pt idx="65">
                  <c:v>1066</c:v>
                </c:pt>
                <c:pt idx="66">
                  <c:v>1067</c:v>
                </c:pt>
                <c:pt idx="67">
                  <c:v>1068</c:v>
                </c:pt>
                <c:pt idx="68">
                  <c:v>1069</c:v>
                </c:pt>
                <c:pt idx="69">
                  <c:v>1070</c:v>
                </c:pt>
                <c:pt idx="70">
                  <c:v>1071</c:v>
                </c:pt>
                <c:pt idx="71">
                  <c:v>1072</c:v>
                </c:pt>
                <c:pt idx="72">
                  <c:v>1073</c:v>
                </c:pt>
                <c:pt idx="73">
                  <c:v>1074</c:v>
                </c:pt>
                <c:pt idx="74">
                  <c:v>1075</c:v>
                </c:pt>
                <c:pt idx="75">
                  <c:v>1076</c:v>
                </c:pt>
                <c:pt idx="76">
                  <c:v>1077</c:v>
                </c:pt>
                <c:pt idx="77">
                  <c:v>1078</c:v>
                </c:pt>
                <c:pt idx="78">
                  <c:v>1079</c:v>
                </c:pt>
                <c:pt idx="79">
                  <c:v>1080</c:v>
                </c:pt>
                <c:pt idx="80">
                  <c:v>1081</c:v>
                </c:pt>
                <c:pt idx="81">
                  <c:v>1082</c:v>
                </c:pt>
                <c:pt idx="82">
                  <c:v>1083</c:v>
                </c:pt>
                <c:pt idx="83">
                  <c:v>1084</c:v>
                </c:pt>
                <c:pt idx="84">
                  <c:v>1085</c:v>
                </c:pt>
                <c:pt idx="85">
                  <c:v>1086</c:v>
                </c:pt>
                <c:pt idx="86">
                  <c:v>1087</c:v>
                </c:pt>
                <c:pt idx="87">
                  <c:v>1088</c:v>
                </c:pt>
                <c:pt idx="88">
                  <c:v>1089</c:v>
                </c:pt>
                <c:pt idx="89">
                  <c:v>1090</c:v>
                </c:pt>
                <c:pt idx="90">
                  <c:v>1091</c:v>
                </c:pt>
                <c:pt idx="91">
                  <c:v>1092</c:v>
                </c:pt>
                <c:pt idx="92">
                  <c:v>1093</c:v>
                </c:pt>
                <c:pt idx="93">
                  <c:v>1094</c:v>
                </c:pt>
                <c:pt idx="94">
                  <c:v>1095</c:v>
                </c:pt>
                <c:pt idx="95">
                  <c:v>1096</c:v>
                </c:pt>
                <c:pt idx="96">
                  <c:v>1098</c:v>
                </c:pt>
                <c:pt idx="97">
                  <c:v>1099</c:v>
                </c:pt>
                <c:pt idx="98">
                  <c:v>1100</c:v>
                </c:pt>
                <c:pt idx="99">
                  <c:v>1101</c:v>
                </c:pt>
                <c:pt idx="100">
                  <c:v>1102</c:v>
                </c:pt>
                <c:pt idx="101">
                  <c:v>1103</c:v>
                </c:pt>
                <c:pt idx="102">
                  <c:v>1104</c:v>
                </c:pt>
                <c:pt idx="103">
                  <c:v>1105</c:v>
                </c:pt>
                <c:pt idx="104">
                  <c:v>1106</c:v>
                </c:pt>
                <c:pt idx="105">
                  <c:v>1107</c:v>
                </c:pt>
                <c:pt idx="106">
                  <c:v>1108</c:v>
                </c:pt>
                <c:pt idx="107">
                  <c:v>1109</c:v>
                </c:pt>
                <c:pt idx="108">
                  <c:v>1110</c:v>
                </c:pt>
                <c:pt idx="109">
                  <c:v>1111</c:v>
                </c:pt>
                <c:pt idx="110">
                  <c:v>1112</c:v>
                </c:pt>
                <c:pt idx="111">
                  <c:v>1113</c:v>
                </c:pt>
                <c:pt idx="112">
                  <c:v>1114</c:v>
                </c:pt>
                <c:pt idx="113">
                  <c:v>1115</c:v>
                </c:pt>
                <c:pt idx="114">
                  <c:v>1116</c:v>
                </c:pt>
                <c:pt idx="115">
                  <c:v>1117</c:v>
                </c:pt>
                <c:pt idx="116">
                  <c:v>1118</c:v>
                </c:pt>
                <c:pt idx="117">
                  <c:v>1119</c:v>
                </c:pt>
                <c:pt idx="118">
                  <c:v>1120</c:v>
                </c:pt>
                <c:pt idx="119">
                  <c:v>1121</c:v>
                </c:pt>
                <c:pt idx="120">
                  <c:v>1122</c:v>
                </c:pt>
                <c:pt idx="121">
                  <c:v>1123</c:v>
                </c:pt>
                <c:pt idx="122">
                  <c:v>1124</c:v>
                </c:pt>
                <c:pt idx="123">
                  <c:v>1125</c:v>
                </c:pt>
                <c:pt idx="124">
                  <c:v>1126</c:v>
                </c:pt>
                <c:pt idx="125">
                  <c:v>1127</c:v>
                </c:pt>
                <c:pt idx="126">
                  <c:v>1128</c:v>
                </c:pt>
                <c:pt idx="127">
                  <c:v>1129</c:v>
                </c:pt>
                <c:pt idx="128">
                  <c:v>1130</c:v>
                </c:pt>
                <c:pt idx="129">
                  <c:v>1131</c:v>
                </c:pt>
                <c:pt idx="130">
                  <c:v>1132</c:v>
                </c:pt>
                <c:pt idx="131">
                  <c:v>1133</c:v>
                </c:pt>
                <c:pt idx="132">
                  <c:v>1135</c:v>
                </c:pt>
                <c:pt idx="133">
                  <c:v>1138</c:v>
                </c:pt>
                <c:pt idx="134">
                  <c:v>1139</c:v>
                </c:pt>
                <c:pt idx="135">
                  <c:v>1140</c:v>
                </c:pt>
                <c:pt idx="136">
                  <c:v>1141</c:v>
                </c:pt>
                <c:pt idx="137">
                  <c:v>1142</c:v>
                </c:pt>
                <c:pt idx="138">
                  <c:v>1143</c:v>
                </c:pt>
                <c:pt idx="139">
                  <c:v>1146</c:v>
                </c:pt>
                <c:pt idx="140">
                  <c:v>1150</c:v>
                </c:pt>
                <c:pt idx="141">
                  <c:v>1151</c:v>
                </c:pt>
                <c:pt idx="142">
                  <c:v>1152</c:v>
                </c:pt>
                <c:pt idx="143">
                  <c:v>1153</c:v>
                </c:pt>
                <c:pt idx="144">
                  <c:v>1154</c:v>
                </c:pt>
                <c:pt idx="145">
                  <c:v>1155</c:v>
                </c:pt>
                <c:pt idx="146">
                  <c:v>1156</c:v>
                </c:pt>
                <c:pt idx="147">
                  <c:v>1157</c:v>
                </c:pt>
                <c:pt idx="148">
                  <c:v>1158</c:v>
                </c:pt>
                <c:pt idx="149">
                  <c:v>1159</c:v>
                </c:pt>
                <c:pt idx="150">
                  <c:v>1160</c:v>
                </c:pt>
                <c:pt idx="151">
                  <c:v>1161</c:v>
                </c:pt>
                <c:pt idx="152">
                  <c:v>1162</c:v>
                </c:pt>
                <c:pt idx="153">
                  <c:v>1163</c:v>
                </c:pt>
                <c:pt idx="154">
                  <c:v>1164</c:v>
                </c:pt>
                <c:pt idx="155">
                  <c:v>1165</c:v>
                </c:pt>
                <c:pt idx="156">
                  <c:v>1166</c:v>
                </c:pt>
                <c:pt idx="157">
                  <c:v>(Leer)</c:v>
                </c:pt>
              </c:strCache>
            </c:strRef>
          </c:cat>
          <c:val>
            <c:numRef>
              <c:f>'Prozesslaufzeit-Überblick M'!$C$4:$C$162</c:f>
              <c:numCache>
                <c:formatCode>General</c:formatCode>
                <c:ptCount val="158"/>
                <c:pt idx="0">
                  <c:v>7.7855000000000008</c:v>
                </c:pt>
                <c:pt idx="1">
                  <c:v>1.4501805555555556</c:v>
                </c:pt>
                <c:pt idx="2">
                  <c:v>4.7419999999999991</c:v>
                </c:pt>
                <c:pt idx="3">
                  <c:v>5.1503611111111116</c:v>
                </c:pt>
                <c:pt idx="4">
                  <c:v>3.020888888888889</c:v>
                </c:pt>
                <c:pt idx="5">
                  <c:v>2.224652777777778</c:v>
                </c:pt>
                <c:pt idx="6">
                  <c:v>4.4794861111111111</c:v>
                </c:pt>
                <c:pt idx="7">
                  <c:v>1.6032222222222221</c:v>
                </c:pt>
                <c:pt idx="8">
                  <c:v>2.7282361111111113</c:v>
                </c:pt>
                <c:pt idx="9">
                  <c:v>2.5331805555555555</c:v>
                </c:pt>
                <c:pt idx="10">
                  <c:v>3.59</c:v>
                </c:pt>
                <c:pt idx="11">
                  <c:v>3.6817361111111113</c:v>
                </c:pt>
                <c:pt idx="12">
                  <c:v>3.4695555555555551</c:v>
                </c:pt>
                <c:pt idx="13">
                  <c:v>2.7387361111111108</c:v>
                </c:pt>
                <c:pt idx="14">
                  <c:v>0.90372222222222232</c:v>
                </c:pt>
                <c:pt idx="15">
                  <c:v>2.3531527777777779</c:v>
                </c:pt>
                <c:pt idx="16">
                  <c:v>2.1214583333333334</c:v>
                </c:pt>
                <c:pt idx="17">
                  <c:v>0.16944444444444445</c:v>
                </c:pt>
                <c:pt idx="18">
                  <c:v>2.759125</c:v>
                </c:pt>
                <c:pt idx="19">
                  <c:v>1.766875</c:v>
                </c:pt>
                <c:pt idx="20">
                  <c:v>2.2171805555555557</c:v>
                </c:pt>
                <c:pt idx="21">
                  <c:v>1.054902777777778</c:v>
                </c:pt>
                <c:pt idx="22">
                  <c:v>1.8191527777777776</c:v>
                </c:pt>
                <c:pt idx="23">
                  <c:v>0.56304166666666666</c:v>
                </c:pt>
                <c:pt idx="24">
                  <c:v>2.0859305555555556</c:v>
                </c:pt>
                <c:pt idx="25">
                  <c:v>1.492</c:v>
                </c:pt>
                <c:pt idx="26">
                  <c:v>1.8682916666666665</c:v>
                </c:pt>
                <c:pt idx="27">
                  <c:v>1.9816111111111112</c:v>
                </c:pt>
                <c:pt idx="28">
                  <c:v>1.4335833333333334</c:v>
                </c:pt>
                <c:pt idx="29">
                  <c:v>1.2512361111111112</c:v>
                </c:pt>
                <c:pt idx="30">
                  <c:v>1.9213611111111111</c:v>
                </c:pt>
                <c:pt idx="31">
                  <c:v>1.6528611111111111</c:v>
                </c:pt>
                <c:pt idx="32">
                  <c:v>1.6085555555555555</c:v>
                </c:pt>
                <c:pt idx="33">
                  <c:v>1.6840416666666667</c:v>
                </c:pt>
                <c:pt idx="34">
                  <c:v>0.84293055555555552</c:v>
                </c:pt>
                <c:pt idx="35">
                  <c:v>1.0966388888888889</c:v>
                </c:pt>
                <c:pt idx="36">
                  <c:v>1.4727361111111112</c:v>
                </c:pt>
                <c:pt idx="37">
                  <c:v>0.98744444444444446</c:v>
                </c:pt>
                <c:pt idx="38">
                  <c:v>1.4464861111111111</c:v>
                </c:pt>
                <c:pt idx="39">
                  <c:v>0.59012500000000001</c:v>
                </c:pt>
                <c:pt idx="40">
                  <c:v>0.3629027777777778</c:v>
                </c:pt>
                <c:pt idx="41">
                  <c:v>0.3348888888888889</c:v>
                </c:pt>
                <c:pt idx="42">
                  <c:v>1.2933472222222222</c:v>
                </c:pt>
                <c:pt idx="43">
                  <c:v>1.2600555555555555</c:v>
                </c:pt>
                <c:pt idx="44">
                  <c:v>1.2274166666666668</c:v>
                </c:pt>
                <c:pt idx="45">
                  <c:v>1.1523194444444445</c:v>
                </c:pt>
                <c:pt idx="46">
                  <c:v>1.0016944444444444</c:v>
                </c:pt>
                <c:pt idx="47">
                  <c:v>1.1355555555555557</c:v>
                </c:pt>
                <c:pt idx="48">
                  <c:v>0.85754166666666654</c:v>
                </c:pt>
                <c:pt idx="49">
                  <c:v>0.97448611111111116</c:v>
                </c:pt>
                <c:pt idx="50">
                  <c:v>0.91672222222222222</c:v>
                </c:pt>
                <c:pt idx="51">
                  <c:v>0.16118055555555555</c:v>
                </c:pt>
                <c:pt idx="52">
                  <c:v>0.48145833333333332</c:v>
                </c:pt>
                <c:pt idx="53">
                  <c:v>0.41576388888888893</c:v>
                </c:pt>
                <c:pt idx="54">
                  <c:v>0.48236111111111113</c:v>
                </c:pt>
                <c:pt idx="55">
                  <c:v>0.78061111111111114</c:v>
                </c:pt>
                <c:pt idx="56">
                  <c:v>0.44651388888888893</c:v>
                </c:pt>
                <c:pt idx="57">
                  <c:v>0.29893055555555553</c:v>
                </c:pt>
                <c:pt idx="58">
                  <c:v>0.5239583333333333</c:v>
                </c:pt>
                <c:pt idx="59">
                  <c:v>0.10951388888888888</c:v>
                </c:pt>
                <c:pt idx="60">
                  <c:v>0.68852777777777774</c:v>
                </c:pt>
                <c:pt idx="61">
                  <c:v>0.64181944444444439</c:v>
                </c:pt>
                <c:pt idx="62">
                  <c:v>0.66451388888888885</c:v>
                </c:pt>
                <c:pt idx="63">
                  <c:v>0.66612499999999997</c:v>
                </c:pt>
                <c:pt idx="64">
                  <c:v>0.62158333333333338</c:v>
                </c:pt>
                <c:pt idx="65">
                  <c:v>0.62084722222222222</c:v>
                </c:pt>
                <c:pt idx="66">
                  <c:v>0.57476388888888885</c:v>
                </c:pt>
                <c:pt idx="67">
                  <c:v>0.31663888888888886</c:v>
                </c:pt>
                <c:pt idx="68">
                  <c:v>0.57450000000000001</c:v>
                </c:pt>
                <c:pt idx="69">
                  <c:v>0.17075000000000001</c:v>
                </c:pt>
                <c:pt idx="70">
                  <c:v>0.5919861111111111</c:v>
                </c:pt>
                <c:pt idx="71">
                  <c:v>0.57450000000000001</c:v>
                </c:pt>
                <c:pt idx="72">
                  <c:v>0.19569444444444445</c:v>
                </c:pt>
                <c:pt idx="73">
                  <c:v>0.54165277777777776</c:v>
                </c:pt>
                <c:pt idx="74">
                  <c:v>0.10109722222222221</c:v>
                </c:pt>
                <c:pt idx="75">
                  <c:v>0.58350000000000002</c:v>
                </c:pt>
                <c:pt idx="76">
                  <c:v>0.56658333333333333</c:v>
                </c:pt>
                <c:pt idx="77">
                  <c:v>0.58731944444444451</c:v>
                </c:pt>
                <c:pt idx="78">
                  <c:v>0.57629166666666665</c:v>
                </c:pt>
                <c:pt idx="79">
                  <c:v>0.19193055555555555</c:v>
                </c:pt>
                <c:pt idx="80">
                  <c:v>0.53366666666666673</c:v>
                </c:pt>
                <c:pt idx="81">
                  <c:v>7.694444444444444E-2</c:v>
                </c:pt>
                <c:pt idx="82">
                  <c:v>0.54394444444444445</c:v>
                </c:pt>
                <c:pt idx="83">
                  <c:v>0.52330555555555558</c:v>
                </c:pt>
                <c:pt idx="84">
                  <c:v>0.49752777777777774</c:v>
                </c:pt>
                <c:pt idx="85">
                  <c:v>0.36515277777777777</c:v>
                </c:pt>
                <c:pt idx="86">
                  <c:v>0.3384166666666667</c:v>
                </c:pt>
                <c:pt idx="87">
                  <c:v>0.48426388888888888</c:v>
                </c:pt>
                <c:pt idx="88">
                  <c:v>0.49301388888888892</c:v>
                </c:pt>
                <c:pt idx="89">
                  <c:v>0.4919722222222222</c:v>
                </c:pt>
                <c:pt idx="90">
                  <c:v>0.18566666666666667</c:v>
                </c:pt>
                <c:pt idx="91">
                  <c:v>0.34822222222222221</c:v>
                </c:pt>
                <c:pt idx="92">
                  <c:v>0.1476527777777778</c:v>
                </c:pt>
                <c:pt idx="93">
                  <c:v>0.43740277777777781</c:v>
                </c:pt>
                <c:pt idx="94">
                  <c:v>0.16372222222222221</c:v>
                </c:pt>
                <c:pt idx="95">
                  <c:v>0.39313888888888887</c:v>
                </c:pt>
                <c:pt idx="96">
                  <c:v>0.22620833333333334</c:v>
                </c:pt>
                <c:pt idx="97">
                  <c:v>0.12327777777777778</c:v>
                </c:pt>
                <c:pt idx="98">
                  <c:v>0.1331111111111111</c:v>
                </c:pt>
                <c:pt idx="99">
                  <c:v>0.18872222222222221</c:v>
                </c:pt>
                <c:pt idx="100">
                  <c:v>0.10322222222222222</c:v>
                </c:pt>
                <c:pt idx="101">
                  <c:v>0.27294444444444449</c:v>
                </c:pt>
                <c:pt idx="102">
                  <c:v>8.16388888888889E-2</c:v>
                </c:pt>
                <c:pt idx="103">
                  <c:v>4.7638888888888883E-2</c:v>
                </c:pt>
                <c:pt idx="104">
                  <c:v>0.28166666666666668</c:v>
                </c:pt>
                <c:pt idx="105">
                  <c:v>0.16731944444444444</c:v>
                </c:pt>
                <c:pt idx="106">
                  <c:v>0.10249999999999999</c:v>
                </c:pt>
                <c:pt idx="107">
                  <c:v>0.207625</c:v>
                </c:pt>
                <c:pt idx="108">
                  <c:v>5.5555555555555559E-2</c:v>
                </c:pt>
                <c:pt idx="109">
                  <c:v>1.8319444444444447E-2</c:v>
                </c:pt>
                <c:pt idx="110">
                  <c:v>0.13995833333333332</c:v>
                </c:pt>
                <c:pt idx="111">
                  <c:v>8.443055555555555E-2</c:v>
                </c:pt>
                <c:pt idx="112">
                  <c:v>4.8041666666666663E-2</c:v>
                </c:pt>
                <c:pt idx="113">
                  <c:v>4.2416666666666665E-2</c:v>
                </c:pt>
                <c:pt idx="114">
                  <c:v>5.0916666666666666E-2</c:v>
                </c:pt>
                <c:pt idx="115">
                  <c:v>1.7083333333333332E-2</c:v>
                </c:pt>
                <c:pt idx="116">
                  <c:v>7.1583333333333346E-2</c:v>
                </c:pt>
                <c:pt idx="117">
                  <c:v>2.829166666666667E-2</c:v>
                </c:pt>
                <c:pt idx="118">
                  <c:v>5.2402777777777777E-2</c:v>
                </c:pt>
                <c:pt idx="119">
                  <c:v>1.5861111111111111E-2</c:v>
                </c:pt>
                <c:pt idx="120">
                  <c:v>3.4833333333333334E-2</c:v>
                </c:pt>
                <c:pt idx="121">
                  <c:v>1.175E-2</c:v>
                </c:pt>
                <c:pt idx="122">
                  <c:v>4.1333333333333333E-2</c:v>
                </c:pt>
                <c:pt idx="123">
                  <c:v>1.2736111111111111E-2</c:v>
                </c:pt>
                <c:pt idx="124">
                  <c:v>1.3250000000000001E-2</c:v>
                </c:pt>
                <c:pt idx="125">
                  <c:v>2.5736111111111109E-2</c:v>
                </c:pt>
                <c:pt idx="126">
                  <c:v>2.3763888888888886E-2</c:v>
                </c:pt>
                <c:pt idx="127">
                  <c:v>1.2916666666666668E-2</c:v>
                </c:pt>
                <c:pt idx="128">
                  <c:v>2.0930555555555556E-2</c:v>
                </c:pt>
                <c:pt idx="129">
                  <c:v>3.3458333333333333E-2</c:v>
                </c:pt>
                <c:pt idx="130">
                  <c:v>1.6333333333333335E-2</c:v>
                </c:pt>
                <c:pt idx="131">
                  <c:v>1.0958333333333334E-2</c:v>
                </c:pt>
                <c:pt idx="132">
                  <c:v>1.1916666666666667E-2</c:v>
                </c:pt>
                <c:pt idx="133">
                  <c:v>7.4583333333333324E-3</c:v>
                </c:pt>
                <c:pt idx="134">
                  <c:v>9.0277777777777769E-3</c:v>
                </c:pt>
                <c:pt idx="135">
                  <c:v>1.2180555555555556E-2</c:v>
                </c:pt>
                <c:pt idx="136">
                  <c:v>5.8472222222222224E-3</c:v>
                </c:pt>
                <c:pt idx="137">
                  <c:v>2.236111111111111E-3</c:v>
                </c:pt>
                <c:pt idx="138">
                  <c:v>7.1666666666666667E-3</c:v>
                </c:pt>
                <c:pt idx="139">
                  <c:v>5.3194444444444444E-3</c:v>
                </c:pt>
                <c:pt idx="140">
                  <c:v>8.0138888888888898E-3</c:v>
                </c:pt>
                <c:pt idx="141">
                  <c:v>8.1250000000000003E-3</c:v>
                </c:pt>
                <c:pt idx="142">
                  <c:v>2.6527777777777773E-3</c:v>
                </c:pt>
                <c:pt idx="143">
                  <c:v>4.2777777777777779E-3</c:v>
                </c:pt>
                <c:pt idx="144">
                  <c:v>4.7361111111111111E-3</c:v>
                </c:pt>
                <c:pt idx="145">
                  <c:v>5.2638888888888891E-3</c:v>
                </c:pt>
                <c:pt idx="146">
                  <c:v>3.3333333333333331E-3</c:v>
                </c:pt>
                <c:pt idx="147">
                  <c:v>1.7500000000000003E-3</c:v>
                </c:pt>
                <c:pt idx="148">
                  <c:v>1.7916666666666667E-3</c:v>
                </c:pt>
                <c:pt idx="149">
                  <c:v>1.0416666666666667E-3</c:v>
                </c:pt>
                <c:pt idx="150">
                  <c:v>1.5555555555555555E-3</c:v>
                </c:pt>
                <c:pt idx="151">
                  <c:v>1.0694444444444445E-3</c:v>
                </c:pt>
                <c:pt idx="152">
                  <c:v>1.1805555555555558E-3</c:v>
                </c:pt>
                <c:pt idx="153">
                  <c:v>1.0416666666666667E-3</c:v>
                </c:pt>
                <c:pt idx="154">
                  <c:v>7.222222222222223E-4</c:v>
                </c:pt>
                <c:pt idx="155">
                  <c:v>5.5555555555555545E-4</c:v>
                </c:pt>
                <c:pt idx="156">
                  <c:v>1.8055555555555557E-4</c:v>
                </c:pt>
                <c:pt idx="1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2-4718-84DA-48149B19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544847"/>
        <c:axId val="801477391"/>
      </c:lineChart>
      <c:catAx>
        <c:axId val="53354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ID_Prozess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801477391"/>
        <c:crosses val="autoZero"/>
        <c:auto val="1"/>
        <c:lblAlgn val="ctr"/>
        <c:lblOffset val="100"/>
        <c:noMultiLvlLbl val="0"/>
      </c:catAx>
      <c:valAx>
        <c:axId val="8014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 sz="1200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53354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00764979754414"/>
          <c:y val="0.84508954608760534"/>
          <c:w val="0.40754238383518637"/>
          <c:h val="8.3819037820893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v9.xlsx]Prozesslaufzeit-Überblick J!PivotTable1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2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von Bot-Auslastungen nach Prozess</a:t>
            </a:r>
          </a:p>
        </c:rich>
      </c:tx>
      <c:layout>
        <c:manualLayout>
          <c:xMode val="edge"/>
          <c:yMode val="edge"/>
          <c:x val="0.36563782058932842"/>
          <c:y val="1.4217805140946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2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987172700477118E-2"/>
          <c:y val="9.3997144262159119E-2"/>
          <c:w val="0.92592366569200979"/>
          <c:h val="0.69715860009598118"/>
        </c:manualLayout>
      </c:layout>
      <c:lineChart>
        <c:grouping val="standard"/>
        <c:varyColors val="0"/>
        <c:ser>
          <c:idx val="0"/>
          <c:order val="0"/>
          <c:tx>
            <c:strRef>
              <c:f>'Prozesslaufzeit-Überblick J'!$B$3</c:f>
              <c:strCache>
                <c:ptCount val="1"/>
                <c:pt idx="0">
                  <c:v>Maximale tägliche Auslastung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J'!$A$4:$A$194</c:f>
              <c:strCache>
                <c:ptCount val="190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</c:strCache>
            </c:strRef>
          </c:cat>
          <c:val>
            <c:numRef>
              <c:f>'Prozesslaufzeit-Überblick J'!$B$4:$B$194</c:f>
              <c:numCache>
                <c:formatCode>General</c:formatCode>
                <c:ptCount val="190"/>
                <c:pt idx="0">
                  <c:v>8.4028534953703709</c:v>
                </c:pt>
                <c:pt idx="1">
                  <c:v>7.719691439814814</c:v>
                </c:pt>
                <c:pt idx="2">
                  <c:v>5.1156518263888895</c:v>
                </c:pt>
                <c:pt idx="3">
                  <c:v>5.0485384803240736</c:v>
                </c:pt>
                <c:pt idx="4">
                  <c:v>4.6143547326388896</c:v>
                </c:pt>
                <c:pt idx="5">
                  <c:v>4.1739290254629626</c:v>
                </c:pt>
                <c:pt idx="6">
                  <c:v>4.0083278379629625</c:v>
                </c:pt>
                <c:pt idx="7">
                  <c:v>3.8848004687500004</c:v>
                </c:pt>
                <c:pt idx="8">
                  <c:v>3.6685779814814818</c:v>
                </c:pt>
                <c:pt idx="9">
                  <c:v>3.4954110081018515</c:v>
                </c:pt>
                <c:pt idx="10">
                  <c:v>3.5234283437500005</c:v>
                </c:pt>
                <c:pt idx="11">
                  <c:v>3.4141073668981488</c:v>
                </c:pt>
                <c:pt idx="12">
                  <c:v>2.9931189224537045</c:v>
                </c:pt>
                <c:pt idx="13">
                  <c:v>2.9484489664351852</c:v>
                </c:pt>
                <c:pt idx="14">
                  <c:v>2.9071520462962961</c:v>
                </c:pt>
                <c:pt idx="15">
                  <c:v>2.9003476666666668</c:v>
                </c:pt>
                <c:pt idx="16">
                  <c:v>2.7504284560185184</c:v>
                </c:pt>
                <c:pt idx="17">
                  <c:v>2.6720716736111108</c:v>
                </c:pt>
                <c:pt idx="18">
                  <c:v>2.5919461319444448</c:v>
                </c:pt>
                <c:pt idx="19">
                  <c:v>2.482427956018519</c:v>
                </c:pt>
                <c:pt idx="20">
                  <c:v>2.3625153923611109</c:v>
                </c:pt>
                <c:pt idx="21">
                  <c:v>2.3433840925925926</c:v>
                </c:pt>
                <c:pt idx="22">
                  <c:v>2.5082977303240739</c:v>
                </c:pt>
                <c:pt idx="23">
                  <c:v>2.0812415659722223</c:v>
                </c:pt>
                <c:pt idx="24">
                  <c:v>2.0109140543981483</c:v>
                </c:pt>
                <c:pt idx="25">
                  <c:v>1.9697463599537037</c:v>
                </c:pt>
                <c:pt idx="26">
                  <c:v>1.9315682812500001</c:v>
                </c:pt>
                <c:pt idx="27">
                  <c:v>1.9246557141203704</c:v>
                </c:pt>
                <c:pt idx="28">
                  <c:v>1.7945071724537038</c:v>
                </c:pt>
                <c:pt idx="29">
                  <c:v>1.7315676354166665</c:v>
                </c:pt>
                <c:pt idx="30">
                  <c:v>1.6115895995370371</c:v>
                </c:pt>
                <c:pt idx="31">
                  <c:v>1.483247039351852</c:v>
                </c:pt>
                <c:pt idx="32">
                  <c:v>1.4694299548611112</c:v>
                </c:pt>
                <c:pt idx="33">
                  <c:v>1.3643960185185187</c:v>
                </c:pt>
                <c:pt idx="34">
                  <c:v>1.3016488020833334</c:v>
                </c:pt>
                <c:pt idx="35">
                  <c:v>1.2979901817129629</c:v>
                </c:pt>
                <c:pt idx="36">
                  <c:v>1.2929660787037038</c:v>
                </c:pt>
                <c:pt idx="37">
                  <c:v>1.2683048321759258</c:v>
                </c:pt>
                <c:pt idx="38">
                  <c:v>1.2523990914351852</c:v>
                </c:pt>
                <c:pt idx="39">
                  <c:v>1.2455910405092596</c:v>
                </c:pt>
                <c:pt idx="40">
                  <c:v>1.0415254189814815</c:v>
                </c:pt>
                <c:pt idx="41">
                  <c:v>1.0412603564814815</c:v>
                </c:pt>
                <c:pt idx="42">
                  <c:v>0.99214458449074061</c:v>
                </c:pt>
                <c:pt idx="43">
                  <c:v>0.93003329050925942</c:v>
                </c:pt>
                <c:pt idx="44">
                  <c:v>0.99652615277777779</c:v>
                </c:pt>
                <c:pt idx="45">
                  <c:v>0.87890534143518528</c:v>
                </c:pt>
                <c:pt idx="46">
                  <c:v>0.86422519328703717</c:v>
                </c:pt>
                <c:pt idx="47">
                  <c:v>0.84070785532407388</c:v>
                </c:pt>
                <c:pt idx="48">
                  <c:v>0.86774767708333334</c:v>
                </c:pt>
                <c:pt idx="49">
                  <c:v>0.80445154166666666</c:v>
                </c:pt>
                <c:pt idx="50">
                  <c:v>0.7954005856481482</c:v>
                </c:pt>
                <c:pt idx="51">
                  <c:v>0.78902395717592588</c:v>
                </c:pt>
                <c:pt idx="52">
                  <c:v>0.78420923263888898</c:v>
                </c:pt>
                <c:pt idx="53">
                  <c:v>0.76351132175925929</c:v>
                </c:pt>
                <c:pt idx="54">
                  <c:v>0.68968433101851856</c:v>
                </c:pt>
                <c:pt idx="55">
                  <c:v>0.68502903125000003</c:v>
                </c:pt>
                <c:pt idx="56">
                  <c:v>0.6814224699074074</c:v>
                </c:pt>
                <c:pt idx="57">
                  <c:v>0.67444757986111115</c:v>
                </c:pt>
                <c:pt idx="58">
                  <c:v>0.63688329629629636</c:v>
                </c:pt>
                <c:pt idx="59">
                  <c:v>0.66941570254629634</c:v>
                </c:pt>
                <c:pt idx="60">
                  <c:v>0.62654811111111119</c:v>
                </c:pt>
                <c:pt idx="61">
                  <c:v>0.6235230810185185</c:v>
                </c:pt>
                <c:pt idx="62">
                  <c:v>0.62116559375000002</c:v>
                </c:pt>
                <c:pt idx="63">
                  <c:v>0.61852948958333331</c:v>
                </c:pt>
                <c:pt idx="64">
                  <c:v>0.61261276157407407</c:v>
                </c:pt>
                <c:pt idx="65">
                  <c:v>0.61002361226851864</c:v>
                </c:pt>
                <c:pt idx="66">
                  <c:v>0.6085768958333333</c:v>
                </c:pt>
                <c:pt idx="67">
                  <c:v>0.60830141203703691</c:v>
                </c:pt>
                <c:pt idx="68">
                  <c:v>0.6038352187499999</c:v>
                </c:pt>
                <c:pt idx="69">
                  <c:v>0.73859195254629628</c:v>
                </c:pt>
                <c:pt idx="70">
                  <c:v>0.5997049895833334</c:v>
                </c:pt>
                <c:pt idx="71">
                  <c:v>0.59568479398148155</c:v>
                </c:pt>
                <c:pt idx="72">
                  <c:v>0.59509810532407414</c:v>
                </c:pt>
                <c:pt idx="73">
                  <c:v>0.59356079282407403</c:v>
                </c:pt>
                <c:pt idx="74">
                  <c:v>0.59347445023148149</c:v>
                </c:pt>
                <c:pt idx="75">
                  <c:v>0.58982076620370361</c:v>
                </c:pt>
                <c:pt idx="76">
                  <c:v>0.58344505787037027</c:v>
                </c:pt>
                <c:pt idx="77">
                  <c:v>0.55918745949074067</c:v>
                </c:pt>
                <c:pt idx="78">
                  <c:v>0.55468870949074067</c:v>
                </c:pt>
                <c:pt idx="79">
                  <c:v>0.54713782291666679</c:v>
                </c:pt>
                <c:pt idx="80">
                  <c:v>0.54425687384259269</c:v>
                </c:pt>
                <c:pt idx="81">
                  <c:v>0.5364948784722221</c:v>
                </c:pt>
                <c:pt idx="82">
                  <c:v>0.52616231597222229</c:v>
                </c:pt>
                <c:pt idx="83">
                  <c:v>0.51145683912037032</c:v>
                </c:pt>
                <c:pt idx="84">
                  <c:v>0.51096151504629639</c:v>
                </c:pt>
                <c:pt idx="85">
                  <c:v>0.50996736689814814</c:v>
                </c:pt>
                <c:pt idx="86">
                  <c:v>0.54102500347222215</c:v>
                </c:pt>
                <c:pt idx="87">
                  <c:v>0.49946491898148143</c:v>
                </c:pt>
                <c:pt idx="88">
                  <c:v>0.49564777083333333</c:v>
                </c:pt>
                <c:pt idx="89">
                  <c:v>0.48999759027777778</c:v>
                </c:pt>
                <c:pt idx="90">
                  <c:v>0.48111075347222221</c:v>
                </c:pt>
                <c:pt idx="91">
                  <c:v>0.47275977314814815</c:v>
                </c:pt>
                <c:pt idx="92">
                  <c:v>0.467358</c:v>
                </c:pt>
                <c:pt idx="93">
                  <c:v>0.43938171527777775</c:v>
                </c:pt>
                <c:pt idx="94">
                  <c:v>0.40548875231481479</c:v>
                </c:pt>
                <c:pt idx="95">
                  <c:v>0.37615484606481475</c:v>
                </c:pt>
                <c:pt idx="96">
                  <c:v>0.37309171296296295</c:v>
                </c:pt>
                <c:pt idx="97">
                  <c:v>0.36248460532407406</c:v>
                </c:pt>
                <c:pt idx="98">
                  <c:v>0.35477624421296294</c:v>
                </c:pt>
                <c:pt idx="99">
                  <c:v>0.35303284722222222</c:v>
                </c:pt>
                <c:pt idx="100">
                  <c:v>0.3506208564814815</c:v>
                </c:pt>
                <c:pt idx="101">
                  <c:v>0.33733123495370371</c:v>
                </c:pt>
                <c:pt idx="102">
                  <c:v>0.32437917939814814</c:v>
                </c:pt>
                <c:pt idx="103">
                  <c:v>0.31682141782407408</c:v>
                </c:pt>
                <c:pt idx="104">
                  <c:v>0.31255274768518515</c:v>
                </c:pt>
                <c:pt idx="105">
                  <c:v>0.26350114814814812</c:v>
                </c:pt>
                <c:pt idx="106">
                  <c:v>0.26823788773148149</c:v>
                </c:pt>
                <c:pt idx="107">
                  <c:v>0.24965113310185183</c:v>
                </c:pt>
                <c:pt idx="108">
                  <c:v>0.30417882986111106</c:v>
                </c:pt>
                <c:pt idx="109">
                  <c:v>0.23779425578703706</c:v>
                </c:pt>
                <c:pt idx="110">
                  <c:v>0.233010150462963</c:v>
                </c:pt>
                <c:pt idx="111">
                  <c:v>0.21609114583333333</c:v>
                </c:pt>
                <c:pt idx="112">
                  <c:v>0.19294305555555555</c:v>
                </c:pt>
                <c:pt idx="113">
                  <c:v>0.1642437986111111</c:v>
                </c:pt>
                <c:pt idx="114">
                  <c:v>0.17540632060185182</c:v>
                </c:pt>
                <c:pt idx="115">
                  <c:v>0.15171780902777779</c:v>
                </c:pt>
                <c:pt idx="116">
                  <c:v>0.17729163541666665</c:v>
                </c:pt>
                <c:pt idx="117">
                  <c:v>0.17891089930555557</c:v>
                </c:pt>
                <c:pt idx="118">
                  <c:v>0.12510892939814813</c:v>
                </c:pt>
                <c:pt idx="119">
                  <c:v>0.12486650694444447</c:v>
                </c:pt>
                <c:pt idx="120">
                  <c:v>0.12437440277777778</c:v>
                </c:pt>
                <c:pt idx="121">
                  <c:v>0.10078750347222221</c:v>
                </c:pt>
                <c:pt idx="122">
                  <c:v>0.10014616782407405</c:v>
                </c:pt>
                <c:pt idx="123">
                  <c:v>0.10567088773148151</c:v>
                </c:pt>
                <c:pt idx="124">
                  <c:v>8.3990901620370373E-2</c:v>
                </c:pt>
                <c:pt idx="125">
                  <c:v>7.171016435185186E-2</c:v>
                </c:pt>
                <c:pt idx="126">
                  <c:v>6.9776329861111111E-2</c:v>
                </c:pt>
                <c:pt idx="127">
                  <c:v>6.2768840277777779E-2</c:v>
                </c:pt>
                <c:pt idx="128">
                  <c:v>7.5915988425925923E-2</c:v>
                </c:pt>
                <c:pt idx="129">
                  <c:v>6.3329405092592592E-2</c:v>
                </c:pt>
                <c:pt idx="130">
                  <c:v>6.6105910879629637E-2</c:v>
                </c:pt>
                <c:pt idx="131">
                  <c:v>5.5033706018518508E-2</c:v>
                </c:pt>
                <c:pt idx="132">
                  <c:v>5.3016049768518515E-2</c:v>
                </c:pt>
                <c:pt idx="133">
                  <c:v>4.7266468749999992E-2</c:v>
                </c:pt>
                <c:pt idx="134">
                  <c:v>4.7715400462962965E-2</c:v>
                </c:pt>
                <c:pt idx="135">
                  <c:v>5.3240740740740734E-2</c:v>
                </c:pt>
                <c:pt idx="136">
                  <c:v>4.2077657407407411E-2</c:v>
                </c:pt>
                <c:pt idx="137">
                  <c:v>3.66987025462963E-2</c:v>
                </c:pt>
                <c:pt idx="138">
                  <c:v>3.5638086805555552E-2</c:v>
                </c:pt>
                <c:pt idx="139">
                  <c:v>3.4333119212962962E-2</c:v>
                </c:pt>
                <c:pt idx="140">
                  <c:v>3.0417086805555556E-2</c:v>
                </c:pt>
                <c:pt idx="141">
                  <c:v>3.0205864583333332E-2</c:v>
                </c:pt>
                <c:pt idx="142">
                  <c:v>3.0729166666666669E-2</c:v>
                </c:pt>
                <c:pt idx="143">
                  <c:v>2.8277447916666667E-2</c:v>
                </c:pt>
                <c:pt idx="144">
                  <c:v>2.5526959490740738E-2</c:v>
                </c:pt>
                <c:pt idx="145">
                  <c:v>2.5921355324074073E-2</c:v>
                </c:pt>
                <c:pt idx="146">
                  <c:v>2.2743701388888884E-2</c:v>
                </c:pt>
                <c:pt idx="147">
                  <c:v>2.1595478009259258E-2</c:v>
                </c:pt>
                <c:pt idx="148">
                  <c:v>1.8126202546296294E-2</c:v>
                </c:pt>
                <c:pt idx="149">
                  <c:v>1.6681585648148149E-2</c:v>
                </c:pt>
                <c:pt idx="150">
                  <c:v>1.8144760416666669E-2</c:v>
                </c:pt>
                <c:pt idx="151">
                  <c:v>1.6132690972222224E-2</c:v>
                </c:pt>
                <c:pt idx="152">
                  <c:v>1.8758593749999997E-2</c:v>
                </c:pt>
                <c:pt idx="153">
                  <c:v>1.7029640046296299E-2</c:v>
                </c:pt>
                <c:pt idx="154">
                  <c:v>1.3386106481481481E-2</c:v>
                </c:pt>
                <c:pt idx="155">
                  <c:v>1.4359011574074074E-2</c:v>
                </c:pt>
                <c:pt idx="156">
                  <c:v>1.1585016203703703E-2</c:v>
                </c:pt>
                <c:pt idx="157">
                  <c:v>9.6869710648148141E-3</c:v>
                </c:pt>
                <c:pt idx="158">
                  <c:v>1.0441273148148146E-2</c:v>
                </c:pt>
                <c:pt idx="159">
                  <c:v>8.2330625000000008E-3</c:v>
                </c:pt>
                <c:pt idx="160">
                  <c:v>6.6327199074074084E-3</c:v>
                </c:pt>
                <c:pt idx="161">
                  <c:v>6.4835393518518506E-3</c:v>
                </c:pt>
                <c:pt idx="162">
                  <c:v>8.3181793981481483E-3</c:v>
                </c:pt>
                <c:pt idx="163">
                  <c:v>5.2626458333333327E-3</c:v>
                </c:pt>
                <c:pt idx="164">
                  <c:v>5.0578043981481481E-3</c:v>
                </c:pt>
                <c:pt idx="165">
                  <c:v>3.4708125000000004E-3</c:v>
                </c:pt>
                <c:pt idx="166">
                  <c:v>3.4467939814814817E-3</c:v>
                </c:pt>
                <c:pt idx="167">
                  <c:v>2.8746493055555561E-3</c:v>
                </c:pt>
                <c:pt idx="168">
                  <c:v>2.7665833333333331E-3</c:v>
                </c:pt>
                <c:pt idx="169">
                  <c:v>2.4283518518518521E-3</c:v>
                </c:pt>
                <c:pt idx="170">
                  <c:v>3.1551041666666663E-3</c:v>
                </c:pt>
                <c:pt idx="171">
                  <c:v>2.261607638888889E-3</c:v>
                </c:pt>
                <c:pt idx="172">
                  <c:v>2.427033564814815E-3</c:v>
                </c:pt>
                <c:pt idx="173">
                  <c:v>1.99825E-3</c:v>
                </c:pt>
                <c:pt idx="174">
                  <c:v>2.1076238425925928E-3</c:v>
                </c:pt>
                <c:pt idx="175">
                  <c:v>1.378880787037037E-3</c:v>
                </c:pt>
                <c:pt idx="176">
                  <c:v>1.134204861111111E-3</c:v>
                </c:pt>
                <c:pt idx="177">
                  <c:v>8.7029282407407422E-4</c:v>
                </c:pt>
                <c:pt idx="178">
                  <c:v>9.3749999999999997E-4</c:v>
                </c:pt>
                <c:pt idx="179">
                  <c:v>6.0005671296296304E-4</c:v>
                </c:pt>
                <c:pt idx="180">
                  <c:v>5.8795486111111103E-4</c:v>
                </c:pt>
                <c:pt idx="181">
                  <c:v>5.4758564814814806E-4</c:v>
                </c:pt>
                <c:pt idx="182">
                  <c:v>4.1666666666666664E-4</c:v>
                </c:pt>
                <c:pt idx="183">
                  <c:v>3.5057060185185186E-4</c:v>
                </c:pt>
                <c:pt idx="184">
                  <c:v>3.0909375000000002E-4</c:v>
                </c:pt>
                <c:pt idx="185">
                  <c:v>1.6658912037037038E-4</c:v>
                </c:pt>
                <c:pt idx="186">
                  <c:v>1.851851851851852E-4</c:v>
                </c:pt>
                <c:pt idx="187">
                  <c:v>2.0833333333333332E-4</c:v>
                </c:pt>
                <c:pt idx="188">
                  <c:v>9.6674768518518507E-5</c:v>
                </c:pt>
                <c:pt idx="189">
                  <c:v>1.0416666666666669E-4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2-45B5-B9EA-61669AF49C4D}"/>
            </c:ext>
          </c:extLst>
        </c:ser>
        <c:ser>
          <c:idx val="1"/>
          <c:order val="1"/>
          <c:tx>
            <c:strRef>
              <c:f>'Prozesslaufzeit-Überblick J'!$C$3</c:f>
              <c:strCache>
                <c:ptCount val="1"/>
                <c:pt idx="0">
                  <c:v>Durchschnittliche tägliche Auslastung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J'!$A$4:$A$194</c:f>
              <c:strCache>
                <c:ptCount val="190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</c:strCache>
            </c:strRef>
          </c:cat>
          <c:val>
            <c:numRef>
              <c:f>'Prozesslaufzeit-Überblick J'!$C$4:$C$194</c:f>
              <c:numCache>
                <c:formatCode>General</c:formatCode>
                <c:ptCount val="190"/>
                <c:pt idx="0">
                  <c:v>7.4293338547175916</c:v>
                </c:pt>
                <c:pt idx="1">
                  <c:v>4.7214781989821812</c:v>
                </c:pt>
                <c:pt idx="2">
                  <c:v>2.9760056041842931</c:v>
                </c:pt>
                <c:pt idx="3">
                  <c:v>4.6815400405953262</c:v>
                </c:pt>
                <c:pt idx="4">
                  <c:v>4.4708598975480855</c:v>
                </c:pt>
                <c:pt idx="5">
                  <c:v>3.5489363191654011</c:v>
                </c:pt>
                <c:pt idx="6">
                  <c:v>3.0637992372875336</c:v>
                </c:pt>
                <c:pt idx="7">
                  <c:v>2.3301886169859802</c:v>
                </c:pt>
                <c:pt idx="8">
                  <c:v>3.3875306488633923</c:v>
                </c:pt>
                <c:pt idx="9">
                  <c:v>3.3594609732141518</c:v>
                </c:pt>
                <c:pt idx="10">
                  <c:v>1.5926519987177754</c:v>
                </c:pt>
                <c:pt idx="11">
                  <c:v>3.1455153721668738</c:v>
                </c:pt>
                <c:pt idx="12">
                  <c:v>2.2922862204757593</c:v>
                </c:pt>
                <c:pt idx="13">
                  <c:v>2.5671183389591299</c:v>
                </c:pt>
                <c:pt idx="14">
                  <c:v>2.1113038524501091</c:v>
                </c:pt>
                <c:pt idx="15">
                  <c:v>2.0357995144383851</c:v>
                </c:pt>
                <c:pt idx="16">
                  <c:v>2.7243829523222725</c:v>
                </c:pt>
                <c:pt idx="17">
                  <c:v>1.7850593507321582</c:v>
                </c:pt>
                <c:pt idx="18">
                  <c:v>2.2275288279225309</c:v>
                </c:pt>
                <c:pt idx="19">
                  <c:v>1.9304726817036135</c:v>
                </c:pt>
                <c:pt idx="20">
                  <c:v>1.1956826636613034</c:v>
                </c:pt>
                <c:pt idx="21">
                  <c:v>1.6980667107283749</c:v>
                </c:pt>
                <c:pt idx="22">
                  <c:v>0.42518971862323612</c:v>
                </c:pt>
                <c:pt idx="23">
                  <c:v>2.0281926311085163</c:v>
                </c:pt>
                <c:pt idx="24">
                  <c:v>1.9445466212867186</c:v>
                </c:pt>
                <c:pt idx="25">
                  <c:v>1.1818672773558867</c:v>
                </c:pt>
                <c:pt idx="26">
                  <c:v>1.8895150689385511</c:v>
                </c:pt>
                <c:pt idx="27">
                  <c:v>1.3996185559263516</c:v>
                </c:pt>
                <c:pt idx="28">
                  <c:v>1.7184802204987861</c:v>
                </c:pt>
                <c:pt idx="29">
                  <c:v>1.6990093620076239</c:v>
                </c:pt>
                <c:pt idx="30">
                  <c:v>0.70196821328033565</c:v>
                </c:pt>
                <c:pt idx="31">
                  <c:v>0.76326194321346752</c:v>
                </c:pt>
                <c:pt idx="32">
                  <c:v>1.4187882268851133</c:v>
                </c:pt>
                <c:pt idx="33">
                  <c:v>1.2855825654962605</c:v>
                </c:pt>
                <c:pt idx="34">
                  <c:v>0.97866751303086119</c:v>
                </c:pt>
                <c:pt idx="35">
                  <c:v>0.48568109899325013</c:v>
                </c:pt>
                <c:pt idx="36">
                  <c:v>1.2711627726241412</c:v>
                </c:pt>
                <c:pt idx="37">
                  <c:v>0.35379352678602549</c:v>
                </c:pt>
                <c:pt idx="38">
                  <c:v>1.1832294147591633</c:v>
                </c:pt>
                <c:pt idx="39">
                  <c:v>0.79889746711277554</c:v>
                </c:pt>
                <c:pt idx="40">
                  <c:v>0.54202491375148265</c:v>
                </c:pt>
                <c:pt idx="41">
                  <c:v>0.98367833128727999</c:v>
                </c:pt>
                <c:pt idx="42">
                  <c:v>0.97652367594525469</c:v>
                </c:pt>
                <c:pt idx="43">
                  <c:v>0.9068175798689051</c:v>
                </c:pt>
                <c:pt idx="44">
                  <c:v>0.72524712713844675</c:v>
                </c:pt>
                <c:pt idx="45">
                  <c:v>0.17525083160115046</c:v>
                </c:pt>
                <c:pt idx="46">
                  <c:v>0.83803808472582286</c:v>
                </c:pt>
                <c:pt idx="47">
                  <c:v>0.63449054827573614</c:v>
                </c:pt>
                <c:pt idx="48">
                  <c:v>0.85861405414587155</c:v>
                </c:pt>
                <c:pt idx="49">
                  <c:v>0.59129868279028708</c:v>
                </c:pt>
                <c:pt idx="50">
                  <c:v>0.59009550269610989</c:v>
                </c:pt>
                <c:pt idx="51">
                  <c:v>0.43484366371429389</c:v>
                </c:pt>
                <c:pt idx="52">
                  <c:v>0.77542076297548479</c:v>
                </c:pt>
                <c:pt idx="53">
                  <c:v>0.63244506437860537</c:v>
                </c:pt>
                <c:pt idx="54">
                  <c:v>0.67781553777379389</c:v>
                </c:pt>
                <c:pt idx="55">
                  <c:v>0.65234516892983685</c:v>
                </c:pt>
                <c:pt idx="56">
                  <c:v>0.66156562082385184</c:v>
                </c:pt>
                <c:pt idx="57">
                  <c:v>0.43424015976869562</c:v>
                </c:pt>
                <c:pt idx="58">
                  <c:v>0.43615463354176381</c:v>
                </c:pt>
                <c:pt idx="59">
                  <c:v>0.64485115113360536</c:v>
                </c:pt>
                <c:pt idx="60">
                  <c:v>0.61694975022154397</c:v>
                </c:pt>
                <c:pt idx="61">
                  <c:v>0.61595959985611126</c:v>
                </c:pt>
                <c:pt idx="62">
                  <c:v>0.25977322604732639</c:v>
                </c:pt>
                <c:pt idx="63">
                  <c:v>0.42136382951305323</c:v>
                </c:pt>
                <c:pt idx="64">
                  <c:v>0.5735887837082847</c:v>
                </c:pt>
                <c:pt idx="65">
                  <c:v>0.582444702861176</c:v>
                </c:pt>
                <c:pt idx="66">
                  <c:v>0.57583229588458673</c:v>
                </c:pt>
                <c:pt idx="67">
                  <c:v>0.37856250158332178</c:v>
                </c:pt>
                <c:pt idx="68">
                  <c:v>0.56058666162414128</c:v>
                </c:pt>
                <c:pt idx="69">
                  <c:v>0.48351130015432059</c:v>
                </c:pt>
                <c:pt idx="70">
                  <c:v>0.57806647367371644</c:v>
                </c:pt>
                <c:pt idx="71">
                  <c:v>0.56606148855628113</c:v>
                </c:pt>
                <c:pt idx="72">
                  <c:v>0.57120552479309827</c:v>
                </c:pt>
                <c:pt idx="73">
                  <c:v>0.24229571745705786</c:v>
                </c:pt>
                <c:pt idx="74">
                  <c:v>0.58139488330591327</c:v>
                </c:pt>
                <c:pt idx="75">
                  <c:v>0.56538284397253469</c:v>
                </c:pt>
                <c:pt idx="76">
                  <c:v>0.56266243171927655</c:v>
                </c:pt>
                <c:pt idx="77">
                  <c:v>0.53987305271977548</c:v>
                </c:pt>
                <c:pt idx="78">
                  <c:v>0.51125386834020947</c:v>
                </c:pt>
                <c:pt idx="79">
                  <c:v>0.53970648468399884</c:v>
                </c:pt>
                <c:pt idx="80">
                  <c:v>0.53257469970089599</c:v>
                </c:pt>
                <c:pt idx="81">
                  <c:v>0.35700592138600118</c:v>
                </c:pt>
                <c:pt idx="82">
                  <c:v>0.4394248667474826</c:v>
                </c:pt>
                <c:pt idx="83">
                  <c:v>0.48513614979570141</c:v>
                </c:pt>
                <c:pt idx="84">
                  <c:v>0.15552887021680095</c:v>
                </c:pt>
                <c:pt idx="85">
                  <c:v>0.23619606200879284</c:v>
                </c:pt>
                <c:pt idx="86">
                  <c:v>0.20489703223642589</c:v>
                </c:pt>
                <c:pt idx="87">
                  <c:v>0.49241677046836457</c:v>
                </c:pt>
                <c:pt idx="88">
                  <c:v>0.49077564880917124</c:v>
                </c:pt>
                <c:pt idx="89">
                  <c:v>0.44218325784346302</c:v>
                </c:pt>
                <c:pt idx="90">
                  <c:v>9.9491242791513917E-2</c:v>
                </c:pt>
                <c:pt idx="91">
                  <c:v>0.12987167319482179</c:v>
                </c:pt>
                <c:pt idx="92">
                  <c:v>0.11165362047921873</c:v>
                </c:pt>
                <c:pt idx="93">
                  <c:v>0.2247768954475301</c:v>
                </c:pt>
                <c:pt idx="94">
                  <c:v>0.19429595930800928</c:v>
                </c:pt>
                <c:pt idx="95">
                  <c:v>9.4012229641378495E-2</c:v>
                </c:pt>
                <c:pt idx="96">
                  <c:v>7.0832546972670135E-2</c:v>
                </c:pt>
                <c:pt idx="97">
                  <c:v>0.21451698187269908</c:v>
                </c:pt>
                <c:pt idx="98">
                  <c:v>0.15107053409664581</c:v>
                </c:pt>
                <c:pt idx="99">
                  <c:v>0.17177113030139121</c:v>
                </c:pt>
                <c:pt idx="100">
                  <c:v>0.24292123499628235</c:v>
                </c:pt>
                <c:pt idx="101">
                  <c:v>0.13445248467496876</c:v>
                </c:pt>
                <c:pt idx="102">
                  <c:v>0.22851318865290629</c:v>
                </c:pt>
                <c:pt idx="103">
                  <c:v>0.18597375930946874</c:v>
                </c:pt>
                <c:pt idx="104">
                  <c:v>0.11093811976937847</c:v>
                </c:pt>
                <c:pt idx="105">
                  <c:v>6.2797035294332171E-2</c:v>
                </c:pt>
                <c:pt idx="106">
                  <c:v>0.1977893646133935</c:v>
                </c:pt>
                <c:pt idx="107">
                  <c:v>0.18290442409336344</c:v>
                </c:pt>
                <c:pt idx="108">
                  <c:v>0.11990054430765969</c:v>
                </c:pt>
                <c:pt idx="109">
                  <c:v>4.1321233219085644E-2</c:v>
                </c:pt>
                <c:pt idx="110">
                  <c:v>0.20271076639609029</c:v>
                </c:pt>
                <c:pt idx="111">
                  <c:v>0.19288808738905902</c:v>
                </c:pt>
                <c:pt idx="112">
                  <c:v>0.10717385091774304</c:v>
                </c:pt>
                <c:pt idx="113">
                  <c:v>4.0103593681964117E-2</c:v>
                </c:pt>
                <c:pt idx="114">
                  <c:v>4.3184152000157405E-2</c:v>
                </c:pt>
                <c:pt idx="115">
                  <c:v>7.6835387222951398E-2</c:v>
                </c:pt>
                <c:pt idx="116">
                  <c:v>0.17427961329440161</c:v>
                </c:pt>
                <c:pt idx="117">
                  <c:v>0.16162617129629631</c:v>
                </c:pt>
                <c:pt idx="118">
                  <c:v>6.5133991605655098E-2</c:v>
                </c:pt>
                <c:pt idx="119">
                  <c:v>5.4447661562240748E-2</c:v>
                </c:pt>
                <c:pt idx="120">
                  <c:v>8.4777117910732641E-2</c:v>
                </c:pt>
                <c:pt idx="121">
                  <c:v>3.4642393055554395E-2</c:v>
                </c:pt>
                <c:pt idx="122">
                  <c:v>2.1178106889785882E-2</c:v>
                </c:pt>
                <c:pt idx="123">
                  <c:v>6.4765804588292841E-2</c:v>
                </c:pt>
                <c:pt idx="124">
                  <c:v>7.3436186551348384E-2</c:v>
                </c:pt>
                <c:pt idx="125">
                  <c:v>4.6565507074513887E-2</c:v>
                </c:pt>
                <c:pt idx="126">
                  <c:v>2.8553051391461803E-2</c:v>
                </c:pt>
                <c:pt idx="127">
                  <c:v>1.5806332184016204E-2</c:v>
                </c:pt>
                <c:pt idx="128">
                  <c:v>5.3029650578703701E-2</c:v>
                </c:pt>
                <c:pt idx="129">
                  <c:v>3.2925337687387729E-2</c:v>
                </c:pt>
                <c:pt idx="130">
                  <c:v>2.609252354096412E-2</c:v>
                </c:pt>
                <c:pt idx="131">
                  <c:v>2.1433772317707177E-2</c:v>
                </c:pt>
                <c:pt idx="132">
                  <c:v>2.7212371334876154E-2</c:v>
                </c:pt>
                <c:pt idx="133">
                  <c:v>2.3167494919788194E-2</c:v>
                </c:pt>
                <c:pt idx="134">
                  <c:v>2.5243225413358796E-2</c:v>
                </c:pt>
                <c:pt idx="135">
                  <c:v>5.3240740740740734E-2</c:v>
                </c:pt>
                <c:pt idx="136">
                  <c:v>2.0019865214170138E-2</c:v>
                </c:pt>
                <c:pt idx="137">
                  <c:v>7.0345404544340283E-3</c:v>
                </c:pt>
                <c:pt idx="138">
                  <c:v>1.6479941216228009E-2</c:v>
                </c:pt>
                <c:pt idx="139">
                  <c:v>1.3491252479339121E-2</c:v>
                </c:pt>
                <c:pt idx="140">
                  <c:v>1.0439570892692127E-2</c:v>
                </c:pt>
                <c:pt idx="141">
                  <c:v>1.4796444438579861E-2</c:v>
                </c:pt>
                <c:pt idx="142">
                  <c:v>3.0729166666666669E-2</c:v>
                </c:pt>
                <c:pt idx="143">
                  <c:v>1.4918361111111111E-2</c:v>
                </c:pt>
                <c:pt idx="144">
                  <c:v>1.4765462451243057E-2</c:v>
                </c:pt>
                <c:pt idx="145">
                  <c:v>1.4079991411299769E-2</c:v>
                </c:pt>
                <c:pt idx="146">
                  <c:v>1.75687819033125E-2</c:v>
                </c:pt>
                <c:pt idx="147">
                  <c:v>9.8840368827152782E-3</c:v>
                </c:pt>
                <c:pt idx="148">
                  <c:v>7.3965009563761574E-3</c:v>
                </c:pt>
                <c:pt idx="149">
                  <c:v>6.7291046588344901E-3</c:v>
                </c:pt>
                <c:pt idx="150">
                  <c:v>8.4546867766203734E-3</c:v>
                </c:pt>
                <c:pt idx="151">
                  <c:v>7.6129392728599542E-3</c:v>
                </c:pt>
                <c:pt idx="152">
                  <c:v>1.4992047295875E-2</c:v>
                </c:pt>
                <c:pt idx="153">
                  <c:v>6.3045190972222222E-3</c:v>
                </c:pt>
                <c:pt idx="154">
                  <c:v>6.0895844907407409E-3</c:v>
                </c:pt>
                <c:pt idx="155">
                  <c:v>7.0166385582002312E-3</c:v>
                </c:pt>
                <c:pt idx="156">
                  <c:v>1.0963466435185185E-2</c:v>
                </c:pt>
                <c:pt idx="157">
                  <c:v>4.3514025159814805E-3</c:v>
                </c:pt>
                <c:pt idx="158">
                  <c:v>3.6857294688784725E-3</c:v>
                </c:pt>
                <c:pt idx="159">
                  <c:v>3.7534625334571759E-3</c:v>
                </c:pt>
                <c:pt idx="160">
                  <c:v>1.5754241734849536E-3</c:v>
                </c:pt>
                <c:pt idx="161">
                  <c:v>4.6004789173622685E-3</c:v>
                </c:pt>
                <c:pt idx="162">
                  <c:v>2.8090034722222218E-3</c:v>
                </c:pt>
                <c:pt idx="163">
                  <c:v>4.4808571566342589E-3</c:v>
                </c:pt>
                <c:pt idx="164">
                  <c:v>5.0578043981481481E-3</c:v>
                </c:pt>
                <c:pt idx="165">
                  <c:v>2.6354533179004627E-3</c:v>
                </c:pt>
                <c:pt idx="166">
                  <c:v>1.245953060699074E-3</c:v>
                </c:pt>
                <c:pt idx="167">
                  <c:v>7.3607970331365736E-4</c:v>
                </c:pt>
                <c:pt idx="168">
                  <c:v>1.3605937086631945E-3</c:v>
                </c:pt>
                <c:pt idx="169">
                  <c:v>1.2859243827152776E-3</c:v>
                </c:pt>
                <c:pt idx="170">
                  <c:v>3.1551041666666663E-3</c:v>
                </c:pt>
                <c:pt idx="171">
                  <c:v>1.4684971064814816E-3</c:v>
                </c:pt>
                <c:pt idx="172">
                  <c:v>1.4823460648148152E-3</c:v>
                </c:pt>
                <c:pt idx="173">
                  <c:v>1.3620630787037039E-3</c:v>
                </c:pt>
                <c:pt idx="174">
                  <c:v>1.2827916666666665E-3</c:v>
                </c:pt>
                <c:pt idx="175">
                  <c:v>6.9829868825694457E-4</c:v>
                </c:pt>
                <c:pt idx="176">
                  <c:v>1.134204861111111E-3</c:v>
                </c:pt>
                <c:pt idx="177">
                  <c:v>8.7029282407407422E-4</c:v>
                </c:pt>
                <c:pt idx="178">
                  <c:v>9.3749999999999997E-4</c:v>
                </c:pt>
                <c:pt idx="179">
                  <c:v>5.724803240740741E-4</c:v>
                </c:pt>
                <c:pt idx="180">
                  <c:v>5.8795486111111103E-4</c:v>
                </c:pt>
                <c:pt idx="181">
                  <c:v>4.4822164351851848E-4</c:v>
                </c:pt>
                <c:pt idx="182">
                  <c:v>4.1666666666666664E-4</c:v>
                </c:pt>
                <c:pt idx="183">
                  <c:v>3.5057060185185186E-4</c:v>
                </c:pt>
                <c:pt idx="184">
                  <c:v>3.0909375000000002E-4</c:v>
                </c:pt>
                <c:pt idx="185">
                  <c:v>1.2607986111111112E-4</c:v>
                </c:pt>
                <c:pt idx="186">
                  <c:v>1.3888888888888892E-4</c:v>
                </c:pt>
                <c:pt idx="187">
                  <c:v>2.0833333333333332E-4</c:v>
                </c:pt>
                <c:pt idx="188">
                  <c:v>9.6674768518518507E-5</c:v>
                </c:pt>
                <c:pt idx="189">
                  <c:v>1.0416666666666669E-4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82-45B5-B9EA-61669AF4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551119"/>
        <c:axId val="979570319"/>
      </c:lineChart>
      <c:catAx>
        <c:axId val="97955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Prozess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979570319"/>
        <c:crosses val="autoZero"/>
        <c:auto val="1"/>
        <c:lblAlgn val="ctr"/>
        <c:lblOffset val="100"/>
        <c:noMultiLvlLbl val="0"/>
      </c:catAx>
      <c:valAx>
        <c:axId val="9795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97955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62889389748726"/>
          <c:y val="0.8973782266154513"/>
          <c:w val="0.57674210419384719"/>
          <c:h val="0.10081249124601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v9.xlsx]Prozesslaufzeiten nach Monaten!PivotTable4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des monatlichen Bot-Bedards nach Prozessgruppenzusammensetzung</a:t>
            </a:r>
          </a:p>
        </c:rich>
      </c:tx>
      <c:layout>
        <c:manualLayout>
          <c:xMode val="edge"/>
          <c:yMode val="edge"/>
          <c:x val="0.19320327866818066"/>
          <c:y val="7.2923648461129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602017832877278E-2"/>
          <c:y val="0.1459128349402331"/>
          <c:w val="0.90306149674553093"/>
          <c:h val="0.65148369250267757"/>
        </c:manualLayout>
      </c:layout>
      <c:lineChart>
        <c:grouping val="standard"/>
        <c:varyColors val="0"/>
        <c:ser>
          <c:idx val="0"/>
          <c:order val="0"/>
          <c:tx>
            <c:strRef>
              <c:f>'Prozesslaufzeiten nach Monaten'!$B$3</c:f>
              <c:strCache>
                <c:ptCount val="1"/>
                <c:pt idx="0">
                  <c:v>Je ein Prozess je Prozessgruppe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'Prozesslaufzeiten nach Monaten'!$A$4:$A$16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'Prozesslaufzeiten nach Monaten'!$B$4:$B$16</c:f>
              <c:numCache>
                <c:formatCode>General</c:formatCode>
                <c:ptCount val="12"/>
                <c:pt idx="0">
                  <c:v>284</c:v>
                </c:pt>
                <c:pt idx="1">
                  <c:v>257</c:v>
                </c:pt>
                <c:pt idx="2">
                  <c:v>252</c:v>
                </c:pt>
                <c:pt idx="3">
                  <c:v>275</c:v>
                </c:pt>
                <c:pt idx="4">
                  <c:v>238</c:v>
                </c:pt>
                <c:pt idx="5">
                  <c:v>253</c:v>
                </c:pt>
                <c:pt idx="6">
                  <c:v>250</c:v>
                </c:pt>
                <c:pt idx="7">
                  <c:v>244</c:v>
                </c:pt>
                <c:pt idx="8">
                  <c:v>238</c:v>
                </c:pt>
                <c:pt idx="9">
                  <c:v>247</c:v>
                </c:pt>
                <c:pt idx="10">
                  <c:v>249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B-4F01-BDA2-09E6C6870B59}"/>
            </c:ext>
          </c:extLst>
        </c:ser>
        <c:ser>
          <c:idx val="1"/>
          <c:order val="1"/>
          <c:tx>
            <c:strRef>
              <c:f>'Prozesslaufzeiten nach Monaten'!$C$3</c:f>
              <c:strCache>
                <c:ptCount val="1"/>
                <c:pt idx="0">
                  <c:v>Alle Prozesse in einer Prozessgruppe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'Prozesslaufzeiten nach Monaten'!$A$4:$A$16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'Prozesslaufzeiten nach Monaten'!$C$4:$C$16</c:f>
              <c:numCache>
                <c:formatCode>0</c:formatCode>
                <c:ptCount val="12"/>
                <c:pt idx="0">
                  <c:v>156.01269444444452</c:v>
                </c:pt>
                <c:pt idx="1">
                  <c:v>170.40174712500016</c:v>
                </c:pt>
                <c:pt idx="2">
                  <c:v>162.93750166666675</c:v>
                </c:pt>
                <c:pt idx="3">
                  <c:v>177.2239139444444</c:v>
                </c:pt>
                <c:pt idx="4">
                  <c:v>147.68372055555565</c:v>
                </c:pt>
                <c:pt idx="5">
                  <c:v>158.0592455972222</c:v>
                </c:pt>
                <c:pt idx="6">
                  <c:v>152.66847259722221</c:v>
                </c:pt>
                <c:pt idx="7">
                  <c:v>154.58099604166657</c:v>
                </c:pt>
                <c:pt idx="8">
                  <c:v>147.42485434722221</c:v>
                </c:pt>
                <c:pt idx="9">
                  <c:v>156.95798579166669</c:v>
                </c:pt>
                <c:pt idx="10">
                  <c:v>154.29343427777772</c:v>
                </c:pt>
                <c:pt idx="11">
                  <c:v>155.49388468055542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1B-4F01-BDA2-09E6C687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178447"/>
        <c:axId val="1225180847"/>
      </c:lineChart>
      <c:catAx>
        <c:axId val="122517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Monate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25180847"/>
        <c:crosses val="autoZero"/>
        <c:auto val="1"/>
        <c:lblAlgn val="ctr"/>
        <c:lblOffset val="100"/>
        <c:noMultiLvlLbl val="0"/>
      </c:catAx>
      <c:valAx>
        <c:axId val="12251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251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619540465243263"/>
          <c:y val="0.87427539528877429"/>
          <c:w val="0.71469754223984416"/>
          <c:h val="0.10784028788330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895352</xdr:colOff>
      <xdr:row>4</xdr:row>
      <xdr:rowOff>33337</xdr:rowOff>
    </xdr:from>
    <xdr:to>
      <xdr:col>8</xdr:col>
      <xdr:colOff>942975</xdr:colOff>
      <xdr:row>27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438E02-7D21-FD66-9CAF-6A4CD3FB9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10</xdr:row>
      <xdr:rowOff>47625</xdr:rowOff>
    </xdr:from>
    <xdr:to>
      <xdr:col>17</xdr:col>
      <xdr:colOff>342900</xdr:colOff>
      <xdr:row>31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F6100AE-BE91-9225-8711-B9902CA8B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2</xdr:row>
      <xdr:rowOff>33337</xdr:rowOff>
    </xdr:from>
    <xdr:to>
      <xdr:col>15</xdr:col>
      <xdr:colOff>295275</xdr:colOff>
      <xdr:row>23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92A3484-C15E-39F0-8AAB-A6439DB55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5.96132858796" createdVersion="8" refreshedVersion="8" minRefreshableVersion="3" recordCount="159" xr:uid="{435977E7-5FBE-4417-B97E-B61A34BB5F61}">
  <cacheSource type="worksheet">
    <worksheetSource ref="A1:F1048576" sheet="Monatslaufzeiten"/>
  </cacheSource>
  <cacheFields count="6">
    <cacheField name="Prozess_PID" numFmtId="0">
      <sharedItems containsString="0" containsBlank="1" containsNumber="1" containsInteger="1" minValue="1000" maxValue="1166" count="158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5"/>
        <n v="1138"/>
        <n v="1139"/>
        <n v="1140"/>
        <n v="1141"/>
        <n v="1142"/>
        <n v="1143"/>
        <n v="1146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m/>
      </sharedItems>
    </cacheField>
    <cacheField name="Anzahl" numFmtId="0">
      <sharedItems containsString="0" containsBlank="1" containsNumber="1" containsInteger="1" minValue="1" maxValue="31"/>
    </cacheField>
    <cacheField name="Laufzeit_max_rund" numFmtId="0">
      <sharedItems containsString="0" containsBlank="1" containsNumber="1" minValue="3.6111111111111114E-3" maxValue="170.80083333333332"/>
    </cacheField>
    <cacheField name="Laufzeit_mean_rund" numFmtId="0">
      <sharedItems containsString="0" containsBlank="1" containsNumber="1" minValue="3.6111111111111114E-3" maxValue="155.71"/>
    </cacheField>
    <cacheField name="VDI-Auslastung_Max" numFmtId="0">
      <sharedItems containsString="0" containsBlank="1" containsNumber="1" minValue="1.8055555555555557E-4" maxValue="8.5400416666666654"/>
    </cacheField>
    <cacheField name="VDI-Auslastung_Mean" numFmtId="0">
      <sharedItems containsString="0" containsBlank="1" containsNumber="1" minValue="0" maxValue="7.7855000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6.830934027777" createdVersion="8" refreshedVersion="8" minRefreshableVersion="3" recordCount="1848" xr:uid="{5E2FFAB5-E096-4827-86E9-9ECAB37C2F15}">
  <cacheSource type="worksheet">
    <worksheetSource ref="A1:F1849" sheet="Jahreslaufzeiten"/>
  </cacheSource>
  <cacheFields count="9">
    <cacheField name="Prozess_ID" numFmtId="0">
      <sharedItems containsSemiMixedTypes="0" containsString="0" containsNumber="1" containsInteger="1" minValue="1000" maxValue="1189" count="190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Laufzeit_max" numFmtId="0">
      <sharedItems containsSemiMixedTypes="0" containsString="0" containsNumber="1" minValue="0" maxValue="173.30866138888891"/>
    </cacheField>
    <cacheField name="Laufzeit_mean" numFmtId="0">
      <sharedItems containsSemiMixedTypes="0" containsString="0" containsNumber="1" minValue="0" maxValue="167.0940138888889"/>
    </cacheField>
    <cacheField name="VDI-Auslastung_Max" numFmtId="0">
      <sharedItems containsSemiMixedTypes="0" containsString="0" containsNumber="1" minValue="0" maxValue="0.72211942245370375"/>
    </cacheField>
    <cacheField name="VDI-Auslastung_Mean" numFmtId="0">
      <sharedItems containsSemiMixedTypes="0" containsString="0" containsNumber="1" minValue="0" maxValue="0.69622505787037037"/>
    </cacheField>
    <cacheField name="Monatsauslastung_Max" numFmtId="0" formula="'VDI-Auslastung_Max'*12" databaseField="0"/>
    <cacheField name="Monatsauslastung_Mean" numFmtId="0" formula="'VDI-Auslastung_Mean'*12" databaseField="0"/>
    <cacheField name="Tagesmax" numFmtId="0" formula="Laufzeit_max/2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6.921961342596" createdVersion="8" refreshedVersion="8" minRefreshableVersion="3" recordCount="1850" xr:uid="{E3F8C79B-5F55-4E31-B302-D24FD83CD9A9}">
  <cacheSource type="worksheet">
    <worksheetSource ref="A1:H1048576" sheet="Jahreslaufzeiten"/>
  </cacheSource>
  <cacheFields count="8">
    <cacheField name="Prozess_ID" numFmtId="0">
      <sharedItems containsString="0" containsBlank="1" containsNumber="1" containsInteger="1" minValue="1000" maxValue="1189"/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Laufzeit_max" numFmtId="0">
      <sharedItems containsString="0" containsBlank="1" containsNumber="1" minValue="0" maxValue="173.30866138888891"/>
    </cacheField>
    <cacheField name="Laufzeit_mean" numFmtId="0">
      <sharedItems containsString="0" containsBlank="1" containsNumber="1" minValue="0" maxValue="167.0940138888889"/>
    </cacheField>
    <cacheField name="VDI-Auslastung_Max" numFmtId="0">
      <sharedItems containsString="0" containsBlank="1" containsNumber="1" minValue="0" maxValue="0.72211942245370375"/>
    </cacheField>
    <cacheField name="VDI-Auslastung_Mean" numFmtId="0">
      <sharedItems containsString="0" containsBlank="1" containsNumber="1" minValue="0" maxValue="0.69622505787037037"/>
    </cacheField>
    <cacheField name="VDI-Auslastung bei 1 Prozess je Pool" numFmtId="0">
      <sharedItems containsString="0" containsBlank="1" containsNumber="1" containsInteger="1" minValue="0" maxValue="9"/>
    </cacheField>
    <cacheField name="VDI-Auslastung bei einem Pool mit allen Prozessen" numFmtId="0">
      <sharedItems containsString="0" containsBlank="1" containsNumber="1" minValue="0" maxValue="8.6654330694444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n v="10"/>
    <n v="170.80083333333332"/>
    <n v="155.71"/>
    <n v="8.5400416666666654"/>
    <n v="7.7855000000000008"/>
  </r>
  <r>
    <x v="1"/>
    <n v="21"/>
    <n v="166.73361111111112"/>
    <n v="29.003611111111113"/>
    <n v="8.3366805555555565"/>
    <n v="1.4501805555555556"/>
  </r>
  <r>
    <x v="2"/>
    <n v="23"/>
    <n v="158.68972222222223"/>
    <n v="94.839999999999989"/>
    <n v="7.9344861111111111"/>
    <n v="4.7419999999999991"/>
  </r>
  <r>
    <x v="3"/>
    <n v="21"/>
    <n v="156.95416666666668"/>
    <n v="103.00722222222223"/>
    <n v="7.8477083333333342"/>
    <n v="5.1503611111111116"/>
  </r>
  <r>
    <x v="4"/>
    <n v="24"/>
    <n v="118.13194444444444"/>
    <n v="60.417777777777779"/>
    <n v="5.9065972222222225"/>
    <n v="3.020888888888889"/>
  </r>
  <r>
    <x v="5"/>
    <n v="21"/>
    <n v="105.38027777777778"/>
    <n v="44.493055555555557"/>
    <n v="5.2690138888888889"/>
    <n v="2.224652777777778"/>
  </r>
  <r>
    <x v="6"/>
    <n v="22"/>
    <n v="91.901388888888889"/>
    <n v="89.589722222222221"/>
    <n v="4.5950694444444444"/>
    <n v="4.4794861111111111"/>
  </r>
  <r>
    <x v="7"/>
    <n v="21"/>
    <n v="85.619166666666658"/>
    <n v="32.06444444444444"/>
    <n v="4.2809583333333325"/>
    <n v="1.6032222222222221"/>
  </r>
  <r>
    <x v="8"/>
    <n v="21"/>
    <n v="77.984722222222217"/>
    <n v="54.564722222222223"/>
    <n v="3.8992361111111107"/>
    <n v="2.7282361111111113"/>
  </r>
  <r>
    <x v="9"/>
    <n v="21"/>
    <n v="76.821944444444441"/>
    <n v="50.663611111111109"/>
    <n v="3.8410972222222219"/>
    <n v="2.5331805555555555"/>
  </r>
  <r>
    <x v="10"/>
    <n v="21"/>
    <n v="74.748611111111117"/>
    <n v="71.8"/>
    <n v="3.737430555555556"/>
    <n v="3.59"/>
  </r>
  <r>
    <x v="11"/>
    <n v="21"/>
    <n v="73.943888888888893"/>
    <n v="73.634722222222223"/>
    <n v="3.6971944444444444"/>
    <n v="3.6817361111111113"/>
  </r>
  <r>
    <x v="12"/>
    <n v="31"/>
    <n v="72.130277777777778"/>
    <n v="69.391111111111101"/>
    <n v="3.6065138888888888"/>
    <n v="3.4695555555555551"/>
  </r>
  <r>
    <x v="13"/>
    <n v="21"/>
    <n v="71.924722222222229"/>
    <n v="54.774722222222216"/>
    <n v="3.5962361111111116"/>
    <n v="2.7387361111111108"/>
  </r>
  <r>
    <x v="14"/>
    <n v="21"/>
    <n v="67.720833333333331"/>
    <n v="18.074444444444445"/>
    <n v="3.3860416666666664"/>
    <n v="0.90372222222222232"/>
  </r>
  <r>
    <x v="15"/>
    <n v="21"/>
    <n v="63.041388888888882"/>
    <n v="47.063055555555557"/>
    <n v="3.1520694444444439"/>
    <n v="2.3531527777777779"/>
  </r>
  <r>
    <x v="16"/>
    <n v="21"/>
    <n v="58.310555555555553"/>
    <n v="42.429166666666667"/>
    <n v="2.9155277777777777"/>
    <n v="2.1214583333333334"/>
  </r>
  <r>
    <x v="17"/>
    <n v="17"/>
    <n v="56.18888888888889"/>
    <n v="3.3888888888888888"/>
    <n v="2.8094444444444444"/>
    <n v="0.16944444444444445"/>
  </r>
  <r>
    <x v="18"/>
    <n v="21"/>
    <n v="55.323888888888888"/>
    <n v="55.182499999999997"/>
    <n v="2.7661944444444444"/>
    <n v="2.759125"/>
  </r>
  <r>
    <x v="19"/>
    <n v="21"/>
    <n v="54.232222222222227"/>
    <n v="35.337499999999999"/>
    <n v="2.7116111111111114"/>
    <n v="1.766875"/>
  </r>
  <r>
    <x v="20"/>
    <n v="21"/>
    <n v="52.944444444444443"/>
    <n v="44.343611111111116"/>
    <n v="2.6472222222222221"/>
    <n v="2.2171805555555557"/>
  </r>
  <r>
    <x v="21"/>
    <n v="21"/>
    <n v="45.768055555555556"/>
    <n v="21.098055555555558"/>
    <n v="2.2884027777777778"/>
    <n v="1.054902777777778"/>
  </r>
  <r>
    <x v="22"/>
    <n v="21"/>
    <n v="43.709444444444443"/>
    <n v="36.383055555555551"/>
    <n v="2.1854722222222223"/>
    <n v="1.8191527777777776"/>
  </r>
  <r>
    <x v="23"/>
    <n v="21"/>
    <n v="42.918333333333329"/>
    <n v="11.260833333333332"/>
    <n v="2.1459166666666665"/>
    <n v="0.56304166666666666"/>
  </r>
  <r>
    <x v="24"/>
    <n v="21"/>
    <n v="41.889166666666668"/>
    <n v="41.718611111111116"/>
    <n v="2.0944583333333333"/>
    <n v="2.0859305555555556"/>
  </r>
  <r>
    <x v="25"/>
    <n v="21"/>
    <n v="41.376944444444447"/>
    <n v="29.84"/>
    <n v="2.0688472222222223"/>
    <n v="1.492"/>
  </r>
  <r>
    <x v="26"/>
    <n v="21"/>
    <n v="40.821666666666673"/>
    <n v="37.365833333333327"/>
    <n v="2.0410833333333338"/>
    <n v="1.8682916666666665"/>
  </r>
  <r>
    <x v="27"/>
    <n v="21"/>
    <n v="40.253888888888888"/>
    <n v="39.632222222222225"/>
    <n v="2.0126944444444446"/>
    <n v="1.9816111111111112"/>
  </r>
  <r>
    <x v="28"/>
    <n v="26"/>
    <n v="40.138888888888893"/>
    <n v="28.671666666666667"/>
    <n v="2.0069444444444446"/>
    <n v="1.4335833333333334"/>
  </r>
  <r>
    <x v="29"/>
    <n v="22"/>
    <n v="39.699444444444445"/>
    <n v="25.024722222222223"/>
    <n v="1.9849722222222224"/>
    <n v="1.2512361111111112"/>
  </r>
  <r>
    <x v="30"/>
    <n v="21"/>
    <n v="39.25"/>
    <n v="38.42722222222222"/>
    <n v="1.9624999999999999"/>
    <n v="1.9213611111111111"/>
  </r>
  <r>
    <x v="31"/>
    <n v="21"/>
    <n v="35.924166666666665"/>
    <n v="33.057222222222222"/>
    <n v="1.7962083333333332"/>
    <n v="1.6528611111111111"/>
  </r>
  <r>
    <x v="32"/>
    <n v="21"/>
    <n v="35.793333333333329"/>
    <n v="32.171111111111109"/>
    <n v="1.7896666666666665"/>
    <n v="1.6085555555555555"/>
  </r>
  <r>
    <x v="33"/>
    <n v="21"/>
    <n v="35.363611111111112"/>
    <n v="33.680833333333332"/>
    <n v="1.7681805555555556"/>
    <n v="1.6840416666666667"/>
  </r>
  <r>
    <x v="34"/>
    <n v="21"/>
    <n v="33.053333333333335"/>
    <n v="16.858611111111109"/>
    <n v="1.6526666666666667"/>
    <n v="0.84293055555555552"/>
  </r>
  <r>
    <x v="35"/>
    <n v="21"/>
    <n v="30.498333333333335"/>
    <n v="21.93277777777778"/>
    <n v="1.5249166666666667"/>
    <n v="1.0966388888888889"/>
  </r>
  <r>
    <x v="36"/>
    <n v="21"/>
    <n v="30.353055555555557"/>
    <n v="29.454722222222223"/>
    <n v="1.5176527777777777"/>
    <n v="1.4727361111111112"/>
  </r>
  <r>
    <x v="37"/>
    <n v="21"/>
    <n v="29.726111111111109"/>
    <n v="19.748888888888889"/>
    <n v="1.4863055555555555"/>
    <n v="0.98744444444444446"/>
  </r>
  <r>
    <x v="38"/>
    <n v="21"/>
    <n v="29.398611111111112"/>
    <n v="28.929722222222221"/>
    <n v="1.4699305555555555"/>
    <n v="1.4464861111111111"/>
  </r>
  <r>
    <x v="39"/>
    <n v="3"/>
    <n v="27.909444444444443"/>
    <n v="11.8025"/>
    <n v="1.3954722222222222"/>
    <n v="0.59012500000000001"/>
  </r>
  <r>
    <x v="40"/>
    <n v="21"/>
    <n v="27.694444444444446"/>
    <n v="7.2580555555555559"/>
    <n v="1.3847222222222224"/>
    <n v="0.3629027777777778"/>
  </r>
  <r>
    <x v="41"/>
    <n v="21"/>
    <n v="26.662777777777777"/>
    <n v="6.6977777777777776"/>
    <n v="1.3331388888888889"/>
    <n v="0.3348888888888889"/>
  </r>
  <r>
    <x v="42"/>
    <n v="21"/>
    <n v="26.104444444444443"/>
    <n v="25.866944444444446"/>
    <n v="1.3052222222222221"/>
    <n v="1.2933472222222222"/>
  </r>
  <r>
    <x v="43"/>
    <n v="21"/>
    <n v="25.714722222222225"/>
    <n v="25.201111111111111"/>
    <n v="1.2857361111111112"/>
    <n v="1.2600555555555555"/>
  </r>
  <r>
    <x v="44"/>
    <n v="21"/>
    <n v="25.491944444444446"/>
    <n v="24.548333333333336"/>
    <n v="1.2745972222222224"/>
    <n v="1.2274166666666668"/>
  </r>
  <r>
    <x v="45"/>
    <n v="21"/>
    <n v="23.407777777777778"/>
    <n v="23.046388888888888"/>
    <n v="1.1703888888888889"/>
    <n v="1.1523194444444445"/>
  </r>
  <r>
    <x v="46"/>
    <n v="21"/>
    <n v="23.115000000000002"/>
    <n v="20.033888888888889"/>
    <n v="1.1557500000000001"/>
    <n v="1.0016944444444444"/>
  </r>
  <r>
    <x v="47"/>
    <n v="21"/>
    <n v="22.825277777777778"/>
    <n v="22.711111111111112"/>
    <n v="1.1412638888888889"/>
    <n v="1.1355555555555557"/>
  </r>
  <r>
    <x v="48"/>
    <n v="21"/>
    <n v="20.398611111111112"/>
    <n v="17.150833333333331"/>
    <n v="1.0199305555555556"/>
    <n v="0.85754166666666654"/>
  </r>
  <r>
    <x v="49"/>
    <n v="21"/>
    <n v="19.928888888888888"/>
    <n v="19.489722222222223"/>
    <n v="0.99644444444444447"/>
    <n v="0.97448611111111116"/>
  </r>
  <r>
    <x v="50"/>
    <n v="21"/>
    <n v="18.65388888888889"/>
    <n v="18.334444444444443"/>
    <n v="0.93269444444444449"/>
    <n v="0.91672222222222222"/>
  </r>
  <r>
    <x v="51"/>
    <n v="21"/>
    <n v="18.347222222222221"/>
    <n v="3.223611111111111"/>
    <n v="0.91736111111111107"/>
    <n v="0.16118055555555555"/>
  </r>
  <r>
    <x v="52"/>
    <n v="20"/>
    <n v="17.882222222222222"/>
    <n v="9.6291666666666664"/>
    <n v="0.89411111111111108"/>
    <n v="0.48145833333333332"/>
  </r>
  <r>
    <x v="53"/>
    <n v="21"/>
    <n v="17.863888888888887"/>
    <n v="8.3152777777777782"/>
    <n v="0.8931944444444444"/>
    <n v="0.41576388888888893"/>
  </r>
  <r>
    <x v="54"/>
    <n v="21"/>
    <n v="16.688611111111111"/>
    <n v="9.6472222222222221"/>
    <n v="0.83443055555555556"/>
    <n v="0.48236111111111113"/>
  </r>
  <r>
    <x v="55"/>
    <n v="21"/>
    <n v="15.782222222222222"/>
    <n v="15.612222222222222"/>
    <n v="0.7891111111111111"/>
    <n v="0.78061111111111114"/>
  </r>
  <r>
    <x v="56"/>
    <n v="21"/>
    <n v="14.731944444444444"/>
    <n v="8.9302777777777784"/>
    <n v="0.73659722222222224"/>
    <n v="0.44651388888888893"/>
  </r>
  <r>
    <x v="57"/>
    <n v="21"/>
    <n v="14.496388888888889"/>
    <n v="5.9786111111111104"/>
    <n v="0.72481944444444446"/>
    <n v="0.29893055555555553"/>
  </r>
  <r>
    <x v="58"/>
    <n v="21"/>
    <n v="14.174166666666668"/>
    <n v="10.479166666666666"/>
    <n v="0.70870833333333338"/>
    <n v="0.5239583333333333"/>
  </r>
  <r>
    <x v="59"/>
    <n v="21"/>
    <n v="14.060833333333333"/>
    <n v="2.1902777777777778"/>
    <n v="0.70304166666666668"/>
    <n v="0.10951388888888888"/>
  </r>
  <r>
    <x v="60"/>
    <n v="21"/>
    <n v="14.02638888888889"/>
    <n v="13.770555555555555"/>
    <n v="0.7013194444444445"/>
    <n v="0.68852777777777774"/>
  </r>
  <r>
    <x v="61"/>
    <n v="21"/>
    <n v="13.689166666666667"/>
    <n v="12.836388888888887"/>
    <n v="0.68445833333333339"/>
    <n v="0.64181944444444439"/>
  </r>
  <r>
    <x v="62"/>
    <n v="21"/>
    <n v="13.630833333333333"/>
    <n v="13.290277777777778"/>
    <n v="0.68154166666666671"/>
    <n v="0.66451388888888885"/>
  </r>
  <r>
    <x v="63"/>
    <n v="21"/>
    <n v="13.432777777777778"/>
    <n v="13.3225"/>
    <n v="0.6716388888888889"/>
    <n v="0.66612499999999997"/>
  </r>
  <r>
    <x v="64"/>
    <n v="21"/>
    <n v="12.59138888888889"/>
    <n v="12.431666666666667"/>
    <n v="0.62956944444444451"/>
    <n v="0.62158333333333338"/>
  </r>
  <r>
    <x v="65"/>
    <n v="21"/>
    <n v="12.513333333333332"/>
    <n v="12.416944444444445"/>
    <n v="0.62566666666666659"/>
    <n v="0.62084722222222222"/>
  </r>
  <r>
    <x v="66"/>
    <n v="21"/>
    <n v="12.497777777777777"/>
    <n v="11.495277777777778"/>
    <n v="0.62488888888888883"/>
    <n v="0.57476388888888885"/>
  </r>
  <r>
    <x v="67"/>
    <n v="21"/>
    <n v="12.488055555555555"/>
    <n v="6.3327777777777774"/>
    <n v="0.62440277777777775"/>
    <n v="0.31663888888888886"/>
  </r>
  <r>
    <x v="68"/>
    <n v="21"/>
    <n v="12.360000000000001"/>
    <n v="11.49"/>
    <n v="0.6180000000000001"/>
    <n v="0.57450000000000001"/>
  </r>
  <r>
    <x v="69"/>
    <n v="18"/>
    <n v="12.159444444444444"/>
    <n v="3.415"/>
    <n v="0.60797222222222225"/>
    <n v="0.17075000000000001"/>
  </r>
  <r>
    <x v="70"/>
    <n v="21"/>
    <n v="12.039722222222222"/>
    <n v="11.839722222222223"/>
    <n v="0.60198611111111111"/>
    <n v="0.5919861111111111"/>
  </r>
  <r>
    <x v="71"/>
    <n v="21"/>
    <n v="12.018333333333334"/>
    <n v="11.49"/>
    <n v="0.60091666666666677"/>
    <n v="0.57450000000000001"/>
  </r>
  <r>
    <x v="72"/>
    <n v="21"/>
    <n v="12.013611111111112"/>
    <n v="3.9138888888888892"/>
    <n v="0.60068055555555566"/>
    <n v="0.19569444444444445"/>
  </r>
  <r>
    <x v="73"/>
    <n v="21"/>
    <n v="12.000555555555556"/>
    <n v="10.833055555555555"/>
    <n v="0.60002777777777783"/>
    <n v="0.54165277777777776"/>
  </r>
  <r>
    <x v="74"/>
    <n v="21"/>
    <n v="11.977499999999999"/>
    <n v="2.0219444444444443"/>
    <n v="0.59887499999999994"/>
    <n v="0.10109722222222221"/>
  </r>
  <r>
    <x v="75"/>
    <n v="21"/>
    <n v="11.971388888888889"/>
    <n v="11.67"/>
    <n v="0.59856944444444449"/>
    <n v="0.58350000000000002"/>
  </r>
  <r>
    <x v="76"/>
    <n v="21"/>
    <n v="11.952499999999999"/>
    <n v="11.331666666666667"/>
    <n v="0.59762499999999996"/>
    <n v="0.56658333333333333"/>
  </r>
  <r>
    <x v="77"/>
    <n v="21"/>
    <n v="11.934722222222224"/>
    <n v="11.746388888888889"/>
    <n v="0.59673611111111113"/>
    <n v="0.58731944444444451"/>
  </r>
  <r>
    <x v="78"/>
    <n v="21"/>
    <n v="11.928333333333335"/>
    <n v="11.525833333333333"/>
    <n v="0.59641666666666671"/>
    <n v="0.57629166666666665"/>
  </r>
  <r>
    <x v="79"/>
    <n v="21"/>
    <n v="11.487500000000001"/>
    <n v="3.8386111111111112"/>
    <n v="0.57437500000000008"/>
    <n v="0.19193055555555555"/>
  </r>
  <r>
    <x v="80"/>
    <n v="20"/>
    <n v="11.156388888888889"/>
    <n v="10.673333333333334"/>
    <n v="0.55781944444444442"/>
    <n v="0.53366666666666673"/>
  </r>
  <r>
    <x v="81"/>
    <n v="26"/>
    <n v="11.110833333333334"/>
    <n v="1.5388888888888888"/>
    <n v="0.55554166666666671"/>
    <n v="7.694444444444444E-2"/>
  </r>
  <r>
    <x v="82"/>
    <n v="21"/>
    <n v="10.985833333333334"/>
    <n v="10.878888888888889"/>
    <n v="0.54929166666666673"/>
    <n v="0.54394444444444445"/>
  </r>
  <r>
    <x v="83"/>
    <n v="21"/>
    <n v="10.947777777777778"/>
    <n v="10.466111111111111"/>
    <n v="0.54738888888888892"/>
    <n v="0.52330555555555558"/>
  </r>
  <r>
    <x v="84"/>
    <n v="21"/>
    <n v="10.903611111111111"/>
    <n v="9.9505555555555549"/>
    <n v="0.54518055555555556"/>
    <n v="0.49752777777777774"/>
  </r>
  <r>
    <x v="85"/>
    <n v="21"/>
    <n v="10.822222222222223"/>
    <n v="7.3030555555555559"/>
    <n v="0.5411111111111111"/>
    <n v="0.36515277777777777"/>
  </r>
  <r>
    <x v="86"/>
    <n v="21"/>
    <n v="10.542499999999999"/>
    <n v="6.7683333333333335"/>
    <n v="0.52712499999999995"/>
    <n v="0.3384166666666667"/>
  </r>
  <r>
    <x v="87"/>
    <n v="21"/>
    <n v="10.185"/>
    <n v="9.6852777777777774"/>
    <n v="0.50924999999999998"/>
    <n v="0.48426388888888888"/>
  </r>
  <r>
    <x v="88"/>
    <n v="21"/>
    <n v="10.044722222222221"/>
    <n v="9.8602777777777781"/>
    <n v="0.50223611111111111"/>
    <n v="0.49301388888888892"/>
  </r>
  <r>
    <x v="89"/>
    <n v="21"/>
    <n v="9.9636111111111116"/>
    <n v="9.8394444444444442"/>
    <n v="0.49818055555555557"/>
    <n v="0.4919722222222222"/>
  </r>
  <r>
    <x v="90"/>
    <n v="21"/>
    <n v="9.8333333333333339"/>
    <n v="3.7133333333333334"/>
    <n v="0.4916666666666667"/>
    <n v="0.18566666666666667"/>
  </r>
  <r>
    <x v="91"/>
    <n v="21"/>
    <n v="9.6216666666666661"/>
    <n v="6.9644444444444442"/>
    <n v="0.48108333333333331"/>
    <n v="0.34822222222222221"/>
  </r>
  <r>
    <x v="92"/>
    <n v="21"/>
    <n v="9.2819444444444432"/>
    <n v="2.9530555555555558"/>
    <n v="0.46409722222222216"/>
    <n v="0.1476527777777778"/>
  </r>
  <r>
    <x v="93"/>
    <n v="21"/>
    <n v="8.9563888888888883"/>
    <n v="8.7480555555555561"/>
    <n v="0.44781944444444444"/>
    <n v="0.43740277777777781"/>
  </r>
  <r>
    <x v="94"/>
    <n v="21"/>
    <n v="8.3436111111111106"/>
    <n v="3.2744444444444443"/>
    <n v="0.41718055555555555"/>
    <n v="0.16372222222222221"/>
  </r>
  <r>
    <x v="95"/>
    <n v="21"/>
    <n v="7.9722222222222223"/>
    <n v="7.8627777777777776"/>
    <n v="0.39861111111111114"/>
    <n v="0.39313888888888887"/>
  </r>
  <r>
    <x v="96"/>
    <n v="21"/>
    <n v="7.9191666666666665"/>
    <n v="4.5241666666666669"/>
    <n v="0.3959583333333333"/>
    <n v="0.22620833333333334"/>
  </r>
  <r>
    <x v="97"/>
    <n v="21"/>
    <n v="7.6975000000000007"/>
    <n v="2.4655555555555555"/>
    <n v="0.38487500000000002"/>
    <n v="0.12327777777777778"/>
  </r>
  <r>
    <x v="98"/>
    <n v="21"/>
    <n v="7.6661111111111104"/>
    <n v="2.6622222222222218"/>
    <n v="0.38330555555555551"/>
    <n v="0.1331111111111111"/>
  </r>
  <r>
    <x v="99"/>
    <n v="21"/>
    <n v="7.5938888888888885"/>
    <n v="3.7744444444444443"/>
    <n v="0.37969444444444445"/>
    <n v="0.18872222222222221"/>
  </r>
  <r>
    <x v="100"/>
    <n v="13"/>
    <n v="7.471111111111111"/>
    <n v="2.0644444444444443"/>
    <n v="0.37355555555555553"/>
    <n v="0.10322222222222222"/>
  </r>
  <r>
    <x v="101"/>
    <n v="21"/>
    <n v="6.6680555555555552"/>
    <n v="5.4588888888888896"/>
    <n v="0.33340277777777777"/>
    <n v="0.27294444444444449"/>
  </r>
  <r>
    <x v="102"/>
    <n v="4"/>
    <n v="6.1924999999999999"/>
    <n v="1.6327777777777779"/>
    <n v="0.30962499999999998"/>
    <n v="8.16388888888889E-2"/>
  </r>
  <r>
    <x v="103"/>
    <n v="10"/>
    <n v="6.1572222222222219"/>
    <n v="0.95277777777777772"/>
    <n v="0.30786111111111109"/>
    <n v="4.7638888888888883E-2"/>
  </r>
  <r>
    <x v="104"/>
    <n v="1"/>
    <n v="5.6333333333333337"/>
    <n v="5.6333333333333337"/>
    <n v="0.28166666666666668"/>
    <n v="0.28166666666666668"/>
  </r>
  <r>
    <x v="105"/>
    <n v="21"/>
    <n v="4.8055555555555554"/>
    <n v="3.3463888888888889"/>
    <n v="0.24027777777777776"/>
    <n v="0.16731944444444444"/>
  </r>
  <r>
    <x v="106"/>
    <n v="8"/>
    <n v="4.7774999999999999"/>
    <n v="2.0499999999999998"/>
    <n v="0.238875"/>
    <n v="0.10249999999999999"/>
  </r>
  <r>
    <x v="107"/>
    <n v="31"/>
    <n v="4.490277777777778"/>
    <n v="4.1524999999999999"/>
    <n v="0.2245138888888889"/>
    <n v="0.207625"/>
  </r>
  <r>
    <x v="108"/>
    <n v="21"/>
    <n v="4.432777777777777"/>
    <n v="1.1111111111111112"/>
    <n v="0.22163888888888886"/>
    <n v="5.5555555555555559E-2"/>
  </r>
  <r>
    <x v="109"/>
    <n v="21"/>
    <n v="3.3480555555555553"/>
    <n v="0.36638888888888893"/>
    <n v="0.16740277777777776"/>
    <n v="1.8319444444444447E-2"/>
  </r>
  <r>
    <x v="110"/>
    <n v="21"/>
    <n v="3.0474999999999999"/>
    <n v="2.7991666666666664"/>
    <n v="0.15237499999999998"/>
    <n v="0.13995833333333332"/>
  </r>
  <r>
    <x v="111"/>
    <n v="21"/>
    <n v="2.7213888888888889"/>
    <n v="1.6886111111111111"/>
    <n v="0.13606944444444444"/>
    <n v="8.443055555555555E-2"/>
  </r>
  <r>
    <x v="112"/>
    <n v="21"/>
    <n v="2.2088888888888887"/>
    <n v="0.96083333333333332"/>
    <n v="0.11044444444444443"/>
    <n v="4.8041666666666663E-2"/>
  </r>
  <r>
    <x v="113"/>
    <n v="21"/>
    <n v="2.1591666666666667"/>
    <n v="0.84833333333333327"/>
    <n v="0.10795833333333334"/>
    <n v="4.2416666666666665E-2"/>
  </r>
  <r>
    <x v="114"/>
    <n v="2"/>
    <n v="2.0013888888888887"/>
    <n v="1.0183333333333333"/>
    <n v="0.10006944444444443"/>
    <n v="5.0916666666666666E-2"/>
  </r>
  <r>
    <x v="115"/>
    <n v="21"/>
    <n v="1.97"/>
    <n v="0.34166666666666667"/>
    <n v="9.8500000000000004E-2"/>
    <n v="1.7083333333333332E-2"/>
  </r>
  <r>
    <x v="116"/>
    <n v="21"/>
    <n v="1.723888888888889"/>
    <n v="1.4316666666666669"/>
    <n v="8.6194444444444449E-2"/>
    <n v="7.1583333333333346E-2"/>
  </r>
  <r>
    <x v="117"/>
    <n v="3"/>
    <n v="1.5347222222222221"/>
    <n v="0.56583333333333341"/>
    <n v="7.6736111111111102E-2"/>
    <n v="2.829166666666667E-2"/>
  </r>
  <r>
    <x v="118"/>
    <n v="21"/>
    <n v="1.4227777777777777"/>
    <n v="1.0480555555555555"/>
    <n v="7.113888888888889E-2"/>
    <n v="5.2402777777777777E-2"/>
  </r>
  <r>
    <x v="119"/>
    <n v="20"/>
    <n v="1.2191666666666667"/>
    <n v="0.31722222222222224"/>
    <n v="6.0958333333333337E-2"/>
    <n v="1.5861111111111111E-2"/>
  </r>
  <r>
    <x v="120"/>
    <n v="7"/>
    <n v="1.1880555555555554"/>
    <n v="0.69666666666666666"/>
    <n v="5.940277777777777E-2"/>
    <n v="3.4833333333333334E-2"/>
  </r>
  <r>
    <x v="121"/>
    <n v="21"/>
    <n v="0.95583333333333331"/>
    <n v="0.23499999999999999"/>
    <n v="4.7791666666666663E-2"/>
    <n v="1.175E-2"/>
  </r>
  <r>
    <x v="122"/>
    <n v="21"/>
    <n v="0.9458333333333333"/>
    <n v="0.82666666666666666"/>
    <n v="4.7291666666666662E-2"/>
    <n v="4.1333333333333333E-2"/>
  </r>
  <r>
    <x v="123"/>
    <n v="14"/>
    <n v="0.8536111111111111"/>
    <n v="0.25472222222222224"/>
    <n v="4.2680555555555555E-2"/>
    <n v="1.2736111111111111E-2"/>
  </r>
  <r>
    <x v="124"/>
    <n v="7"/>
    <n v="0.84583333333333333"/>
    <n v="0.26500000000000001"/>
    <n v="4.2291666666666665E-2"/>
    <n v="1.3250000000000001E-2"/>
  </r>
  <r>
    <x v="125"/>
    <n v="21"/>
    <n v="0.83194444444444438"/>
    <n v="0.51472222222222219"/>
    <n v="4.1597222222222216E-2"/>
    <n v="2.5736111111111109E-2"/>
  </r>
  <r>
    <x v="126"/>
    <n v="21"/>
    <n v="0.72166666666666657"/>
    <n v="0.47527777777777774"/>
    <n v="3.6083333333333328E-2"/>
    <n v="2.3763888888888886E-2"/>
  </r>
  <r>
    <x v="127"/>
    <n v="7"/>
    <n v="0.70944444444444454"/>
    <n v="0.25833333333333336"/>
    <n v="3.5472222222222224E-2"/>
    <n v="1.2916666666666668E-2"/>
  </r>
  <r>
    <x v="128"/>
    <n v="21"/>
    <n v="0.70333333333333337"/>
    <n v="0.4186111111111111"/>
    <n v="3.5166666666666666E-2"/>
    <n v="2.0930555555555556E-2"/>
  </r>
  <r>
    <x v="129"/>
    <n v="1"/>
    <n v="0.66916666666666669"/>
    <n v="0.66916666666666669"/>
    <n v="3.3458333333333333E-2"/>
    <n v="3.3458333333333333E-2"/>
  </r>
  <r>
    <x v="130"/>
    <n v="21"/>
    <n v="0.52638888888888891"/>
    <n v="0.32666666666666672"/>
    <n v="2.6319444444444444E-2"/>
    <n v="1.6333333333333335E-2"/>
  </r>
  <r>
    <x v="131"/>
    <n v="21"/>
    <n v="0.48472222222222222"/>
    <n v="0.21916666666666668"/>
    <n v="2.4236111111111111E-2"/>
    <n v="1.0958333333333334E-2"/>
  </r>
  <r>
    <x v="132"/>
    <n v="21"/>
    <n v="0.46583333333333332"/>
    <n v="0.23833333333333334"/>
    <n v="2.3291666666666665E-2"/>
    <n v="1.1916666666666667E-2"/>
  </r>
  <r>
    <x v="133"/>
    <n v="21"/>
    <n v="0.39611111111111108"/>
    <n v="0.14916666666666664"/>
    <n v="1.9805555555555555E-2"/>
    <n v="7.4583333333333324E-3"/>
  </r>
  <r>
    <x v="134"/>
    <n v="13"/>
    <n v="0.35749999999999998"/>
    <n v="0.18055555555555555"/>
    <n v="1.7874999999999999E-2"/>
    <n v="9.0277777777777769E-3"/>
  </r>
  <r>
    <x v="135"/>
    <n v="1"/>
    <n v="0.24361111111111111"/>
    <n v="0.24361111111111111"/>
    <n v="1.2180555555555556E-2"/>
    <n v="1.2180555555555556E-2"/>
  </r>
  <r>
    <x v="136"/>
    <n v="10"/>
    <n v="0.22194444444444444"/>
    <n v="0.11694444444444445"/>
    <n v="1.1097222222222222E-2"/>
    <n v="5.8472222222222224E-3"/>
  </r>
  <r>
    <x v="137"/>
    <n v="21"/>
    <n v="0.19527777777777777"/>
    <n v="4.4722222222222219E-2"/>
    <n v="9.7638888888888879E-3"/>
    <n v="2.236111111111111E-3"/>
  </r>
  <r>
    <x v="138"/>
    <n v="21"/>
    <n v="0.19083333333333333"/>
    <n v="0.14333333333333334"/>
    <n v="9.541666666666667E-3"/>
    <n v="7.1666666666666667E-3"/>
  </r>
  <r>
    <x v="139"/>
    <n v="9"/>
    <n v="0.18583333333333335"/>
    <n v="0.10638888888888889"/>
    <n v="9.2916666666666668E-3"/>
    <n v="5.3194444444444444E-3"/>
  </r>
  <r>
    <x v="140"/>
    <n v="2"/>
    <n v="0.16916666666666666"/>
    <n v="0.1602777777777778"/>
    <n v="8.4583333333333333E-3"/>
    <n v="8.0138888888888898E-3"/>
  </r>
  <r>
    <x v="141"/>
    <n v="1"/>
    <n v="0.16250000000000001"/>
    <n v="0.16250000000000001"/>
    <n v="8.1250000000000003E-3"/>
    <n v="8.1250000000000003E-3"/>
  </r>
  <r>
    <x v="142"/>
    <n v="21"/>
    <n v="0.14277777777777778"/>
    <n v="5.305555555555555E-2"/>
    <n v="7.1388888888888891E-3"/>
    <n v="2.6527777777777773E-3"/>
  </r>
  <r>
    <x v="143"/>
    <n v="21"/>
    <n v="0.11944444444444445"/>
    <n v="8.5555555555555565E-2"/>
    <n v="5.9722222222222225E-3"/>
    <n v="4.2777777777777779E-3"/>
  </r>
  <r>
    <x v="144"/>
    <n v="6"/>
    <n v="0.11527777777777778"/>
    <n v="9.4722222222222222E-2"/>
    <n v="5.7638888888888896E-3"/>
    <n v="4.7361111111111111E-3"/>
  </r>
  <r>
    <x v="145"/>
    <n v="1"/>
    <n v="0.10527777777777778"/>
    <n v="0.10527777777777778"/>
    <n v="5.2638888888888891E-3"/>
    <n v="5.2638888888888891E-3"/>
  </r>
  <r>
    <x v="146"/>
    <n v="1"/>
    <n v="6.6666666666666666E-2"/>
    <n v="6.6666666666666666E-2"/>
    <n v="3.3333333333333331E-3"/>
    <n v="3.3333333333333331E-3"/>
  </r>
  <r>
    <x v="147"/>
    <n v="2"/>
    <n v="5.1111111111111114E-2"/>
    <n v="3.5000000000000003E-2"/>
    <n v="2.5555555555555557E-3"/>
    <n v="1.7500000000000003E-3"/>
  </r>
  <r>
    <x v="148"/>
    <n v="1"/>
    <n v="3.5833333333333335E-2"/>
    <n v="3.5833333333333335E-2"/>
    <n v="1.7916666666666667E-3"/>
    <n v="1.7916666666666667E-3"/>
  </r>
  <r>
    <x v="149"/>
    <n v="3"/>
    <n v="3.4166666666666665E-2"/>
    <n v="2.0833333333333332E-2"/>
    <n v="1.7083333333333332E-3"/>
    <n v="1.0416666666666667E-3"/>
  </r>
  <r>
    <x v="150"/>
    <n v="2"/>
    <n v="3.3333333333333333E-2"/>
    <n v="3.111111111111111E-2"/>
    <n v="1.6666666666666666E-3"/>
    <n v="1.5555555555555555E-3"/>
  </r>
  <r>
    <x v="151"/>
    <n v="2"/>
    <n v="2.9444444444444443E-2"/>
    <n v="2.1388888888888891E-2"/>
    <n v="1.4722222222222222E-3"/>
    <n v="1.0694444444444445E-3"/>
  </r>
  <r>
    <x v="152"/>
    <n v="1"/>
    <n v="2.3611111111111114E-2"/>
    <n v="2.3611111111111114E-2"/>
    <n v="1.1805555555555558E-3"/>
    <n v="1.1805555555555558E-3"/>
  </r>
  <r>
    <x v="153"/>
    <n v="1"/>
    <n v="2.0833333333333332E-2"/>
    <n v="2.0833333333333332E-2"/>
    <n v="1.0416666666666667E-3"/>
    <n v="1.0416666666666667E-3"/>
  </r>
  <r>
    <x v="154"/>
    <n v="21"/>
    <n v="1.7777777777777778E-2"/>
    <n v="1.4444444444444446E-2"/>
    <n v="8.8888888888888893E-4"/>
    <n v="7.222222222222223E-4"/>
  </r>
  <r>
    <x v="155"/>
    <n v="1"/>
    <n v="1.111111111111111E-2"/>
    <n v="1.111111111111111E-2"/>
    <n v="5.5555555555555545E-4"/>
    <n v="5.5555555555555545E-4"/>
  </r>
  <r>
    <x v="156"/>
    <n v="1"/>
    <n v="3.6111111111111114E-3"/>
    <n v="3.6111111111111114E-3"/>
    <n v="1.8055555555555557E-4"/>
    <n v="1.8055555555555557E-4"/>
  </r>
  <r>
    <x v="157"/>
    <m/>
    <m/>
    <m/>
    <m/>
    <n v="0"/>
  </r>
  <r>
    <x v="157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x v="0"/>
    <x v="0"/>
    <n v="168.40761277777781"/>
    <n v="124.3127455952381"/>
    <n v="0.70169838657407413"/>
    <n v="0.51796977331349214"/>
  </r>
  <r>
    <x v="0"/>
    <x v="1"/>
    <n v="170.44148277777779"/>
    <n v="117.1995622023808"/>
    <n v="0.71017284490740751"/>
    <n v="0.48833150917658669"/>
  </r>
  <r>
    <x v="0"/>
    <x v="2"/>
    <n v="170.80081250000001"/>
    <n v="155.71005450000001"/>
    <n v="0.71167005208333334"/>
    <n v="0.64879189375000001"/>
  </r>
  <r>
    <x v="0"/>
    <x v="3"/>
    <n v="170.41265388888891"/>
    <n v="162.55184091666669"/>
    <n v="0.71005272453703716"/>
    <n v="0.6772993371527779"/>
  </r>
  <r>
    <x v="0"/>
    <x v="4"/>
    <n v="168.96931805555559"/>
    <n v="167.0940138888889"/>
    <n v="0.70403882523148165"/>
    <n v="0.69622505787037037"/>
  </r>
  <r>
    <x v="0"/>
    <x v="5"/>
    <n v="169.14663138888889"/>
    <n v="145.19360944444441"/>
    <n v="0.70477763078703715"/>
    <n v="0.60497337268518503"/>
  </r>
  <r>
    <x v="0"/>
    <x v="6"/>
    <n v="169.26977777777779"/>
    <n v="164.12907721014469"/>
    <n v="0.70529074074074083"/>
    <n v="0.68387115504226959"/>
  </r>
  <r>
    <x v="0"/>
    <x v="7"/>
    <n v="169.5329227777778"/>
    <n v="152.93026903439139"/>
    <n v="0.70638717824074082"/>
    <n v="0.63720945430996412"/>
  </r>
  <r>
    <x v="0"/>
    <x v="8"/>
    <n v="168.99513944444439"/>
    <n v="158.87889890151499"/>
    <n v="0.70414641435185166"/>
    <n v="0.66199541208964574"/>
  </r>
  <r>
    <x v="0"/>
    <x v="9"/>
    <n v="167.79297972222221"/>
    <n v="160.29596598484829"/>
    <n v="0.69913741550925923"/>
    <n v="0.66789985827020126"/>
  </r>
  <r>
    <x v="0"/>
    <x v="10"/>
    <n v="167.78578555555549"/>
    <n v="137.58714300925919"/>
    <n v="0.69910743981481449"/>
    <n v="0.57327976253858004"/>
  </r>
  <r>
    <x v="0"/>
    <x v="11"/>
    <n v="155.12972222222223"/>
    <n v="137.15694444444443"/>
    <n v="0.64637384259259256"/>
    <n v="0.5714872685185185"/>
  </r>
  <r>
    <x v="1"/>
    <x v="0"/>
    <n v="158.80018777777781"/>
    <n v="107.5939890782828"/>
    <n v="0.66166744907407427"/>
    <n v="0.44830828782617838"/>
  </r>
  <r>
    <x v="1"/>
    <x v="1"/>
    <n v="158.58475944444439"/>
    <n v="95.013529537036945"/>
    <n v="0.66076983101851827"/>
    <n v="0.39588970640432058"/>
  </r>
  <r>
    <x v="1"/>
    <x v="2"/>
    <n v="158.68968333333331"/>
    <n v="94.84001903381639"/>
    <n v="0.66120701388888881"/>
    <n v="0.39516674597423496"/>
  </r>
  <r>
    <x v="1"/>
    <x v="3"/>
    <n v="152.42732694444439"/>
    <n v="83.480213020833332"/>
    <n v="0.63511386226851829"/>
    <n v="0.34783422092013888"/>
  </r>
  <r>
    <x v="1"/>
    <x v="4"/>
    <n v="158.7581625"/>
    <n v="89.615817870370279"/>
    <n v="0.66149234374999999"/>
    <n v="0.37339924112654282"/>
  </r>
  <r>
    <x v="1"/>
    <x v="5"/>
    <n v="138.0421747222222"/>
    <n v="91.766906780302776"/>
    <n v="0.5751757280092592"/>
    <n v="0.38236211158459493"/>
  </r>
  <r>
    <x v="1"/>
    <x v="6"/>
    <n v="158.77070611111111"/>
    <n v="94.825163511111114"/>
    <n v="0.66154460879629629"/>
    <n v="0.39510484796296302"/>
  </r>
  <r>
    <x v="1"/>
    <x v="7"/>
    <n v="158.55138166666671"/>
    <n v="103.9886280687831"/>
    <n v="0.66063075694444462"/>
    <n v="0.43328595028659622"/>
  </r>
  <r>
    <x v="1"/>
    <x v="8"/>
    <n v="158.70751916666671"/>
    <n v="101.4612298309178"/>
    <n v="0.66128132986111132"/>
    <n v="0.42275512429549084"/>
  </r>
  <r>
    <x v="1"/>
    <x v="9"/>
    <n v="150.22289749999999"/>
    <n v="94.785689106280003"/>
    <n v="0.62592873958333328"/>
    <n v="0.39494037127616671"/>
  </r>
  <r>
    <x v="1"/>
    <x v="10"/>
    <n v="158.65364638888889"/>
    <n v="88.617748584655828"/>
    <n v="0.66105685995370367"/>
    <n v="0.36924061910273265"/>
  </r>
  <r>
    <x v="1"/>
    <x v="11"/>
    <n v="142.51749999999998"/>
    <n v="87.165833333333325"/>
    <n v="0.59382291666666653"/>
    <n v="0.36319097222222219"/>
  </r>
  <r>
    <x v="2"/>
    <x v="0"/>
    <n v="39.415931388888893"/>
    <n v="26.688750012626109"/>
    <n v="0.16423304745370373"/>
    <n v="0.11120312505260878"/>
  </r>
  <r>
    <x v="2"/>
    <x v="1"/>
    <n v="39.411208611111107"/>
    <n v="24.174621547618891"/>
    <n v="0.16421336921296295"/>
    <n v="0.10072758978174538"/>
  </r>
  <r>
    <x v="2"/>
    <x v="2"/>
    <n v="118.1319441666667"/>
    <n v="60.417727013888893"/>
    <n v="0.49221643402777793"/>
    <n v="0.25174052922453705"/>
  </r>
  <r>
    <x v="2"/>
    <x v="3"/>
    <n v="109.8358158333333"/>
    <n v="63.834116147342783"/>
    <n v="0.45764923263888874"/>
    <n v="0.26597548394726162"/>
  </r>
  <r>
    <x v="2"/>
    <x v="4"/>
    <n v="118.15116583333329"/>
    <n v="73.766491611111107"/>
    <n v="0.49229652430555543"/>
    <n v="0.30736038171296293"/>
  </r>
  <r>
    <x v="2"/>
    <x v="5"/>
    <n v="118.1248658333333"/>
    <n v="66.902676969696941"/>
    <n v="0.4921869409722221"/>
    <n v="0.27876115404040391"/>
  </r>
  <r>
    <x v="2"/>
    <x v="6"/>
    <n v="118.1024352777778"/>
    <n v="69.113413588888889"/>
    <n v="0.49209348032407418"/>
    <n v="0.28797255662037036"/>
  </r>
  <r>
    <x v="2"/>
    <x v="7"/>
    <n v="118.0483397222222"/>
    <n v="77.688353796296113"/>
    <n v="0.49186808217592581"/>
    <n v="0.32370147415123379"/>
  </r>
  <r>
    <x v="2"/>
    <x v="8"/>
    <n v="118.16755083333329"/>
    <n v="75.598000374396108"/>
    <n v="0.49236479513888876"/>
    <n v="0.31499166822665042"/>
  </r>
  <r>
    <x v="2"/>
    <x v="9"/>
    <n v="117.9735752777778"/>
    <n v="75.243865429292782"/>
    <n v="0.49155656365740752"/>
    <n v="0.31351610595538659"/>
  </r>
  <r>
    <x v="2"/>
    <x v="10"/>
    <n v="117.95055000000001"/>
    <n v="45.871661846404997"/>
    <n v="0.49146062500000004"/>
    <n v="0.19113192436002083"/>
  </r>
  <r>
    <x v="2"/>
    <x v="11"/>
    <n v="94.443055555555546"/>
    <n v="54.94166666666667"/>
    <n v="0.39351273148148147"/>
    <n v="0.22892361111111112"/>
  </r>
  <r>
    <x v="3"/>
    <x v="0"/>
    <n v="101.3035541666667"/>
    <n v="100.15134291666671"/>
    <n v="0.42209814236111126"/>
    <n v="0.41729726215277796"/>
  </r>
  <r>
    <x v="3"/>
    <x v="1"/>
    <n v="101.21274333333329"/>
    <n v="98.797288638888887"/>
    <n v="0.42171976388888871"/>
    <n v="0.41165536932870372"/>
  </r>
  <r>
    <x v="3"/>
    <x v="2"/>
    <n v="156.9540686111111"/>
    <n v="103.00734988095221"/>
    <n v="0.65397528587962961"/>
    <n v="0.42919729117063415"/>
  </r>
  <r>
    <x v="3"/>
    <x v="3"/>
    <n v="101.2865627777778"/>
    <n v="95.940678027777778"/>
    <n v="0.42202734490740751"/>
    <n v="0.39975282511574073"/>
  </r>
  <r>
    <x v="3"/>
    <x v="4"/>
    <n v="94.216383888888885"/>
    <n v="91.969636069444448"/>
    <n v="0.39256826620370372"/>
    <n v="0.38320681695601855"/>
  </r>
  <r>
    <x v="3"/>
    <x v="5"/>
    <n v="94.651109444444444"/>
    <n v="89.354969285714162"/>
    <n v="0.39437962268518517"/>
    <n v="0.37231237202380901"/>
  </r>
  <r>
    <x v="3"/>
    <x v="6"/>
    <n v="94.545019444444449"/>
    <n v="92.249587632849995"/>
    <n v="0.39393758101851856"/>
    <n v="0.38437328180354163"/>
  </r>
  <r>
    <x v="3"/>
    <x v="7"/>
    <n v="93.648365555555557"/>
    <n v="92.055977698412505"/>
    <n v="0.39020152314814815"/>
    <n v="0.38356657374338549"/>
  </r>
  <r>
    <x v="3"/>
    <x v="8"/>
    <n v="93.487307222222228"/>
    <n v="92.275081805555558"/>
    <n v="0.3895304467592593"/>
    <n v="0.38447950752314819"/>
  </r>
  <r>
    <x v="3"/>
    <x v="9"/>
    <n v="93.483871388888886"/>
    <n v="91.931845328282776"/>
    <n v="0.38951613078703701"/>
    <n v="0.38304935553451158"/>
  </r>
  <r>
    <x v="3"/>
    <x v="10"/>
    <n v="93.656360555555551"/>
    <n v="89.407241347222225"/>
    <n v="0.39023483564814815"/>
    <n v="0.37253017228009261"/>
  </r>
  <r>
    <x v="3"/>
    <x v="11"/>
    <n v="93.203888888888898"/>
    <n v="86.42861111111111"/>
    <n v="0.38834953703703706"/>
    <n v="0.36011921296296295"/>
  </r>
  <r>
    <x v="4"/>
    <x v="0"/>
    <n v="81.765438055555549"/>
    <n v="79.044674891304169"/>
    <n v="0.34068932523148149"/>
    <n v="0.32935281204710071"/>
  </r>
  <r>
    <x v="4"/>
    <x v="1"/>
    <n v="92.182698333333335"/>
    <n v="86.502541840277772"/>
    <n v="0.38409457638888894"/>
    <n v="0.36042725766782402"/>
  </r>
  <r>
    <x v="4"/>
    <x v="2"/>
    <n v="91.901456388888889"/>
    <n v="89.58977719696945"/>
    <n v="0.38292273495370371"/>
    <n v="0.37329073832070603"/>
  </r>
  <r>
    <x v="4"/>
    <x v="3"/>
    <n v="92.031467500000005"/>
    <n v="91.52950929166667"/>
    <n v="0.38346444791666667"/>
    <n v="0.38137295538194449"/>
  </r>
  <r>
    <x v="4"/>
    <x v="4"/>
    <n v="95.022206666666662"/>
    <n v="92.156567291666661"/>
    <n v="0.39592586111111111"/>
    <n v="0.38398569704861107"/>
  </r>
  <r>
    <x v="4"/>
    <x v="5"/>
    <n v="94.967797500000003"/>
    <n v="88.83982842592583"/>
    <n v="0.39569915625000002"/>
    <n v="0.37016595177469097"/>
  </r>
  <r>
    <x v="4"/>
    <x v="6"/>
    <n v="95.031129444444446"/>
    <n v="93.688860362318607"/>
    <n v="0.39596303935185184"/>
    <n v="0.39037025150966081"/>
  </r>
  <r>
    <x v="4"/>
    <x v="7"/>
    <n v="94.81675361111111"/>
    <n v="91.956168756613607"/>
    <n v="0.39506980671296299"/>
    <n v="0.38315070315255673"/>
  </r>
  <r>
    <x v="4"/>
    <x v="8"/>
    <n v="94.89533055555556"/>
    <n v="92.979026628787778"/>
    <n v="0.3953972106481482"/>
    <n v="0.38741261095328244"/>
  </r>
  <r>
    <x v="4"/>
    <x v="9"/>
    <n v="94.836220277777784"/>
    <n v="91.956153017676669"/>
    <n v="0.39515091782407413"/>
    <n v="0.38315063757365281"/>
  </r>
  <r>
    <x v="4"/>
    <x v="10"/>
    <n v="94.806304166666663"/>
    <n v="92.224101041666671"/>
    <n v="0.39502626736111113"/>
    <n v="0.38426708767361112"/>
  </r>
  <r>
    <x v="4"/>
    <x v="11"/>
    <n v="85.188333333333333"/>
    <n v="82.539166666666674"/>
    <n v="0.35495138888888889"/>
    <n v="0.34391319444444446"/>
  </r>
  <r>
    <x v="5"/>
    <x v="0"/>
    <n v="75.112058611111109"/>
    <n v="68.209119256272217"/>
    <n v="0.31296691087962963"/>
    <n v="0.28420466356780089"/>
  </r>
  <r>
    <x v="5"/>
    <x v="1"/>
    <n v="70.645085277777781"/>
    <n v="68.032313323412495"/>
    <n v="0.29435452199074075"/>
    <n v="0.28346797218088543"/>
  </r>
  <r>
    <x v="5"/>
    <x v="2"/>
    <n v="72.130192777777779"/>
    <n v="69.39120071684583"/>
    <n v="0.30054246990740741"/>
    <n v="0.28913000298685759"/>
  </r>
  <r>
    <x v="5"/>
    <x v="3"/>
    <n v="90.379694722222226"/>
    <n v="68.763724333333329"/>
    <n v="0.37658206134259259"/>
    <n v="0.28651551805555553"/>
  </r>
  <r>
    <x v="5"/>
    <x v="4"/>
    <n v="83.761349166666662"/>
    <n v="70.091024130824167"/>
    <n v="0.34900562152777775"/>
    <n v="0.29204593387843403"/>
  </r>
  <r>
    <x v="5"/>
    <x v="5"/>
    <n v="82.776835833333337"/>
    <n v="69.665758814814723"/>
    <n v="0.34490348263888887"/>
    <n v="0.29027399506172802"/>
  </r>
  <r>
    <x v="5"/>
    <x v="6"/>
    <n v="86.938279166666661"/>
    <n v="69.602720492831395"/>
    <n v="0.36224282986111112"/>
    <n v="0.29001133538679746"/>
  </r>
  <r>
    <x v="5"/>
    <x v="7"/>
    <n v="93.508340000000004"/>
    <n v="75.552580842293892"/>
    <n v="0.38961808333333336"/>
    <n v="0.31480242017622456"/>
  </r>
  <r>
    <x v="5"/>
    <x v="8"/>
    <n v="102.05035416666669"/>
    <n v="88.451237694444444"/>
    <n v="0.42520980902777789"/>
    <n v="0.36854682372685188"/>
  </r>
  <r>
    <x v="5"/>
    <x v="9"/>
    <n v="86.781750000000002"/>
    <n v="69.611319327956949"/>
    <n v="0.361590625"/>
    <n v="0.29004716386648727"/>
  </r>
  <r>
    <x v="5"/>
    <x v="10"/>
    <n v="80.601804166666668"/>
    <n v="68.854828777777783"/>
    <n v="0.33584085069444441"/>
    <n v="0.2868951199074074"/>
  </r>
  <r>
    <x v="5"/>
    <x v="11"/>
    <n v="77.057222222222222"/>
    <n v="65.518888888888881"/>
    <n v="0.32107175925925929"/>
    <n v="0.2729953703703703"/>
  </r>
  <r>
    <x v="6"/>
    <x v="0"/>
    <n v="106.01419638888891"/>
    <n v="73.06979089646444"/>
    <n v="0.44172581828703711"/>
    <n v="0.30445746206860186"/>
  </r>
  <r>
    <x v="6"/>
    <x v="1"/>
    <n v="74.219118611111114"/>
    <n v="58.556148430555552"/>
    <n v="0.30924632754629627"/>
    <n v="0.24398395179398147"/>
  </r>
  <r>
    <x v="6"/>
    <x v="2"/>
    <n v="71.924699722222229"/>
    <n v="54.774653637566111"/>
    <n v="0.2996862488425926"/>
    <n v="0.22822772348985879"/>
  </r>
  <r>
    <x v="6"/>
    <x v="3"/>
    <n v="67.863470555555551"/>
    <n v="56.083705375000001"/>
    <n v="0.28276446064814814"/>
    <n v="0.23368210572916667"/>
  </r>
  <r>
    <x v="6"/>
    <x v="4"/>
    <n v="75.072519722222225"/>
    <n v="55.765710236111111"/>
    <n v="0.31280216550925927"/>
    <n v="0.23235712598379629"/>
  </r>
  <r>
    <x v="6"/>
    <x v="5"/>
    <n v="81.756393333333335"/>
    <n v="55.447100119047498"/>
    <n v="0.34065163888888889"/>
    <n v="0.23102958382936456"/>
  </r>
  <r>
    <x v="6"/>
    <x v="6"/>
    <n v="92.814525833333335"/>
    <n v="69.993378804347785"/>
    <n v="0.38672719097222225"/>
    <n v="0.29163907835144909"/>
  </r>
  <r>
    <x v="6"/>
    <x v="7"/>
    <n v="75.96504916666666"/>
    <n v="63.020432592592499"/>
    <n v="0.31652103819444438"/>
    <n v="0.26258513580246873"/>
  </r>
  <r>
    <x v="6"/>
    <x v="8"/>
    <n v="75.905441944444448"/>
    <n v="64.763883737373618"/>
    <n v="0.31627267476851856"/>
    <n v="0.26984951557239006"/>
  </r>
  <r>
    <x v="6"/>
    <x v="9"/>
    <n v="80.35402666666667"/>
    <n v="65.193443106060556"/>
    <n v="0.33480844444444441"/>
    <n v="0.27163934627525232"/>
  </r>
  <r>
    <x v="6"/>
    <x v="10"/>
    <n v="86.109239166666669"/>
    <n v="62.08107001388889"/>
    <n v="0.35878849652777783"/>
    <n v="0.25867112505787038"/>
  </r>
  <r>
    <x v="6"/>
    <x v="11"/>
    <n v="74"/>
    <n v="56.5625"/>
    <n v="0.30833333333333335"/>
    <n v="0.23567708333333334"/>
  </r>
  <r>
    <x v="7"/>
    <x v="0"/>
    <n v="73.859053611111108"/>
    <n v="38.810488295454448"/>
    <n v="0.30774605671296296"/>
    <n v="0.16171036789772686"/>
  </r>
  <r>
    <x v="7"/>
    <x v="1"/>
    <n v="77.861268055555556"/>
    <n v="36.705737638888891"/>
    <n v="0.32442195023148152"/>
    <n v="0.15294057349537038"/>
  </r>
  <r>
    <x v="7"/>
    <x v="2"/>
    <n v="77.984767500000004"/>
    <n v="54.564669841269719"/>
    <n v="0.32493653125000005"/>
    <n v="0.22735279100529049"/>
  </r>
  <r>
    <x v="7"/>
    <x v="3"/>
    <n v="78.120606111111115"/>
    <n v="47.622126819444453"/>
    <n v="0.32550252546296299"/>
    <n v="0.1984255284143519"/>
  </r>
  <r>
    <x v="7"/>
    <x v="4"/>
    <n v="77.894376388888887"/>
    <n v="38.599063666666673"/>
    <n v="0.32455990162037035"/>
    <n v="0.16082943194444446"/>
  </r>
  <r>
    <x v="7"/>
    <x v="5"/>
    <n v="78.154497222222219"/>
    <n v="49.341021970899448"/>
    <n v="0.32564373842592592"/>
    <n v="0.20558759154541437"/>
  </r>
  <r>
    <x v="7"/>
    <x v="6"/>
    <n v="78.359783055555553"/>
    <n v="50.066204480676113"/>
    <n v="0.32649909606481481"/>
    <n v="0.20860918533615047"/>
  </r>
  <r>
    <x v="7"/>
    <x v="7"/>
    <n v="78.35205805555556"/>
    <n v="53.728770687830547"/>
    <n v="0.32646690856481481"/>
    <n v="0.2238698778659606"/>
  </r>
  <r>
    <x v="7"/>
    <x v="8"/>
    <n v="78.703641111111111"/>
    <n v="42.766714633838333"/>
    <n v="0.32793183796296294"/>
    <n v="0.17819464430765972"/>
  </r>
  <r>
    <x v="7"/>
    <x v="9"/>
    <n v="81.267107222222222"/>
    <n v="53.244878749999998"/>
    <n v="0.33861294675925929"/>
    <n v="0.22185366145833332"/>
  </r>
  <r>
    <x v="7"/>
    <x v="10"/>
    <n v="80.075509722222222"/>
    <n v="50.776702402777779"/>
    <n v="0.33364795717592594"/>
    <n v="0.21156959334490741"/>
  </r>
  <r>
    <x v="7"/>
    <x v="11"/>
    <n v="71.719444444444449"/>
    <n v="43.018888888888888"/>
    <n v="0.29883101851851851"/>
    <n v="0.17924537037037036"/>
  </r>
  <r>
    <x v="8"/>
    <x v="0"/>
    <n v="52.196644722222217"/>
    <n v="47.698393585858327"/>
    <n v="0.21748601967592593"/>
    <n v="0.198743306607743"/>
  </r>
  <r>
    <x v="8"/>
    <x v="1"/>
    <n v="74.722402222222229"/>
    <n v="52.391836736111109"/>
    <n v="0.31134334259259261"/>
    <n v="0.21829931973379627"/>
  </r>
  <r>
    <x v="8"/>
    <x v="2"/>
    <n v="74.748474722222227"/>
    <n v="71.799876177248606"/>
    <n v="0.31145197800925928"/>
    <n v="0.29916615073853586"/>
  </r>
  <r>
    <x v="8"/>
    <x v="3"/>
    <n v="76.265236944444439"/>
    <n v="74.260420499999995"/>
    <n v="0.31777182060185183"/>
    <n v="0.30941841874999998"/>
  </r>
  <r>
    <x v="8"/>
    <x v="4"/>
    <n v="74.727109166666665"/>
    <n v="71.986747152777781"/>
    <n v="0.3113629548611111"/>
    <n v="0.29994477980324075"/>
  </r>
  <r>
    <x v="8"/>
    <x v="5"/>
    <n v="77.13457861111111"/>
    <n v="70.84306568783056"/>
    <n v="0.32139407754629629"/>
    <n v="0.29517944036596067"/>
  </r>
  <r>
    <x v="8"/>
    <x v="6"/>
    <n v="74.823826944444448"/>
    <n v="65.073076847825831"/>
    <n v="0.31176594560185183"/>
    <n v="0.27113782019927429"/>
  </r>
  <r>
    <x v="8"/>
    <x v="7"/>
    <n v="77.093859444444448"/>
    <n v="73.966729259259168"/>
    <n v="0.32122441435185184"/>
    <n v="0.30819470524691323"/>
  </r>
  <r>
    <x v="8"/>
    <x v="8"/>
    <n v="77.091165555555563"/>
    <n v="75.044400353535281"/>
    <n v="0.32121318981481484"/>
    <n v="0.31268500147306366"/>
  </r>
  <r>
    <x v="8"/>
    <x v="9"/>
    <n v="76.972320833333328"/>
    <n v="73.837371982323049"/>
    <n v="0.32071800347222218"/>
    <n v="0.30765571659301272"/>
  </r>
  <r>
    <x v="8"/>
    <x v="10"/>
    <n v="76.95531861111111"/>
    <n v="73.566270777777774"/>
    <n v="0.32064716087962963"/>
    <n v="0.30652612824074071"/>
  </r>
  <r>
    <x v="8"/>
    <x v="11"/>
    <n v="67.727777777777774"/>
    <n v="62.539166666666667"/>
    <n v="0.28219907407407407"/>
    <n v="0.26057986111111114"/>
  </r>
  <r>
    <x v="9"/>
    <x v="0"/>
    <n v="74.04947833333334"/>
    <n v="73.234726351009996"/>
    <n v="0.30853949305555556"/>
    <n v="0.30514469312920833"/>
  </r>
  <r>
    <x v="9"/>
    <x v="1"/>
    <n v="74.366877500000001"/>
    <n v="72.525067250000006"/>
    <n v="0.30986198958333333"/>
    <n v="0.30218778020833337"/>
  </r>
  <r>
    <x v="9"/>
    <x v="2"/>
    <n v="73.943981388888886"/>
    <n v="73.634685714285553"/>
    <n v="0.30809992245370371"/>
    <n v="0.30681119047618982"/>
  </r>
  <r>
    <x v="9"/>
    <x v="3"/>
    <n v="73.749863888888882"/>
    <n v="72.817544416666664"/>
    <n v="0.30729109953703698"/>
    <n v="0.30340643506944442"/>
  </r>
  <r>
    <x v="9"/>
    <x v="4"/>
    <n v="75.272288611111108"/>
    <n v="71.366954222222219"/>
    <n v="0.31363453587962958"/>
    <n v="0.29736230925925927"/>
  </r>
  <r>
    <x v="9"/>
    <x v="5"/>
    <n v="73.566736944444443"/>
    <n v="69.592795476190275"/>
    <n v="0.30652807060185183"/>
    <n v="0.28996998115079281"/>
  </r>
  <r>
    <x v="9"/>
    <x v="6"/>
    <n v="73.794088055555562"/>
    <n v="72.927800326086938"/>
    <n v="0.30747536689814819"/>
    <n v="0.30386583469202894"/>
  </r>
  <r>
    <x v="9"/>
    <x v="7"/>
    <n v="73.073526666666666"/>
    <n v="72.189957539682496"/>
    <n v="0.30447302777777779"/>
    <n v="0.30079148974867703"/>
  </r>
  <r>
    <x v="9"/>
    <x v="8"/>
    <n v="73.024026944444444"/>
    <n v="72.775319457070552"/>
    <n v="0.30426677893518517"/>
    <n v="0.30323049773779398"/>
  </r>
  <r>
    <x v="9"/>
    <x v="9"/>
    <n v="72.939110555555558"/>
    <n v="57.576365151514999"/>
    <n v="0.30391296064814816"/>
    <n v="0.23990152146464583"/>
  </r>
  <r>
    <x v="9"/>
    <x v="10"/>
    <n v="36.587829722222217"/>
    <n v="35.608584333333333"/>
    <n v="0.15244929050925923"/>
    <n v="0.1483691013888889"/>
  </r>
  <r>
    <x v="9"/>
    <x v="11"/>
    <n v="64.530833333333334"/>
    <n v="62.020833333333336"/>
    <n v="0.26887847222222222"/>
    <n v="0.25842013888888887"/>
  </r>
  <r>
    <x v="10"/>
    <x v="0"/>
    <n v="89.767742222222225"/>
    <n v="36.339549065656392"/>
    <n v="0.37403225925925926"/>
    <n v="0.15141478777356829"/>
  </r>
  <r>
    <x v="10"/>
    <x v="1"/>
    <n v="103.13664"/>
    <n v="40.827277319444441"/>
    <n v="0.42973599999999995"/>
    <n v="0.17011365549768517"/>
  </r>
  <r>
    <x v="10"/>
    <x v="2"/>
    <n v="105.3802205555556"/>
    <n v="44.492949828042221"/>
    <n v="0.43908425231481502"/>
    <n v="0.18538729095017592"/>
  </r>
  <r>
    <x v="10"/>
    <x v="3"/>
    <n v="101.4724466666667"/>
    <n v="50.012309013888888"/>
    <n v="0.42280186111111123"/>
    <n v="0.20838462089120369"/>
  </r>
  <r>
    <x v="10"/>
    <x v="4"/>
    <n v="121.75512999999999"/>
    <n v="60.803558111111109"/>
    <n v="0.50731304166666658"/>
    <n v="0.2533481587962963"/>
  </r>
  <r>
    <x v="10"/>
    <x v="5"/>
    <n v="86.954111944444449"/>
    <n v="40.260553847222219"/>
    <n v="0.36230879976851854"/>
    <n v="0.16775230769675922"/>
  </r>
  <r>
    <x v="10"/>
    <x v="6"/>
    <n v="53.752969444444453"/>
    <n v="26.581022983091671"/>
    <n v="0.22397070601851854"/>
    <n v="0.11075426242954862"/>
  </r>
  <r>
    <x v="10"/>
    <x v="7"/>
    <n v="86.91979388888889"/>
    <n v="43.571278452380831"/>
    <n v="0.36216580787037039"/>
    <n v="0.18154699355158679"/>
  </r>
  <r>
    <x v="10"/>
    <x v="8"/>
    <n v="19.608747777777779"/>
    <n v="4.5990921825394446"/>
    <n v="8.1703115740740753E-2"/>
    <n v="1.9162884093914354E-2"/>
  </r>
  <r>
    <x v="10"/>
    <x v="11"/>
    <n v="76.875"/>
    <n v="34.748888888888892"/>
    <n v="0.3203125"/>
    <n v="0.14478703703703705"/>
  </r>
  <r>
    <x v="11"/>
    <x v="0"/>
    <n v="36.188634722222233"/>
    <n v="32.772934633838332"/>
    <n v="0.1507859780092593"/>
    <n v="0.13655389430765971"/>
  </r>
  <r>
    <x v="11"/>
    <x v="1"/>
    <n v="35.642509444444443"/>
    <n v="33.134930958333342"/>
    <n v="0.14851045601851851"/>
    <n v="0.13806221232638893"/>
  </r>
  <r>
    <x v="11"/>
    <x v="2"/>
    <n v="35.79333611111111"/>
    <n v="32.171209232804173"/>
    <n v="0.14913890046296296"/>
    <n v="0.13404670513668407"/>
  </r>
  <r>
    <x v="11"/>
    <x v="3"/>
    <n v="35.870734166666672"/>
    <n v="33.963523986111113"/>
    <n v="0.14946139236111114"/>
    <n v="0.14151468327546299"/>
  </r>
  <r>
    <x v="11"/>
    <x v="4"/>
    <n v="35.872640833333342"/>
    <n v="32.127202569444442"/>
    <n v="0.1494693368055556"/>
    <n v="0.13386334403935185"/>
  </r>
  <r>
    <x v="11"/>
    <x v="5"/>
    <n v="75.196510555555562"/>
    <n v="48.674716917989173"/>
    <n v="0.31331879398148149"/>
    <n v="0.20281132049162154"/>
  </r>
  <r>
    <x v="11"/>
    <x v="6"/>
    <n v="104.0531252777778"/>
    <n v="97.109988417874163"/>
    <n v="0.43355468865740748"/>
    <n v="0.40462495174114238"/>
  </r>
  <r>
    <x v="11"/>
    <x v="7"/>
    <n v="99.325539722222217"/>
    <n v="96.441293835978612"/>
    <n v="0.41385641550925922"/>
    <n v="0.40183872431657752"/>
  </r>
  <r>
    <x v="11"/>
    <x v="8"/>
    <n v="99.977512777777775"/>
    <n v="96.8515538762625"/>
    <n v="0.41657296990740739"/>
    <n v="0.40354814115109372"/>
  </r>
  <r>
    <x v="11"/>
    <x v="9"/>
    <n v="99.244028333333333"/>
    <n v="96.579971780302785"/>
    <n v="0.41351678472222225"/>
    <n v="0.40241654908459495"/>
  </r>
  <r>
    <x v="11"/>
    <x v="10"/>
    <n v="99.191473888888893"/>
    <n v="97.025251999999995"/>
    <n v="0.4132978078703704"/>
    <n v="0.40427188333333336"/>
  </r>
  <r>
    <x v="11"/>
    <x v="11"/>
    <n v="63.029722222222219"/>
    <n v="58.071111111111115"/>
    <n v="0.26262384259259258"/>
    <n v="0.24196296296296296"/>
  </r>
  <r>
    <x v="12"/>
    <x v="0"/>
    <n v="40.002407499999997"/>
    <n v="37.583974785353327"/>
    <n v="0.16667669791666664"/>
    <n v="0.1565998949389722"/>
  </r>
  <r>
    <x v="12"/>
    <x v="1"/>
    <n v="40.661899166666657"/>
    <n v="35.337045814814722"/>
    <n v="0.16942457986111106"/>
    <n v="0.14723769089506134"/>
  </r>
  <r>
    <x v="12"/>
    <x v="2"/>
    <n v="40.821617500000002"/>
    <n v="37.365841243386107"/>
    <n v="0.17009007291666667"/>
    <n v="0.15569100518077544"/>
  </r>
  <r>
    <x v="12"/>
    <x v="3"/>
    <n v="40.621624166666663"/>
    <n v="36.212668111111107"/>
    <n v="0.16925676736111109"/>
    <n v="0.1508861171296296"/>
  </r>
  <r>
    <x v="12"/>
    <x v="4"/>
    <n v="40.477013333333332"/>
    <n v="27.163125611111109"/>
    <n v="0.16865422222222223"/>
    <n v="0.11317969004629629"/>
  </r>
  <r>
    <x v="12"/>
    <x v="5"/>
    <n v="81.463948888888893"/>
    <n v="57.720755952380827"/>
    <n v="0.33943312037037038"/>
    <n v="0.2405031498015868"/>
  </r>
  <r>
    <x v="12"/>
    <x v="6"/>
    <n v="81.93911138888889"/>
    <n v="62.110772342994998"/>
    <n v="0.34141296412037042"/>
    <n v="0.25879488476247919"/>
  </r>
  <r>
    <x v="12"/>
    <x v="7"/>
    <n v="108.6303030555556"/>
    <n v="80.042063465608337"/>
    <n v="0.45262626273148165"/>
    <n v="0.33350859777336805"/>
  </r>
  <r>
    <x v="12"/>
    <x v="8"/>
    <n v="101.83727055555561"/>
    <n v="64.938066553030282"/>
    <n v="0.42432196064814837"/>
    <n v="0.27057527730429282"/>
  </r>
  <r>
    <x v="12"/>
    <x v="9"/>
    <n v="82.030845833333331"/>
    <n v="65.828545701058061"/>
    <n v="0.34179519097222216"/>
    <n v="0.27428560708774191"/>
  </r>
  <r>
    <x v="12"/>
    <x v="11"/>
    <n v="59.862499999999997"/>
    <n v="45.845833333333331"/>
    <n v="0.24942708333333333"/>
    <n v="0.19102430555555552"/>
  </r>
  <r>
    <x v="13"/>
    <x v="0"/>
    <n v="39.015078055555563"/>
    <n v="26.65105054292917"/>
    <n v="0.16256282523148149"/>
    <n v="0.11104604392887153"/>
  </r>
  <r>
    <x v="13"/>
    <x v="1"/>
    <n v="34.442335833333331"/>
    <n v="19.12867005555556"/>
    <n v="0.14350973263888889"/>
    <n v="7.9702791898148162E-2"/>
  </r>
  <r>
    <x v="13"/>
    <x v="2"/>
    <n v="54.232177777777778"/>
    <n v="35.337412182539452"/>
    <n v="0.22596740740740739"/>
    <n v="0.14723921742724771"/>
  </r>
  <r>
    <x v="13"/>
    <x v="3"/>
    <n v="58.586298055555552"/>
    <n v="56.231455638888889"/>
    <n v="0.24410957523148147"/>
    <n v="0.2342977318287037"/>
  </r>
  <r>
    <x v="13"/>
    <x v="4"/>
    <n v="57.546518611111111"/>
    <n v="56.147109499999999"/>
    <n v="0.23977716087962964"/>
    <n v="0.23394628958333333"/>
  </r>
  <r>
    <x v="13"/>
    <x v="5"/>
    <n v="58.275823611111107"/>
    <n v="56.344614069444447"/>
    <n v="0.24281593171296292"/>
    <n v="0.23476922528935185"/>
  </r>
  <r>
    <x v="13"/>
    <x v="6"/>
    <n v="58.183954444444453"/>
    <n v="56.465456630434723"/>
    <n v="0.24243314351851855"/>
    <n v="0.23527273596014467"/>
  </r>
  <r>
    <x v="13"/>
    <x v="7"/>
    <n v="58.172609444444447"/>
    <n v="56.222450291005281"/>
    <n v="0.24238587268518519"/>
    <n v="0.23426020954585533"/>
  </r>
  <r>
    <x v="13"/>
    <x v="8"/>
    <n v="79.430764722222222"/>
    <n v="58.883036464646388"/>
    <n v="0.33096151967592591"/>
    <n v="0.24534598526935994"/>
  </r>
  <r>
    <x v="13"/>
    <x v="9"/>
    <n v="80.79214972222222"/>
    <n v="77.367302335858327"/>
    <n v="0.33663395717592587"/>
    <n v="0.32236375973274306"/>
  </r>
  <r>
    <x v="13"/>
    <x v="10"/>
    <n v="74.516986111111109"/>
    <n v="69.93678808333334"/>
    <n v="0.31048744212962959"/>
    <n v="0.29140328368055557"/>
  </r>
  <r>
    <x v="13"/>
    <x v="11"/>
    <n v="54.433055555555555"/>
    <n v="47.393055555555556"/>
    <n v="0.22680439814814815"/>
    <n v="0.1974710648148148"/>
  </r>
  <r>
    <x v="14"/>
    <x v="0"/>
    <n v="70.021980277777772"/>
    <n v="43.028260861111107"/>
    <n v="0.29175825115740739"/>
    <n v="0.17928442025462962"/>
  </r>
  <r>
    <x v="14"/>
    <x v="1"/>
    <n v="42.377189722222219"/>
    <n v="34.933065569444437"/>
    <n v="0.17657162384259259"/>
    <n v="0.14555443987268515"/>
  </r>
  <r>
    <x v="14"/>
    <x v="2"/>
    <n v="41.376823333333327"/>
    <n v="29.840016812169171"/>
    <n v="0.17240343055555551"/>
    <n v="0.12433340338403821"/>
  </r>
  <r>
    <x v="14"/>
    <x v="3"/>
    <n v="33.265562222222222"/>
    <n v="22.30401480555556"/>
    <n v="0.13860650925925924"/>
    <n v="9.2933395023148166E-2"/>
  </r>
  <r>
    <x v="14"/>
    <x v="4"/>
    <n v="31.873962500000001"/>
    <n v="22.959315930555551"/>
    <n v="0.13280817708333334"/>
    <n v="9.5663816377314803E-2"/>
  </r>
  <r>
    <x v="14"/>
    <x v="5"/>
    <n v="41.65904472222222"/>
    <n v="30.162465648148061"/>
    <n v="0.17357935300925922"/>
    <n v="0.12567694020061693"/>
  </r>
  <r>
    <x v="14"/>
    <x v="6"/>
    <n v="41.493658611111108"/>
    <n v="31.069393466183332"/>
    <n v="0.17289024421296295"/>
    <n v="0.12945580610909721"/>
  </r>
  <r>
    <x v="14"/>
    <x v="7"/>
    <n v="41.698929166666673"/>
    <n v="36.58780392857139"/>
    <n v="0.17374553819444447"/>
    <n v="0.15244918303571411"/>
  </r>
  <r>
    <x v="14"/>
    <x v="8"/>
    <n v="43.044552777777781"/>
    <n v="41.06294751262611"/>
    <n v="0.17935230324074078"/>
    <n v="0.17109561463594214"/>
  </r>
  <r>
    <x v="14"/>
    <x v="9"/>
    <n v="83.925570833333339"/>
    <n v="41.076941755050278"/>
    <n v="0.34968987847222222"/>
    <n v="0.17115392397937615"/>
  </r>
  <r>
    <x v="14"/>
    <x v="10"/>
    <n v="173.30866138888891"/>
    <n v="134.71064274305559"/>
    <n v="0.72211942245370375"/>
    <n v="0.56129434476273155"/>
  </r>
  <r>
    <x v="14"/>
    <x v="11"/>
    <n v="53.670555555555552"/>
    <n v="38.978055555555557"/>
    <n v="0.22362731481481479"/>
    <n v="0.16240856481481483"/>
  </r>
  <r>
    <x v="15"/>
    <x v="0"/>
    <n v="59.151770277777779"/>
    <n v="45.712546830808058"/>
    <n v="0.24646570949074076"/>
    <n v="0.1904689451283669"/>
  </r>
  <r>
    <x v="15"/>
    <x v="1"/>
    <n v="58.284448055555558"/>
    <n v="37.04309172979778"/>
    <n v="0.24285186689814817"/>
    <n v="0.15434621554082409"/>
  </r>
  <r>
    <x v="15"/>
    <x v="2"/>
    <n v="58.310546666666667"/>
    <n v="42.42903145502639"/>
    <n v="0.24296061111111111"/>
    <n v="0.17678763106260997"/>
  </r>
  <r>
    <x v="15"/>
    <x v="3"/>
    <n v="58.121072222222217"/>
    <n v="40.567899305555557"/>
    <n v="0.24217113425925926"/>
    <n v="0.16903291377314814"/>
  </r>
  <r>
    <x v="15"/>
    <x v="4"/>
    <n v="58.487339166666658"/>
    <n v="38.6365913257575"/>
    <n v="0.24369724652777772"/>
    <n v="0.16098579719065625"/>
  </r>
  <r>
    <x v="15"/>
    <x v="5"/>
    <n v="58.251403888888888"/>
    <n v="42.051169947089733"/>
    <n v="0.24271418287037036"/>
    <n v="0.17521320811287389"/>
  </r>
  <r>
    <x v="15"/>
    <x v="6"/>
    <n v="58.211616666666657"/>
    <n v="40.925363285023892"/>
    <n v="0.24254840277777776"/>
    <n v="0.17052234702093286"/>
  </r>
  <r>
    <x v="15"/>
    <x v="7"/>
    <n v="58.375913055555557"/>
    <n v="40.602625449735278"/>
    <n v="0.24323297106481481"/>
    <n v="0.16917760604056364"/>
  </r>
  <r>
    <x v="15"/>
    <x v="8"/>
    <n v="58.378142500000003"/>
    <n v="41.940958484848331"/>
    <n v="0.24324226041666666"/>
    <n v="0.17475399368686806"/>
  </r>
  <r>
    <x v="15"/>
    <x v="9"/>
    <n v="58.384717222222221"/>
    <n v="39.776474637681112"/>
    <n v="0.24326965509259257"/>
    <n v="0.16573531099033798"/>
  </r>
  <r>
    <x v="15"/>
    <x v="10"/>
    <n v="58.581470277777782"/>
    <n v="41.32196434722222"/>
    <n v="0.24408945949074076"/>
    <n v="0.17217485144675926"/>
  </r>
  <r>
    <x v="15"/>
    <x v="11"/>
    <n v="53.544999999999995"/>
    <n v="37.584166666666668"/>
    <n v="0.22310416666666666"/>
    <n v="0.15660069444444444"/>
  </r>
  <r>
    <x v="16"/>
    <x v="0"/>
    <n v="55.395222777777782"/>
    <n v="55.172670025252501"/>
    <n v="0.23081342824074078"/>
    <n v="0.22988612510521875"/>
  </r>
  <r>
    <x v="16"/>
    <x v="1"/>
    <n v="55.340200833333327"/>
    <n v="55.220658527777779"/>
    <n v="0.23058417013888888"/>
    <n v="0.23008607719907406"/>
  </r>
  <r>
    <x v="16"/>
    <x v="2"/>
    <n v="55.323778333333337"/>
    <n v="55.182553941798894"/>
    <n v="0.23051574305555556"/>
    <n v="0.22992730809082873"/>
  </r>
  <r>
    <x v="16"/>
    <x v="3"/>
    <n v="55.314829722222221"/>
    <n v="53.88499065277778"/>
    <n v="0.23047845717592594"/>
    <n v="0.2245207943865741"/>
  </r>
  <r>
    <x v="16"/>
    <x v="4"/>
    <n v="55.475513611111111"/>
    <n v="55.200725111111112"/>
    <n v="0.23114797337962964"/>
    <n v="0.23000302129629632"/>
  </r>
  <r>
    <x v="16"/>
    <x v="5"/>
    <n v="55.483274999999999"/>
    <n v="52.864437486772218"/>
    <n v="0.23118031250000001"/>
    <n v="0.22026848952821756"/>
  </r>
  <r>
    <x v="16"/>
    <x v="6"/>
    <n v="55.445090833333332"/>
    <n v="55.372771316425002"/>
    <n v="0.23102121180555554"/>
    <n v="0.23071988048510417"/>
  </r>
  <r>
    <x v="16"/>
    <x v="7"/>
    <n v="55.399816388888887"/>
    <n v="55.286852010581953"/>
    <n v="0.23083256828703702"/>
    <n v="0.2303618833774248"/>
  </r>
  <r>
    <x v="16"/>
    <x v="8"/>
    <n v="55.369650277777779"/>
    <n v="55.249389507575557"/>
    <n v="0.2307068761574074"/>
    <n v="0.23020578961489815"/>
  </r>
  <r>
    <x v="16"/>
    <x v="9"/>
    <n v="55.392805277777782"/>
    <n v="54.883913838383613"/>
    <n v="0.23080335532407412"/>
    <n v="0.22868297432659837"/>
  </r>
  <r>
    <x v="16"/>
    <x v="10"/>
    <n v="55.385424166666667"/>
    <n v="55.236557249999997"/>
    <n v="0.23077260069444447"/>
    <n v="0.23015232187499998"/>
  </r>
  <r>
    <x v="16"/>
    <x v="11"/>
    <n v="50.777222222222221"/>
    <n v="50.296388888888892"/>
    <n v="0.21157175925925928"/>
    <n v="0.20956828703703703"/>
  </r>
  <r>
    <x v="17"/>
    <x v="0"/>
    <n v="129.123965"/>
    <n v="75.955080265151395"/>
    <n v="0.53801652083333329"/>
    <n v="0.31647950110479744"/>
  </r>
  <r>
    <x v="17"/>
    <x v="1"/>
    <n v="70.627466111111104"/>
    <n v="41.762704666666657"/>
    <n v="0.29428110879629626"/>
    <n v="0.17401126944444442"/>
  </r>
  <r>
    <x v="17"/>
    <x v="2"/>
    <n v="76.821850277777784"/>
    <n v="50.663637738094998"/>
    <n v="0.32009104282407413"/>
    <n v="0.21109849057539584"/>
  </r>
  <r>
    <x v="17"/>
    <x v="3"/>
    <n v="35.003466388888889"/>
    <n v="27.557838972222221"/>
    <n v="0.14584777662037038"/>
    <n v="0.11482432905092592"/>
  </r>
  <r>
    <x v="17"/>
    <x v="4"/>
    <n v="45.011857499999998"/>
    <n v="29.187371333333331"/>
    <n v="0.18754940624999997"/>
    <n v="0.1216140472222222"/>
  </r>
  <r>
    <x v="17"/>
    <x v="5"/>
    <n v="41.377958055555553"/>
    <n v="32.330761361111108"/>
    <n v="0.17240815856481481"/>
    <n v="0.13471150567129628"/>
  </r>
  <r>
    <x v="17"/>
    <x v="6"/>
    <n v="65.272211666666664"/>
    <n v="48.78477291062778"/>
    <n v="0.27196754861111111"/>
    <n v="0.20326988712761573"/>
  </r>
  <r>
    <x v="17"/>
    <x v="7"/>
    <n v="65.763087499999997"/>
    <n v="47.825794973544717"/>
    <n v="0.27401286458333335"/>
    <n v="0.19927414572310298"/>
  </r>
  <r>
    <x v="17"/>
    <x v="8"/>
    <n v="37.806818888888891"/>
    <n v="26.538280176767501"/>
    <n v="0.15752841203703705"/>
    <n v="0.11057616740319792"/>
  </r>
  <r>
    <x v="17"/>
    <x v="9"/>
    <n v="17.575677222222222"/>
    <n v="12.270625921716951"/>
    <n v="7.3231988425925917E-2"/>
    <n v="5.1127608007153963E-2"/>
  </r>
  <r>
    <x v="17"/>
    <x v="10"/>
    <n v="7.5822874999999996"/>
    <n v="2.5823758564813888"/>
    <n v="3.1592864583333331E-2"/>
    <n v="1.0759899402005786E-2"/>
  </r>
  <r>
    <x v="17"/>
    <x v="11"/>
    <n v="49.330555555555556"/>
    <n v="32.954999999999998"/>
    <n v="0.20554398148148148"/>
    <n v="0.13731249999999998"/>
  </r>
  <r>
    <x v="18"/>
    <x v="0"/>
    <n v="143.42861555555561"/>
    <n v="122.4111454292928"/>
    <n v="0.59761923148148177"/>
    <n v="0.51004643928871995"/>
  </r>
  <r>
    <x v="18"/>
    <x v="1"/>
    <n v="86.099924999999999"/>
    <n v="80.172308888888892"/>
    <n v="0.35874968750000003"/>
    <n v="0.33405128703703707"/>
  </r>
  <r>
    <x v="18"/>
    <x v="2"/>
    <n v="63.04136861111111"/>
    <n v="47.062939814814719"/>
    <n v="0.26267236921296294"/>
    <n v="0.19609558256172799"/>
  </r>
  <r>
    <x v="18"/>
    <x v="3"/>
    <n v="48.14333222222222"/>
    <n v="28.045368819444441"/>
    <n v="0.20059721759259261"/>
    <n v="0.11685570341435185"/>
  </r>
  <r>
    <x v="18"/>
    <x v="4"/>
    <n v="29.859763611111109"/>
    <n v="27.72361168055556"/>
    <n v="0.12441568171296295"/>
    <n v="0.1155150486689815"/>
  </r>
  <r>
    <x v="18"/>
    <x v="5"/>
    <n v="28.69801416666667"/>
    <n v="23.565794986111111"/>
    <n v="0.11957505902777781"/>
    <n v="9.8190812442129627E-2"/>
  </r>
  <r>
    <x v="18"/>
    <x v="6"/>
    <n v="28.499101666666672"/>
    <n v="28.058728164251111"/>
    <n v="0.11874625694444446"/>
    <n v="0.11691136735104629"/>
  </r>
  <r>
    <x v="18"/>
    <x v="7"/>
    <n v="28.800254444444441"/>
    <n v="26.119767169311949"/>
    <n v="0.12000106018518518"/>
    <n v="0.10883236320546645"/>
  </r>
  <r>
    <x v="18"/>
    <x v="8"/>
    <n v="28.999936111111111"/>
    <n v="27.79534761363611"/>
    <n v="0.12083306712962964"/>
    <n v="0.11581394839015047"/>
  </r>
  <r>
    <x v="18"/>
    <x v="9"/>
    <n v="29.227207499999999"/>
    <n v="27.201703232323059"/>
    <n v="0.12178003124999999"/>
    <n v="0.11334043013467941"/>
  </r>
  <r>
    <x v="18"/>
    <x v="10"/>
    <n v="59.418163888888891"/>
    <n v="55.326591791666672"/>
    <n v="0.24757568287037038"/>
    <n v="0.23052746579861114"/>
  </r>
  <r>
    <x v="18"/>
    <x v="11"/>
    <n v="47.851388888888891"/>
    <n v="41.12361111111111"/>
    <n v="0.19938078703703707"/>
    <n v="0.17134837962962965"/>
  </r>
  <r>
    <x v="19"/>
    <x v="0"/>
    <n v="56.254299166666669"/>
    <n v="32.951610429292778"/>
    <n v="0.23439291319444444"/>
    <n v="0.13729837678871989"/>
  </r>
  <r>
    <x v="19"/>
    <x v="1"/>
    <n v="56.128704166666672"/>
    <n v="48.405522041666657"/>
    <n v="0.23386960069444448"/>
    <n v="0.20168967517361105"/>
  </r>
  <r>
    <x v="19"/>
    <x v="2"/>
    <n v="52.944316388888893"/>
    <n v="44.343533611111113"/>
    <n v="0.22060131828703708"/>
    <n v="0.18476472337962965"/>
  </r>
  <r>
    <x v="19"/>
    <x v="3"/>
    <n v="52.849555277777768"/>
    <n v="44.209201194444447"/>
    <n v="0.22020648032407406"/>
    <n v="0.18420500497685185"/>
  </r>
  <r>
    <x v="19"/>
    <x v="4"/>
    <n v="53.749341666666673"/>
    <n v="46.46950152777778"/>
    <n v="0.22395559027777781"/>
    <n v="0.19362292303240744"/>
  </r>
  <r>
    <x v="19"/>
    <x v="5"/>
    <n v="79.058335555555558"/>
    <n v="58.577775132275001"/>
    <n v="0.3294097314814815"/>
    <n v="0.24407406305114585"/>
  </r>
  <r>
    <x v="19"/>
    <x v="6"/>
    <n v="54.467335833333337"/>
    <n v="44.515780676328333"/>
    <n v="0.22694723263888891"/>
    <n v="0.18548241948470137"/>
  </r>
  <r>
    <x v="19"/>
    <x v="7"/>
    <n v="52.757669444444453"/>
    <n v="45.333790939153332"/>
    <n v="0.21982362268518521"/>
    <n v="0.18889079557980556"/>
  </r>
  <r>
    <x v="19"/>
    <x v="8"/>
    <n v="51.877474999999997"/>
    <n v="41.915018282828058"/>
    <n v="0.21615614583333331"/>
    <n v="0.17464590951178358"/>
  </r>
  <r>
    <x v="19"/>
    <x v="9"/>
    <n v="25.42317222222222"/>
    <n v="16.51646837121195"/>
    <n v="0.10592988425925925"/>
    <n v="6.8818618213383129E-2"/>
  </r>
  <r>
    <x v="19"/>
    <x v="10"/>
    <n v="14.44306027777778"/>
    <n v="4.4355191805555556"/>
    <n v="6.0179417824074079E-2"/>
    <n v="1.8481329918981482E-2"/>
  </r>
  <r>
    <x v="19"/>
    <x v="11"/>
    <n v="45.829444444444448"/>
    <n v="35.639722222222218"/>
    <n v="0.19095601851851854"/>
    <n v="0.14849884259259258"/>
  </r>
  <r>
    <x v="20"/>
    <x v="0"/>
    <n v="32.064911944444447"/>
    <n v="23.55586542929278"/>
    <n v="0.13360379976851852"/>
    <n v="9.8149439288719928E-2"/>
  </r>
  <r>
    <x v="20"/>
    <x v="1"/>
    <n v="45.548751388888888"/>
    <n v="22.74079740277778"/>
    <n v="0.18978646412037037"/>
    <n v="9.475332251157409E-2"/>
  </r>
  <r>
    <x v="20"/>
    <x v="2"/>
    <n v="30.498373611111109"/>
    <n v="21.932849880952219"/>
    <n v="0.12707655671296295"/>
    <n v="9.1386874503967583E-2"/>
  </r>
  <r>
    <x v="20"/>
    <x v="3"/>
    <n v="29.184560277777781"/>
    <n v="22.073510083333328"/>
    <n v="0.12160233449074076"/>
    <n v="9.1972958680555536E-2"/>
  </r>
  <r>
    <x v="20"/>
    <x v="4"/>
    <n v="89.251703611111111"/>
    <n v="33.809392527777767"/>
    <n v="0.3718820983796296"/>
    <n v="0.1408724688657407"/>
  </r>
  <r>
    <x v="20"/>
    <x v="5"/>
    <n v="84.524846388888889"/>
    <n v="31.836473027777782"/>
    <n v="0.35218685995370369"/>
    <n v="0.13265197094907408"/>
  </r>
  <r>
    <x v="20"/>
    <x v="6"/>
    <n v="52.777614166666673"/>
    <n v="27.948624855072222"/>
    <n v="0.21990672569444447"/>
    <n v="0.11645260356280092"/>
  </r>
  <r>
    <x v="20"/>
    <x v="7"/>
    <n v="29.934133611111111"/>
    <n v="22.072584550264441"/>
    <n v="0.12472555671296297"/>
    <n v="9.1969102292768501E-2"/>
  </r>
  <r>
    <x v="20"/>
    <x v="8"/>
    <n v="88.056686944444451"/>
    <n v="27.48796210858583"/>
    <n v="0.36690286226851859"/>
    <n v="0.11453317545244096"/>
  </r>
  <r>
    <x v="20"/>
    <x v="9"/>
    <n v="17.96917361111111"/>
    <n v="14.880101565656391"/>
    <n v="7.4871556712962958E-2"/>
    <n v="6.2000423190234966E-2"/>
  </r>
  <r>
    <x v="20"/>
    <x v="10"/>
    <n v="23.577105277777779"/>
    <n v="16.551511180555551"/>
    <n v="9.8237938657407417E-2"/>
    <n v="6.896462991898146E-2"/>
  </r>
  <r>
    <x v="20"/>
    <x v="11"/>
    <n v="43.615833333333327"/>
    <n v="22.074166666666667"/>
    <n v="0.18173263888888888"/>
    <n v="9.1975694444444436E-2"/>
  </r>
  <r>
    <x v="21"/>
    <x v="0"/>
    <n v="43.651248055555563"/>
    <n v="36.964633977272499"/>
    <n v="0.18188020023148152"/>
    <n v="0.15401930823863541"/>
  </r>
  <r>
    <x v="21"/>
    <x v="1"/>
    <n v="59.371605833333327"/>
    <n v="37.553809958333332"/>
    <n v="0.24738169097222218"/>
    <n v="0.15647420815972221"/>
  </r>
  <r>
    <x v="21"/>
    <x v="2"/>
    <n v="43.709391388888889"/>
    <n v="36.382944589946938"/>
    <n v="0.18212246412037036"/>
    <n v="0.15159560245811224"/>
  </r>
  <r>
    <x v="21"/>
    <x v="3"/>
    <n v="41.443756944444438"/>
    <n v="35.088099972222217"/>
    <n v="0.17268232060185182"/>
    <n v="0.14620041655092589"/>
  </r>
  <r>
    <x v="21"/>
    <x v="4"/>
    <n v="38.667784444444443"/>
    <n v="29.922865171957501"/>
    <n v="0.16111576851851853"/>
    <n v="0.12467860488315625"/>
  </r>
  <r>
    <x v="21"/>
    <x v="5"/>
    <n v="61.922874722222232"/>
    <n v="22.19758953703694"/>
    <n v="0.25801197800925929"/>
    <n v="9.2489956404320575E-2"/>
  </r>
  <r>
    <x v="21"/>
    <x v="6"/>
    <n v="51.720098333333333"/>
    <n v="33.664050253623053"/>
    <n v="0.2155004097222222"/>
    <n v="0.14026687605676272"/>
  </r>
  <r>
    <x v="21"/>
    <x v="7"/>
    <n v="49.332326944444453"/>
    <n v="38.67180771164"/>
    <n v="0.20555136226851856"/>
    <n v="0.16113253213183334"/>
  </r>
  <r>
    <x v="21"/>
    <x v="8"/>
    <n v="49.544192222222222"/>
    <n v="40.323497121211943"/>
    <n v="0.20643413425925927"/>
    <n v="0.16801457133838307"/>
  </r>
  <r>
    <x v="21"/>
    <x v="9"/>
    <n v="37.610316111111111"/>
    <n v="32.39126760101"/>
    <n v="0.15670965046296295"/>
    <n v="0.13496361500420834"/>
  </r>
  <r>
    <x v="21"/>
    <x v="10"/>
    <n v="42.176087222222222"/>
    <n v="33.026278013888891"/>
    <n v="0.17573369675925923"/>
    <n v="0.13760949172453704"/>
  </r>
  <r>
    <x v="21"/>
    <x v="11"/>
    <n v="43.262500000000003"/>
    <n v="31.349166666666669"/>
    <n v="0.18026041666666667"/>
    <n v="0.13062152777777777"/>
  </r>
  <r>
    <x v="22"/>
    <x v="0"/>
    <n v="166.73625749999999"/>
    <n v="13.551144027777781"/>
    <n v="0.69473440624999994"/>
    <n v="5.6463100115740759E-2"/>
  </r>
  <r>
    <x v="22"/>
    <x v="1"/>
    <n v="166.87624"/>
    <n v="41.179539222222218"/>
    <n v="0.69531766666666661"/>
    <n v="0.17158141342592592"/>
  </r>
  <r>
    <x v="22"/>
    <x v="2"/>
    <n v="166.7335247222222"/>
    <n v="29.00352338624333"/>
    <n v="0.69472301967592587"/>
    <n v="0.1208480141093472"/>
  </r>
  <r>
    <x v="22"/>
    <x v="3"/>
    <n v="1.313488611111111"/>
    <n v="1.3035480555555561"/>
    <n v="5.4728692129629624E-3"/>
    <n v="5.4314502314814841E-3"/>
  </r>
  <r>
    <x v="22"/>
    <x v="11"/>
    <n v="100.33194444444445"/>
    <n v="17.007777777777779"/>
    <n v="0.41804976851851849"/>
    <n v="7.0865740740740743E-2"/>
  </r>
  <r>
    <x v="23"/>
    <x v="0"/>
    <n v="42.027236388888888"/>
    <n v="41.785923093434157"/>
    <n v="0.17511348495370371"/>
    <n v="0.17410801288930899"/>
  </r>
  <r>
    <x v="23"/>
    <x v="1"/>
    <n v="42.078365555555557"/>
    <n v="41.759166902777778"/>
    <n v="0.17532652314814814"/>
    <n v="0.17399652876157409"/>
  </r>
  <r>
    <x v="23"/>
    <x v="2"/>
    <n v="41.889098333333337"/>
    <n v="41.718514087301394"/>
    <n v="0.17453790972222225"/>
    <n v="0.17382714203042249"/>
  </r>
  <r>
    <x v="23"/>
    <x v="3"/>
    <n v="41.951095555555547"/>
    <n v="37.954582133838343"/>
    <n v="0.17479623148148146"/>
    <n v="0.15814409222432643"/>
  </r>
  <r>
    <x v="23"/>
    <x v="4"/>
    <n v="41.95102138888889"/>
    <n v="37.960060858585827"/>
    <n v="0.17479592245370371"/>
    <n v="0.15816692024410761"/>
  </r>
  <r>
    <x v="23"/>
    <x v="5"/>
    <n v="41.898630555555563"/>
    <n v="39.849331838624167"/>
    <n v="0.17457762731481485"/>
    <n v="0.16603888266093403"/>
  </r>
  <r>
    <x v="23"/>
    <x v="6"/>
    <n v="41.892814722222219"/>
    <n v="41.755066642511942"/>
    <n v="0.1745533946759259"/>
    <n v="0.17397944434379975"/>
  </r>
  <r>
    <x v="23"/>
    <x v="7"/>
    <n v="41.855494999999998"/>
    <n v="41.346698108465553"/>
    <n v="0.17439789583333332"/>
    <n v="0.17227790878527313"/>
  </r>
  <r>
    <x v="23"/>
    <x v="8"/>
    <n v="41.842744444444442"/>
    <n v="41.739221085858333"/>
    <n v="0.17434476851851852"/>
    <n v="0.17391342119107636"/>
  </r>
  <r>
    <x v="23"/>
    <x v="9"/>
    <n v="41.830842500000003"/>
    <n v="41.715730492424157"/>
    <n v="0.17429517708333334"/>
    <n v="0.173815543718434"/>
  </r>
  <r>
    <x v="23"/>
    <x v="10"/>
    <n v="41.857575833333343"/>
    <n v="41.738325111111109"/>
    <n v="0.17440656597222226"/>
    <n v="0.17390968796296294"/>
  </r>
  <r>
    <x v="23"/>
    <x v="11"/>
    <n v="38.423055555555557"/>
    <n v="37.44361111111111"/>
    <n v="0.16009606481481484"/>
    <n v="0.15601504629629628"/>
  </r>
  <r>
    <x v="24"/>
    <x v="0"/>
    <n v="41.309582499999998"/>
    <n v="39.961534204545281"/>
    <n v="0.17212326041666667"/>
    <n v="0.16650639251893867"/>
  </r>
  <r>
    <x v="24"/>
    <x v="1"/>
    <n v="40.244539722222221"/>
    <n v="39.903094777777781"/>
    <n v="0.16768558217592591"/>
    <n v="0.16626289490740742"/>
  </r>
  <r>
    <x v="24"/>
    <x v="2"/>
    <n v="40.253779444444447"/>
    <n v="39.632259669311942"/>
    <n v="0.16772408101851854"/>
    <n v="0.16513441528879977"/>
  </r>
  <r>
    <x v="24"/>
    <x v="3"/>
    <n v="41.946336388888888"/>
    <n v="40.096336430555553"/>
    <n v="0.17477640162037036"/>
    <n v="0.16706806846064814"/>
  </r>
  <r>
    <x v="24"/>
    <x v="4"/>
    <n v="40.204626111111111"/>
    <n v="39.368229861111111"/>
    <n v="0.16751927546296297"/>
    <n v="0.16403429108796297"/>
  </r>
  <r>
    <x v="24"/>
    <x v="5"/>
    <n v="40.330813055555552"/>
    <n v="38.337377777777768"/>
    <n v="0.16804505439814812"/>
    <n v="0.15973907407407403"/>
  </r>
  <r>
    <x v="24"/>
    <x v="6"/>
    <n v="40.711981666666667"/>
    <n v="39.63702492753611"/>
    <n v="0.16963325694444445"/>
    <n v="0.16515427053140044"/>
  </r>
  <r>
    <x v="24"/>
    <x v="7"/>
    <n v="40.128568611111113"/>
    <n v="39.522962513227498"/>
    <n v="0.16720236921296297"/>
    <n v="0.16467901047178124"/>
  </r>
  <r>
    <x v="24"/>
    <x v="8"/>
    <n v="40.180686111111108"/>
    <n v="39.908163282828063"/>
    <n v="0.16741952546296293"/>
    <n v="0.16628401367845028"/>
  </r>
  <r>
    <x v="24"/>
    <x v="9"/>
    <n v="40.094141111111107"/>
    <n v="35.101539191919173"/>
    <n v="0.16705892129629629"/>
    <n v="0.14625641329966321"/>
  </r>
  <r>
    <x v="24"/>
    <x v="10"/>
    <n v="40.089596111111113"/>
    <n v="39.323222027777781"/>
    <n v="0.16703998379629628"/>
    <n v="0.16384675844907409"/>
  </r>
  <r>
    <x v="24"/>
    <x v="11"/>
    <n v="37.124722222222218"/>
    <n v="35.899444444444448"/>
    <n v="0.15468634259259259"/>
    <n v="0.14958101851851854"/>
  </r>
  <r>
    <x v="25"/>
    <x v="0"/>
    <n v="39.687806388888887"/>
    <n v="22.44340026388889"/>
    <n v="0.1653658599537037"/>
    <n v="9.3514167766203707E-2"/>
  </r>
  <r>
    <x v="25"/>
    <x v="1"/>
    <n v="39.684218611111113"/>
    <n v="24.238042513227501"/>
    <n v="0.16535091087962964"/>
    <n v="0.1009918438051146"/>
  </r>
  <r>
    <x v="25"/>
    <x v="2"/>
    <n v="39.699482500000002"/>
    <n v="25.02466353535333"/>
    <n v="0.16541451041666669"/>
    <n v="0.10426943139730555"/>
  </r>
  <r>
    <x v="25"/>
    <x v="3"/>
    <n v="39.687896944444446"/>
    <n v="20.866345497685"/>
    <n v="0.16536623726851854"/>
    <n v="8.6943106240354173E-2"/>
  </r>
  <r>
    <x v="25"/>
    <x v="4"/>
    <n v="39.689649166666669"/>
    <n v="27.571403216374161"/>
    <n v="0.16537353819444445"/>
    <n v="0.11488084673489234"/>
  </r>
  <r>
    <x v="25"/>
    <x v="5"/>
    <n v="39.694141666666667"/>
    <n v="24.256129684343328"/>
    <n v="0.16539225694444445"/>
    <n v="0.1010672070180972"/>
  </r>
  <r>
    <x v="25"/>
    <x v="6"/>
    <n v="39.689047500000001"/>
    <n v="22.961571355555559"/>
    <n v="0.16537103124999999"/>
    <n v="9.56732139814815E-2"/>
  </r>
  <r>
    <x v="25"/>
    <x v="7"/>
    <n v="39.659491666666668"/>
    <n v="26.00986165343889"/>
    <n v="0.16524788194444445"/>
    <n v="0.10837442355599537"/>
  </r>
  <r>
    <x v="25"/>
    <x v="8"/>
    <n v="39.637411388888893"/>
    <n v="25.336802487922501"/>
    <n v="0.16515588078703705"/>
    <n v="0.10557001036634377"/>
  </r>
  <r>
    <x v="25"/>
    <x v="9"/>
    <n v="39.62341111111111"/>
    <n v="25.27695065656556"/>
    <n v="0.16509754629629628"/>
    <n v="0.10532062773568984"/>
  </r>
  <r>
    <x v="25"/>
    <x v="10"/>
    <n v="39.621847222222222"/>
    <n v="17.843809034391391"/>
    <n v="0.1650910300925926"/>
    <n v="7.4349204309964126E-2"/>
  </r>
  <r>
    <x v="25"/>
    <x v="11"/>
    <n v="36.36472222222222"/>
    <n v="21.819166666666668"/>
    <n v="0.15151967592592591"/>
    <n v="9.0913194444444456E-2"/>
  </r>
  <r>
    <x v="26"/>
    <x v="0"/>
    <n v="38.896582500000001"/>
    <n v="38.420977424242217"/>
    <n v="0.16206909375"/>
    <n v="0.16008740593434256"/>
  </r>
  <r>
    <x v="26"/>
    <x v="1"/>
    <n v="39.030817499999998"/>
    <n v="38.131084069444448"/>
    <n v="0.16262840625"/>
    <n v="0.15887951695601854"/>
  </r>
  <r>
    <x v="26"/>
    <x v="2"/>
    <n v="39.249883333333337"/>
    <n v="38.42720345238083"/>
    <n v="0.16354118055555558"/>
    <n v="0.16011334771825345"/>
  </r>
  <r>
    <x v="26"/>
    <x v="3"/>
    <n v="38.98775361111111"/>
    <n v="38.551497708333343"/>
    <n v="0.16244897337962963"/>
    <n v="0.16063124045138893"/>
  </r>
  <r>
    <x v="26"/>
    <x v="4"/>
    <n v="39.217065833333344"/>
    <n v="37.74227641666667"/>
    <n v="0.16340444097222226"/>
    <n v="0.15725948506944445"/>
  </r>
  <r>
    <x v="26"/>
    <x v="5"/>
    <n v="38.782853888888887"/>
    <n v="36.445251812169168"/>
    <n v="0.16159522453703704"/>
    <n v="0.15185521588403819"/>
  </r>
  <r>
    <x v="26"/>
    <x v="6"/>
    <n v="38.959183333333343"/>
    <n v="38.441030217391109"/>
    <n v="0.16232993055555558"/>
    <n v="0.16017095923912963"/>
  </r>
  <r>
    <x v="26"/>
    <x v="7"/>
    <n v="38.685089722222223"/>
    <n v="38.050027698412499"/>
    <n v="0.16118787384259259"/>
    <n v="0.15854178207671873"/>
  </r>
  <r>
    <x v="26"/>
    <x v="8"/>
    <n v="38.723903333333332"/>
    <n v="38.229057500000003"/>
    <n v="0.16134959722222222"/>
    <n v="0.15928773958333334"/>
  </r>
  <r>
    <x v="26"/>
    <x v="9"/>
    <n v="38.668633333333332"/>
    <n v="38.344282121211947"/>
    <n v="0.16111930555555556"/>
    <n v="0.15976784217171644"/>
  </r>
  <r>
    <x v="26"/>
    <x v="10"/>
    <n v="38.714898888888889"/>
    <n v="37.817317013888889"/>
    <n v="0.1613120787037037"/>
    <n v="0.15757215422453705"/>
  </r>
  <r>
    <x v="26"/>
    <x v="11"/>
    <n v="35.659722222222221"/>
    <n v="34.883611111111115"/>
    <n v="0.14858217592592593"/>
    <n v="0.14534837962962965"/>
  </r>
  <r>
    <x v="27"/>
    <x v="0"/>
    <n v="31.739571111111111"/>
    <n v="25.458229967948611"/>
    <n v="0.13224821296296296"/>
    <n v="0.10607595819978588"/>
  </r>
  <r>
    <x v="27"/>
    <x v="1"/>
    <n v="31.890798888888892"/>
    <n v="27.43412003472222"/>
    <n v="0.13287832870370372"/>
    <n v="0.11430883347800924"/>
  </r>
  <r>
    <x v="27"/>
    <x v="2"/>
    <n v="40.138868611111107"/>
    <n v="28.671594647435828"/>
    <n v="0.16724528587962961"/>
    <n v="0.11946497769764929"/>
  </r>
  <r>
    <x v="27"/>
    <x v="3"/>
    <n v="40.182254722222233"/>
    <n v="29.142548692129441"/>
    <n v="0.16742606134259264"/>
    <n v="0.121427286217206"/>
  </r>
  <r>
    <x v="27"/>
    <x v="4"/>
    <n v="40.287863055555547"/>
    <n v="28.14126118888889"/>
    <n v="0.16786609606481476"/>
    <n v="0.1172552549537037"/>
  </r>
  <r>
    <x v="27"/>
    <x v="5"/>
    <n v="40.345192500000003"/>
    <n v="28.544739711111109"/>
    <n v="0.16810496875000003"/>
    <n v="0.11893641546296296"/>
  </r>
  <r>
    <x v="27"/>
    <x v="6"/>
    <n v="40.253951944444452"/>
    <n v="26.504394084361941"/>
    <n v="0.16772479976851853"/>
    <n v="0.11043497535150809"/>
  </r>
  <r>
    <x v="27"/>
    <x v="7"/>
    <n v="40.539491111111111"/>
    <n v="28.07884446581194"/>
    <n v="0.16891454629629629"/>
    <n v="0.11699518527421642"/>
  </r>
  <r>
    <x v="27"/>
    <x v="8"/>
    <n v="40.443425833333343"/>
    <n v="29.277849391025551"/>
    <n v="0.16851427430555557"/>
    <n v="0.12199103912927313"/>
  </r>
  <r>
    <x v="27"/>
    <x v="9"/>
    <n v="40.327538888888888"/>
    <n v="29.095151250000001"/>
    <n v="0.16803141203703706"/>
    <n v="0.121229796875"/>
  </r>
  <r>
    <x v="27"/>
    <x v="10"/>
    <n v="40.236192500000001"/>
    <n v="29.720553322222219"/>
    <n v="0.16765080208333336"/>
    <n v="0.12383563884259258"/>
  </r>
  <r>
    <x v="27"/>
    <x v="11"/>
    <n v="35.532222222222224"/>
    <n v="25.839166666666664"/>
    <n v="0.14805092592592592"/>
    <n v="0.10766319444444443"/>
  </r>
  <r>
    <x v="28"/>
    <x v="0"/>
    <n v="35.768831666666657"/>
    <n v="34.490860896464447"/>
    <n v="0.14903679861111108"/>
    <n v="0.1437119204019352"/>
  </r>
  <r>
    <x v="28"/>
    <x v="1"/>
    <n v="38.346372222222222"/>
    <n v="35.501344888888887"/>
    <n v="0.15977655092592594"/>
    <n v="0.14792227037037037"/>
  </r>
  <r>
    <x v="28"/>
    <x v="2"/>
    <n v="35.924186666666657"/>
    <n v="33.057213399470832"/>
    <n v="0.14968411111111107"/>
    <n v="0.13773838916446179"/>
  </r>
  <r>
    <x v="28"/>
    <x v="3"/>
    <n v="35.78398416666667"/>
    <n v="35.504793236111112"/>
    <n v="0.1490999340277778"/>
    <n v="0.14793663848379632"/>
  </r>
  <r>
    <x v="28"/>
    <x v="4"/>
    <n v="36.08869277777778"/>
    <n v="34.147688791666667"/>
    <n v="0.15036955324074075"/>
    <n v="0.14228203663194444"/>
  </r>
  <r>
    <x v="28"/>
    <x v="5"/>
    <n v="35.781155555555557"/>
    <n v="31.68334391534389"/>
    <n v="0.14908814814814816"/>
    <n v="0.13201393298059955"/>
  </r>
  <r>
    <x v="28"/>
    <x v="6"/>
    <n v="35.747214722222218"/>
    <n v="34.652505869564997"/>
    <n v="0.14894672800925923"/>
    <n v="0.14438544112318749"/>
  </r>
  <r>
    <x v="28"/>
    <x v="7"/>
    <n v="36.701598333333337"/>
    <n v="34.978528955026391"/>
    <n v="0.15292332638888892"/>
    <n v="0.1457438706459433"/>
  </r>
  <r>
    <x v="28"/>
    <x v="8"/>
    <n v="35.738500833333333"/>
    <n v="35.66827497474722"/>
    <n v="0.14891042013888889"/>
    <n v="0.14861781239478009"/>
  </r>
  <r>
    <x v="28"/>
    <x v="9"/>
    <n v="35.899767777777782"/>
    <n v="35.347788964646391"/>
    <n v="0.14958236574074077"/>
    <n v="0.14728245401935997"/>
  </r>
  <r>
    <x v="28"/>
    <x v="10"/>
    <n v="35.771972222222217"/>
    <n v="35.677075694444447"/>
    <n v="0.14904988425925925"/>
    <n v="0.14865448206018519"/>
  </r>
  <r>
    <x v="28"/>
    <x v="11"/>
    <n v="33.129444444444445"/>
    <n v="31.725833333333334"/>
    <n v="0.13803935185185187"/>
    <n v="0.13219097222222223"/>
  </r>
  <r>
    <x v="29"/>
    <x v="0"/>
    <n v="34.805805833333331"/>
    <n v="34.371937878787783"/>
    <n v="0.14502419097222222"/>
    <n v="0.14321640782828243"/>
  </r>
  <r>
    <x v="29"/>
    <x v="1"/>
    <n v="34.801209999999998"/>
    <n v="34.661757250000001"/>
    <n v="0.14500504166666664"/>
    <n v="0.14442398854166669"/>
  </r>
  <r>
    <x v="29"/>
    <x v="2"/>
    <n v="35.36356416666667"/>
    <n v="33.680735952380843"/>
    <n v="0.1473481840277778"/>
    <n v="0.14033639980158685"/>
  </r>
  <r>
    <x v="29"/>
    <x v="3"/>
    <n v="34.805827777777779"/>
    <n v="34.648437874999999"/>
    <n v="0.14502428240740742"/>
    <n v="0.14436849114583333"/>
  </r>
  <r>
    <x v="29"/>
    <x v="4"/>
    <n v="34.840798888888891"/>
    <n v="34.00241172222222"/>
    <n v="0.14516999537037037"/>
    <n v="0.14167671550925925"/>
  </r>
  <r>
    <x v="29"/>
    <x v="5"/>
    <n v="34.870852777777777"/>
    <n v="32.986760753968063"/>
    <n v="0.1452952199074074"/>
    <n v="0.13744483647486694"/>
  </r>
  <r>
    <x v="29"/>
    <x v="6"/>
    <n v="34.862057222222219"/>
    <n v="34.734586425120547"/>
    <n v="0.14525857175925924"/>
    <n v="0.14472744343800228"/>
  </r>
  <r>
    <x v="29"/>
    <x v="7"/>
    <n v="34.815624166666673"/>
    <n v="34.410403452380827"/>
    <n v="0.14506510069444448"/>
    <n v="0.14337668105158677"/>
  </r>
  <r>
    <x v="29"/>
    <x v="8"/>
    <n v="34.781154444444446"/>
    <n v="34.447104179292779"/>
    <n v="0.14492147685185186"/>
    <n v="0.14352960074705326"/>
  </r>
  <r>
    <x v="29"/>
    <x v="9"/>
    <n v="34.916495555555557"/>
    <n v="33.929676212121109"/>
    <n v="0.14548539814814815"/>
    <n v="0.14137365088383794"/>
  </r>
  <r>
    <x v="29"/>
    <x v="10"/>
    <n v="34.745341666666668"/>
    <n v="34.522046291666669"/>
    <n v="0.14477225694444446"/>
    <n v="0.14384185954861112"/>
  </r>
  <r>
    <x v="29"/>
    <x v="11"/>
    <n v="31.967499999999998"/>
    <n v="31.366388888888888"/>
    <n v="0.13319791666666667"/>
    <n v="0.13069328703703703"/>
  </r>
  <r>
    <x v="30"/>
    <x v="0"/>
    <n v="13.51893444444444"/>
    <n v="7.2562060869563876"/>
    <n v="5.6328893518518497E-2"/>
    <n v="3.0234192028984946E-2"/>
  </r>
  <r>
    <x v="30"/>
    <x v="1"/>
    <n v="14.02083222222222"/>
    <n v="6.9649518055555557"/>
    <n v="5.8420134259259245E-2"/>
    <n v="2.9020632523148151E-2"/>
  </r>
  <r>
    <x v="30"/>
    <x v="2"/>
    <n v="12.488086666666669"/>
    <n v="6.3326394047616663"/>
    <n v="5.2033694444444452E-2"/>
    <n v="2.6385997519840276E-2"/>
  </r>
  <r>
    <x v="30"/>
    <x v="3"/>
    <n v="11.689139722222221"/>
    <n v="5.7452572727272226"/>
    <n v="4.8704748842592592E-2"/>
    <n v="2.3938571969696759E-2"/>
  </r>
  <r>
    <x v="30"/>
    <x v="4"/>
    <n v="47.554488611111111"/>
    <n v="10.913886262626111"/>
    <n v="0.19814370254629629"/>
    <n v="4.5474526094275464E-2"/>
  </r>
  <r>
    <x v="30"/>
    <x v="5"/>
    <n v="34.460878333333334"/>
    <n v="12.869424550264441"/>
    <n v="0.14358699305555556"/>
    <n v="5.3622602292768502E-2"/>
  </r>
  <r>
    <x v="30"/>
    <x v="6"/>
    <n v="37.526944999999998"/>
    <n v="16.68895463768111"/>
    <n v="0.15636227083333332"/>
    <n v="6.9537310990337955E-2"/>
  </r>
  <r>
    <x v="30"/>
    <x v="7"/>
    <n v="45.926876111111113"/>
    <n v="21.86779784391528"/>
    <n v="0.19136198379629632"/>
    <n v="9.1115824349647004E-2"/>
  </r>
  <r>
    <x v="30"/>
    <x v="8"/>
    <n v="57.041933055555553"/>
    <n v="31.361739229797781"/>
    <n v="0.2376747210648148"/>
    <n v="0.13067391345749077"/>
  </r>
  <r>
    <x v="30"/>
    <x v="9"/>
    <n v="54.256290555555559"/>
    <n v="21.504443731883889"/>
    <n v="0.22606787731481481"/>
    <n v="8.9601848882849541E-2"/>
  </r>
  <r>
    <x v="30"/>
    <x v="10"/>
    <n v="28.544599166666671"/>
    <n v="14.007625916666671"/>
    <n v="0.11893582986111113"/>
    <n v="5.836510798611113E-2"/>
  </r>
  <r>
    <x v="30"/>
    <x v="11"/>
    <n v="29.752500000000001"/>
    <n v="12.959444444444445"/>
    <n v="0.12396875"/>
    <n v="5.399768518518519E-2"/>
  </r>
  <r>
    <x v="31"/>
    <x v="0"/>
    <n v="46.328020000000002"/>
    <n v="19.662356613756391"/>
    <n v="0.19303341666666665"/>
    <n v="8.1926485890651629E-2"/>
  </r>
  <r>
    <x v="31"/>
    <x v="1"/>
    <n v="23.626302222222218"/>
    <n v="13.68811494444444"/>
    <n v="9.8442925925925906E-2"/>
    <n v="5.7033812268518502E-2"/>
  </r>
  <r>
    <x v="31"/>
    <x v="2"/>
    <n v="45.768081111111108"/>
    <n v="21.098024947089719"/>
    <n v="0.19070033796296296"/>
    <n v="8.7908437279540494E-2"/>
  </r>
  <r>
    <x v="31"/>
    <x v="3"/>
    <n v="45.133461666666669"/>
    <n v="35.610016361111107"/>
    <n v="0.18805609027777778"/>
    <n v="0.14837506817129628"/>
  </r>
  <r>
    <x v="31"/>
    <x v="4"/>
    <n v="43.692856666666657"/>
    <n v="20.492998208333329"/>
    <n v="0.1820535694444444"/>
    <n v="8.5387492534722206E-2"/>
  </r>
  <r>
    <x v="31"/>
    <x v="5"/>
    <n v="20.301666111111111"/>
    <n v="10.860107152777781"/>
    <n v="8.4590275462962952E-2"/>
    <n v="4.5250446469907418E-2"/>
  </r>
  <r>
    <x v="31"/>
    <x v="6"/>
    <n v="19.072361666666669"/>
    <n v="9.518722004830833"/>
    <n v="7.9468173611111123E-2"/>
    <n v="3.9661341686795137E-2"/>
  </r>
  <r>
    <x v="31"/>
    <x v="7"/>
    <n v="11.48371138888889"/>
    <n v="7.2332008333333331"/>
    <n v="4.7848797453703712E-2"/>
    <n v="3.0138336805555554E-2"/>
  </r>
  <r>
    <x v="31"/>
    <x v="8"/>
    <n v="24.07890444444444"/>
    <n v="10.61868896464639"/>
    <n v="0.1003287685185185"/>
    <n v="4.4244537352693292E-2"/>
  </r>
  <r>
    <x v="31"/>
    <x v="9"/>
    <n v="21.932844444444449"/>
    <n v="11.29071297979778"/>
    <n v="9.1386851851851872E-2"/>
    <n v="4.7044637415824077E-2"/>
  </r>
  <r>
    <x v="31"/>
    <x v="10"/>
    <n v="27.17802416666667"/>
    <n v="9.0188122499999999"/>
    <n v="0.11324176736111113"/>
    <n v="3.7578384375000003E-2"/>
  </r>
  <r>
    <x v="31"/>
    <x v="11"/>
    <n v="27.383055555555554"/>
    <n v="14.091111111111111"/>
    <n v="0.11409606481481481"/>
    <n v="5.8712962962962967E-2"/>
  </r>
  <r>
    <x v="32"/>
    <x v="0"/>
    <n v="29.324075000000001"/>
    <n v="28.67933508838361"/>
    <n v="0.12218364583333334"/>
    <n v="0.11949722953493171"/>
  </r>
  <r>
    <x v="32"/>
    <x v="1"/>
    <n v="29.39787055555556"/>
    <n v="28.960355666666668"/>
    <n v="0.12249112731481483"/>
    <n v="0.12066814861111112"/>
  </r>
  <r>
    <x v="32"/>
    <x v="2"/>
    <n v="29.398525277777779"/>
    <n v="28.92984195767194"/>
    <n v="0.12249385532407409"/>
    <n v="0.1205410081569664"/>
  </r>
  <r>
    <x v="32"/>
    <x v="3"/>
    <n v="30.294928611111111"/>
    <n v="27.821473373015831"/>
    <n v="0.12622886921296297"/>
    <n v="0.1159228057208993"/>
  </r>
  <r>
    <x v="32"/>
    <x v="4"/>
    <n v="29.83583472222222"/>
    <n v="28.874536555555551"/>
    <n v="0.12431597800925925"/>
    <n v="0.12031056898148146"/>
  </r>
  <r>
    <x v="32"/>
    <x v="5"/>
    <n v="29.534931666666669"/>
    <n v="27.769388928571392"/>
    <n v="0.12306221527777779"/>
    <n v="0.1157057872023808"/>
  </r>
  <r>
    <x v="32"/>
    <x v="6"/>
    <n v="29.429883888888892"/>
    <n v="28.580527705313891"/>
    <n v="0.12262451620370372"/>
    <n v="0.11908553210547455"/>
  </r>
  <r>
    <x v="32"/>
    <x v="7"/>
    <n v="29.691997499999999"/>
    <n v="28.639781455026391"/>
    <n v="0.12371665625"/>
    <n v="0.11933242272927663"/>
  </r>
  <r>
    <x v="32"/>
    <x v="8"/>
    <n v="29.345353333333328"/>
    <n v="28.918777664141391"/>
    <n v="0.12227230555555553"/>
    <n v="0.12049490693392247"/>
  </r>
  <r>
    <x v="32"/>
    <x v="9"/>
    <n v="29.792302777777781"/>
    <n v="28.180786780302778"/>
    <n v="0.12413459490740741"/>
    <n v="0.11741994491792825"/>
  </r>
  <r>
    <x v="32"/>
    <x v="10"/>
    <n v="29.489430277777782"/>
    <n v="28.961313722222219"/>
    <n v="0.12287262615740742"/>
    <n v="0.12067214050925924"/>
  </r>
  <r>
    <x v="32"/>
    <x v="11"/>
    <n v="27.128055555555555"/>
    <n v="26.193055555555553"/>
    <n v="0.11303356481481482"/>
    <n v="0.10913773148148147"/>
  </r>
  <r>
    <x v="33"/>
    <x v="0"/>
    <n v="25.551178611111109"/>
    <n v="25.02308183080806"/>
    <n v="0.10646324421296295"/>
    <n v="0.10426284096170024"/>
  </r>
  <r>
    <x v="33"/>
    <x v="1"/>
    <n v="25.713670555555559"/>
    <n v="25.251519986111109"/>
    <n v="0.1071402939814815"/>
    <n v="0.10521466660879629"/>
  </r>
  <r>
    <x v="33"/>
    <x v="2"/>
    <n v="25.49193416666667"/>
    <n v="24.548418796296112"/>
    <n v="0.10621639236111113"/>
    <n v="0.10228507831790046"/>
  </r>
  <r>
    <x v="33"/>
    <x v="3"/>
    <n v="26.012338611111112"/>
    <n v="25.445704347222222"/>
    <n v="0.10838474421296296"/>
    <n v="0.10602376811342591"/>
  </r>
  <r>
    <x v="33"/>
    <x v="4"/>
    <n v="26.218085277777782"/>
    <n v="22.264381719576669"/>
    <n v="0.10924202199074075"/>
    <n v="9.2768257164902779E-2"/>
  </r>
  <r>
    <x v="33"/>
    <x v="5"/>
    <n v="25.62679444444445"/>
    <n v="24.290494695766949"/>
    <n v="0.1067783101851852"/>
    <n v="0.10121039456569562"/>
  </r>
  <r>
    <x v="33"/>
    <x v="6"/>
    <n v="25.609161944444441"/>
    <n v="25.454538321255828"/>
    <n v="0.10670484143518517"/>
    <n v="0.10606057633856596"/>
  </r>
  <r>
    <x v="33"/>
    <x v="7"/>
    <n v="29.093900277777781"/>
    <n v="27.048260568783061"/>
    <n v="0.12122458449074075"/>
    <n v="0.11270108570326276"/>
  </r>
  <r>
    <x v="33"/>
    <x v="8"/>
    <n v="28.944449444444441"/>
    <n v="28.527094987373609"/>
    <n v="0.12060187268518517"/>
    <n v="0.11886289578072336"/>
  </r>
  <r>
    <x v="33"/>
    <x v="9"/>
    <n v="35.115863611111109"/>
    <n v="28.558252702019999"/>
    <n v="0.14631609837962964"/>
    <n v="0.11899271959174999"/>
  </r>
  <r>
    <x v="33"/>
    <x v="10"/>
    <n v="28.88877861111111"/>
    <n v="28.394178875000001"/>
    <n v="0.12036991087962963"/>
    <n v="0.11830907864583334"/>
  </r>
  <r>
    <x v="33"/>
    <x v="11"/>
    <n v="25.188888888888886"/>
    <n v="23.733888888888888"/>
    <n v="0.1049537037037037"/>
    <n v="9.8891203703703703E-2"/>
  </r>
  <r>
    <x v="34"/>
    <x v="0"/>
    <n v="38.042086944444442"/>
    <n v="17.476671736111111"/>
    <n v="0.15850869560185185"/>
    <n v="7.2819465567129635E-2"/>
  </r>
  <r>
    <x v="34"/>
    <x v="1"/>
    <n v="18.038391944444449"/>
    <n v="17.05066167929278"/>
    <n v="7.5159966435185202E-2"/>
    <n v="7.1044423663719922E-2"/>
  </r>
  <r>
    <x v="34"/>
    <x v="2"/>
    <n v="29.7260475"/>
    <n v="19.748764841269718"/>
    <n v="0.12385853125"/>
    <n v="8.2286520171957159E-2"/>
  </r>
  <r>
    <x v="34"/>
    <x v="3"/>
    <n v="27.32369222222222"/>
    <n v="19.11238643055556"/>
    <n v="0.11384871759259259"/>
    <n v="7.9634943460648158E-2"/>
  </r>
  <r>
    <x v="34"/>
    <x v="4"/>
    <n v="22.453553888888891"/>
    <n v="18.862420472222219"/>
    <n v="9.355647453703704E-2"/>
    <n v="7.8593418634259241E-2"/>
  </r>
  <r>
    <x v="34"/>
    <x v="5"/>
    <n v="18.604658055555561"/>
    <n v="16.264230621693059"/>
    <n v="7.7519408564814832E-2"/>
    <n v="6.776762759038775E-2"/>
  </r>
  <r>
    <x v="34"/>
    <x v="6"/>
    <n v="28.265659166666669"/>
    <n v="19.72843268115917"/>
    <n v="0.11777357986111113"/>
    <n v="8.220180283816321E-2"/>
  </r>
  <r>
    <x v="34"/>
    <x v="7"/>
    <n v="29.471704722222221"/>
    <n v="22.628798187830551"/>
    <n v="0.12279876967592591"/>
    <n v="9.4286659115960625E-2"/>
  </r>
  <r>
    <x v="34"/>
    <x v="8"/>
    <n v="26.712663888888891"/>
    <n v="21.978470517676669"/>
    <n v="0.11130276620370372"/>
    <n v="9.1576960490319451E-2"/>
  </r>
  <r>
    <x v="34"/>
    <x v="9"/>
    <n v="25.856166111111111"/>
    <n v="22.246363320706941"/>
    <n v="0.10773402546296296"/>
    <n v="9.2693180502945574E-2"/>
  </r>
  <r>
    <x v="34"/>
    <x v="10"/>
    <n v="23.870532499999999"/>
    <n v="21.71522486111111"/>
    <n v="9.9460552083333334E-2"/>
    <n v="9.0480103587962948E-2"/>
  </r>
  <r>
    <x v="34"/>
    <x v="11"/>
    <n v="24.030555555555555"/>
    <n v="18.067777777777778"/>
    <n v="0.10012731481481481"/>
    <n v="7.5282407407407409E-2"/>
  </r>
  <r>
    <x v="35"/>
    <x v="0"/>
    <n v="43.12166777777778"/>
    <n v="27.543686717171671"/>
    <n v="0.17967361574074073"/>
    <n v="0.11476536132154863"/>
  </r>
  <r>
    <x v="35"/>
    <x v="1"/>
    <n v="31.754887222222219"/>
    <n v="16.988232624999998"/>
    <n v="0.1323120300925926"/>
    <n v="7.0784302604166668E-2"/>
  </r>
  <r>
    <x v="35"/>
    <x v="2"/>
    <n v="27.694336388888889"/>
    <n v="7.2580727380949996"/>
    <n v="0.11539306828703703"/>
    <n v="3.0241969742062499E-2"/>
  </r>
  <r>
    <x v="35"/>
    <x v="3"/>
    <n v="22.61905472222222"/>
    <n v="7.5502435138888888"/>
    <n v="9.4246061342592571E-2"/>
    <n v="3.145934797453704E-2"/>
  </r>
  <r>
    <x v="35"/>
    <x v="4"/>
    <n v="24.411226388888888"/>
    <n v="6.5334716944444446"/>
    <n v="0.10171344328703703"/>
    <n v="2.7222798726851852E-2"/>
  </r>
  <r>
    <x v="35"/>
    <x v="5"/>
    <n v="31.861239722222219"/>
    <n v="6.6875673015872223"/>
    <n v="0.13275516550925925"/>
    <n v="2.7864863756613428E-2"/>
  </r>
  <r>
    <x v="35"/>
    <x v="6"/>
    <n v="26.745272777777782"/>
    <n v="6.030853574879167"/>
    <n v="0.11143863657407409"/>
    <n v="2.5128556561996529E-2"/>
  </r>
  <r>
    <x v="35"/>
    <x v="7"/>
    <n v="18.481622222222221"/>
    <n v="7.5083633862433334"/>
    <n v="7.7006759259259247E-2"/>
    <n v="3.1284847442680556E-2"/>
  </r>
  <r>
    <x v="35"/>
    <x v="8"/>
    <n v="21.583179722222219"/>
    <n v="7.4846071717169442"/>
    <n v="8.9929915509259259E-2"/>
    <n v="3.1185863215487265E-2"/>
  </r>
  <r>
    <x v="35"/>
    <x v="9"/>
    <n v="16.60485083333333"/>
    <n v="6.6454745075755559"/>
    <n v="6.9186878472222213E-2"/>
    <n v="2.7689477114898151E-2"/>
  </r>
  <r>
    <x v="35"/>
    <x v="10"/>
    <n v="22.67725027777778"/>
    <n v="7.366223861111111"/>
    <n v="9.4488542824074082E-2"/>
    <n v="3.0692599421296294E-2"/>
  </r>
  <r>
    <x v="35"/>
    <x v="11"/>
    <n v="23.963055555555556"/>
    <n v="8.9666666666666668"/>
    <n v="9.9846064814814825E-2"/>
    <n v="3.7361111111111116E-2"/>
  </r>
  <r>
    <x v="36"/>
    <x v="0"/>
    <n v="25.91550611111111"/>
    <n v="25.644233611111112"/>
    <n v="0.10798127546296295"/>
    <n v="0.10685097337962964"/>
  </r>
  <r>
    <x v="36"/>
    <x v="1"/>
    <n v="26.293468888888889"/>
    <n v="25.536953597222219"/>
    <n v="0.10955612037037037"/>
    <n v="0.10640397332175926"/>
  </r>
  <r>
    <x v="36"/>
    <x v="2"/>
    <n v="26.10434555555555"/>
    <n v="25.867007195766941"/>
    <n v="0.10876810648148146"/>
    <n v="0.10777919664902892"/>
  </r>
  <r>
    <x v="36"/>
    <x v="3"/>
    <n v="26.09540472222222"/>
    <n v="25.699357180555559"/>
    <n v="0.10873085300925926"/>
    <n v="0.1070806549189815"/>
  </r>
  <r>
    <x v="36"/>
    <x v="4"/>
    <n v="25.994185277777781"/>
    <n v="25.747638958333329"/>
    <n v="0.10830910532407408"/>
    <n v="0.10728182899305554"/>
  </r>
  <r>
    <x v="36"/>
    <x v="5"/>
    <n v="25.979700000000001"/>
    <n v="24.380921468253892"/>
    <n v="0.10824875"/>
    <n v="0.10158717278439122"/>
  </r>
  <r>
    <x v="36"/>
    <x v="6"/>
    <n v="26.177730555555559"/>
    <n v="25.969439227053051"/>
    <n v="0.10907387731481483"/>
    <n v="0.10820599677938771"/>
  </r>
  <r>
    <x v="36"/>
    <x v="7"/>
    <n v="26.293960277777781"/>
    <n v="25.528304629629449"/>
    <n v="0.10955816782407408"/>
    <n v="0.10636793595678938"/>
  </r>
  <r>
    <x v="36"/>
    <x v="8"/>
    <n v="25.963636944444449"/>
    <n v="25.723341489898889"/>
    <n v="0.10818182060185187"/>
    <n v="0.10718058954124537"/>
  </r>
  <r>
    <x v="36"/>
    <x v="9"/>
    <n v="25.834254722222219"/>
    <n v="25.762101919191672"/>
    <n v="0.10764272800925924"/>
    <n v="0.10734209132996531"/>
  </r>
  <r>
    <x v="36"/>
    <x v="10"/>
    <n v="25.789388055555559"/>
    <n v="25.751988375"/>
    <n v="0.10745578356481483"/>
    <n v="0.1072999515625"/>
  </r>
  <r>
    <x v="36"/>
    <x v="11"/>
    <n v="23.87027777777778"/>
    <n v="23.467777777777776"/>
    <n v="9.9459490740740744E-2"/>
    <n v="9.7782407407407401E-2"/>
  </r>
  <r>
    <x v="37"/>
    <x v="0"/>
    <n v="26.660442499999998"/>
    <n v="6.4388654040402784"/>
    <n v="0.11108517708333332"/>
    <n v="2.6828605850167827E-2"/>
  </r>
  <r>
    <x v="37"/>
    <x v="1"/>
    <n v="26.669303888888891"/>
    <n v="6.9336802777777784"/>
    <n v="0.11112209953703704"/>
    <n v="2.8890334490740743E-2"/>
  </r>
  <r>
    <x v="37"/>
    <x v="2"/>
    <n v="26.66267777777778"/>
    <n v="6.6977904365077778"/>
    <n v="0.11109449074074075"/>
    <n v="2.7907460152115742E-2"/>
  </r>
  <r>
    <x v="37"/>
    <x v="3"/>
    <n v="26.016465555555559"/>
    <n v="6.5666286111111107"/>
    <n v="0.10840193981481483"/>
    <n v="2.7360952546296294E-2"/>
  </r>
  <r>
    <x v="37"/>
    <x v="4"/>
    <n v="25.92256444444444"/>
    <n v="14.86407131944445"/>
    <n v="0.10801068518518515"/>
    <n v="6.1933630497685209E-2"/>
  </r>
  <r>
    <x v="37"/>
    <x v="5"/>
    <n v="25.839600000000001"/>
    <n v="6.0592470767194442"/>
    <n v="0.10766500000000001"/>
    <n v="2.5246862819664349E-2"/>
  </r>
  <r>
    <x v="37"/>
    <x v="6"/>
    <n v="25.888184166666669"/>
    <n v="5.2709921980674999"/>
    <n v="0.10786743402777778"/>
    <n v="2.1962467491947916E-2"/>
  </r>
  <r>
    <x v="37"/>
    <x v="7"/>
    <n v="25.852776388888891"/>
    <n v="6.9062779761902782"/>
    <n v="0.10771990162037037"/>
    <n v="2.8776158234126159E-2"/>
  </r>
  <r>
    <x v="37"/>
    <x v="8"/>
    <n v="23.810178611111109"/>
    <n v="6.1897541161613887"/>
    <n v="9.9209077546296279E-2"/>
    <n v="2.5790642150672453E-2"/>
  </r>
  <r>
    <x v="37"/>
    <x v="9"/>
    <n v="23.857366666666671"/>
    <n v="6.0485207070705558"/>
    <n v="9.940569444444447E-2"/>
    <n v="2.5202169612793982E-2"/>
  </r>
  <r>
    <x v="37"/>
    <x v="10"/>
    <n v="23.798599722222221"/>
    <n v="6.4029516388888892"/>
    <n v="9.9160832175925917E-2"/>
    <n v="2.6678965162037039E-2"/>
  </r>
  <r>
    <x v="37"/>
    <x v="11"/>
    <n v="23.415000000000003"/>
    <n v="6.5316666666666663"/>
    <n v="9.756250000000001E-2"/>
    <n v="2.7215277777777779E-2"/>
  </r>
  <r>
    <x v="38"/>
    <x v="0"/>
    <n v="25.686873055555559"/>
    <n v="22.27585977272722"/>
    <n v="0.10702863773148148"/>
    <n v="9.2816082386363408E-2"/>
  </r>
  <r>
    <x v="38"/>
    <x v="1"/>
    <n v="25.71622305555556"/>
    <n v="24.395140097222221"/>
    <n v="0.10715092939814817"/>
    <n v="0.10164641707175925"/>
  </r>
  <r>
    <x v="38"/>
    <x v="2"/>
    <n v="25.714789166666669"/>
    <n v="25.20122088624333"/>
    <n v="0.10714495486111113"/>
    <n v="0.10500508702601387"/>
  </r>
  <r>
    <x v="38"/>
    <x v="3"/>
    <n v="25.696531666666669"/>
    <n v="22.079615555555559"/>
    <n v="0.10706888194444446"/>
    <n v="9.1998398148148156E-2"/>
  </r>
  <r>
    <x v="38"/>
    <x v="4"/>
    <n v="24.859324999999998"/>
    <n v="22.745835763888891"/>
    <n v="0.10358052083333331"/>
    <n v="9.4774315682870383E-2"/>
  </r>
  <r>
    <x v="38"/>
    <x v="5"/>
    <n v="24.913748333333331"/>
    <n v="23.505964259259169"/>
    <n v="0.10380728472222221"/>
    <n v="9.7941517746913218E-2"/>
  </r>
  <r>
    <x v="38"/>
    <x v="6"/>
    <n v="24.867925277777779"/>
    <n v="23.755745289855"/>
    <n v="0.10361635532407408"/>
    <n v="9.8982272041062511E-2"/>
  </r>
  <r>
    <x v="38"/>
    <x v="7"/>
    <n v="25.34106388888889"/>
    <n v="23.997242989417781"/>
    <n v="0.10558776620370371"/>
    <n v="9.9988512455907411E-2"/>
  </r>
  <r>
    <x v="38"/>
    <x v="8"/>
    <n v="24.897022222222219"/>
    <n v="24.57833503787861"/>
    <n v="0.10373759259259258"/>
    <n v="0.10240972932449421"/>
  </r>
  <r>
    <x v="38"/>
    <x v="9"/>
    <n v="24.928746666666669"/>
    <n v="24.801075681818059"/>
    <n v="0.10386977777777778"/>
    <n v="0.10333781534090858"/>
  </r>
  <r>
    <x v="38"/>
    <x v="10"/>
    <n v="24.832144722222221"/>
    <n v="24.794579763888891"/>
    <n v="0.10346726967592591"/>
    <n v="0.1033107490162037"/>
  </r>
  <r>
    <x v="38"/>
    <x v="11"/>
    <n v="23.121388888888887"/>
    <n v="21.844444444444445"/>
    <n v="9.633912037037036E-2"/>
    <n v="9.1018518518518512E-2"/>
  </r>
  <r>
    <x v="39"/>
    <x v="0"/>
    <n v="18.740816666666671"/>
    <n v="15.54744361111111"/>
    <n v="7.8086736111111124E-2"/>
    <n v="6.4781015046296284E-2"/>
  </r>
  <r>
    <x v="39"/>
    <x v="1"/>
    <n v="16.46631305555556"/>
    <n v="15.44776591666667"/>
    <n v="6.8609637731481501E-2"/>
    <n v="6.436569131944446E-2"/>
  </r>
  <r>
    <x v="39"/>
    <x v="2"/>
    <n v="67.720884444444451"/>
    <n v="18.074570185184999"/>
    <n v="0.28217035185185185"/>
    <n v="7.5310709104937493E-2"/>
  </r>
  <r>
    <x v="39"/>
    <x v="3"/>
    <n v="17.88368944444445"/>
    <n v="15.22080919444444"/>
    <n v="7.4515372685185211E-2"/>
    <n v="6.3420038310185167E-2"/>
  </r>
  <r>
    <x v="39"/>
    <x v="4"/>
    <n v="18.715560277777779"/>
    <n v="15.165875930555559"/>
    <n v="7.7981501157407415E-2"/>
    <n v="6.3191149710648167E-2"/>
  </r>
  <r>
    <x v="39"/>
    <x v="5"/>
    <n v="22.28136944444444"/>
    <n v="15.76643440476167"/>
    <n v="9.2839039351851838E-2"/>
    <n v="6.5693476686506949E-2"/>
  </r>
  <r>
    <x v="39"/>
    <x v="6"/>
    <n v="28.47201472222222"/>
    <n v="17.449381135265551"/>
    <n v="0.11863339467592592"/>
    <n v="7.2705754730273131E-2"/>
  </r>
  <r>
    <x v="39"/>
    <x v="7"/>
    <n v="30.696621388888889"/>
    <n v="18.029198095238051"/>
    <n v="0.12790258912037036"/>
    <n v="7.5121658730158539E-2"/>
  </r>
  <r>
    <x v="39"/>
    <x v="8"/>
    <n v="22.220708055555551"/>
    <n v="16.046941338383611"/>
    <n v="9.2586283564814797E-2"/>
    <n v="6.6862255576598376E-2"/>
  </r>
  <r>
    <x v="39"/>
    <x v="9"/>
    <n v="16.433848055555551"/>
    <n v="15.292696351009999"/>
    <n v="6.8474366898148134E-2"/>
    <n v="6.3719568129208329E-2"/>
  </r>
  <r>
    <x v="39"/>
    <x v="10"/>
    <n v="16.31446861111111"/>
    <n v="14.94538705555556"/>
    <n v="6.7976952546296293E-2"/>
    <n v="6.2272446064814836E-2"/>
  </r>
  <r>
    <x v="39"/>
    <x v="11"/>
    <n v="22.995555555555555"/>
    <n v="14.748888888888889"/>
    <n v="9.5814814814814811E-2"/>
    <n v="6.1453703703703705E-2"/>
  </r>
  <r>
    <x v="40"/>
    <x v="0"/>
    <n v="32.906343333333332"/>
    <n v="32.329496148989719"/>
    <n v="0.13710976388888887"/>
    <n v="0.13470623395412382"/>
  </r>
  <r>
    <x v="40"/>
    <x v="1"/>
    <n v="33.215639722222221"/>
    <n v="26.41938264619861"/>
    <n v="0.13839849884259259"/>
    <n v="0.11008076102582753"/>
  </r>
  <r>
    <x v="40"/>
    <x v="2"/>
    <n v="33.0532325"/>
    <n v="16.858623558200829"/>
    <n v="0.13772180208333332"/>
    <n v="7.0244264825836789E-2"/>
  </r>
  <r>
    <x v="40"/>
    <x v="3"/>
    <n v="10.7590875"/>
    <n v="4.2809804444444444"/>
    <n v="4.4829531249999999E-2"/>
    <n v="1.7837418518518517E-2"/>
  </r>
  <r>
    <x v="40"/>
    <x v="4"/>
    <n v="10.379153055555561"/>
    <n v="4.0207330555555556"/>
    <n v="4.3246471064814836E-2"/>
    <n v="1.6753054398148146E-2"/>
  </r>
  <r>
    <x v="40"/>
    <x v="5"/>
    <n v="12.694078611111109"/>
    <n v="4.5542615740738892"/>
    <n v="5.2891994212962958E-2"/>
    <n v="1.8976089891974537E-2"/>
  </r>
  <r>
    <x v="40"/>
    <x v="6"/>
    <n v="15.956063333333329"/>
    <n v="6.3005662077294442"/>
    <n v="6.6483597222222204E-2"/>
    <n v="2.6252359198872685E-2"/>
  </r>
  <r>
    <x v="40"/>
    <x v="7"/>
    <n v="24.09017722222222"/>
    <n v="8.087044828042222"/>
    <n v="0.10037573842592591"/>
    <n v="3.3696020116842591E-2"/>
  </r>
  <r>
    <x v="40"/>
    <x v="8"/>
    <n v="25.254595277777781"/>
    <n v="6.2086275757575002"/>
    <n v="0.10522748032407409"/>
    <n v="2.5869281565656252E-2"/>
  </r>
  <r>
    <x v="40"/>
    <x v="9"/>
    <n v="25.576454166666672"/>
    <n v="6.9027722474747222"/>
    <n v="0.1065685590277778"/>
    <n v="2.8761551031144677E-2"/>
  </r>
  <r>
    <x v="40"/>
    <x v="10"/>
    <n v="6.8529425000000002"/>
    <n v="4.1168243472222219"/>
    <n v="2.8553927083333333E-2"/>
    <n v="1.7153434780092593E-2"/>
  </r>
  <r>
    <x v="40"/>
    <x v="11"/>
    <n v="19.228333333333335"/>
    <n v="10.006666666666666"/>
    <n v="8.0118055555555567E-2"/>
    <n v="4.1694444444444444E-2"/>
  </r>
  <r>
    <x v="41"/>
    <x v="0"/>
    <n v="20.37699555555556"/>
    <n v="19.94475329545444"/>
    <n v="8.4904148148148173E-2"/>
    <n v="8.3103138731060164E-2"/>
  </r>
  <r>
    <x v="41"/>
    <x v="1"/>
    <n v="20.38330361111111"/>
    <n v="20.252817347222219"/>
    <n v="8.4930431712962953E-2"/>
    <n v="8.4386738946759243E-2"/>
  </r>
  <r>
    <x v="41"/>
    <x v="2"/>
    <n v="23.11490638888889"/>
    <n v="20.034003015872781"/>
    <n v="9.6312109953703706E-2"/>
    <n v="8.3475012566136583E-2"/>
  </r>
  <r>
    <x v="41"/>
    <x v="3"/>
    <n v="20.38841"/>
    <n v="19.252774083333328"/>
    <n v="8.4951708333333334E-2"/>
    <n v="8.0219892013888863E-2"/>
  </r>
  <r>
    <x v="41"/>
    <x v="4"/>
    <n v="22.267090833333331"/>
    <n v="19.839596763888888"/>
    <n v="9.2779545138888878E-2"/>
    <n v="8.2664986516203701E-2"/>
  </r>
  <r>
    <x v="41"/>
    <x v="5"/>
    <n v="22.19286111111111"/>
    <n v="19.432191335978612"/>
    <n v="9.2470254629629614E-2"/>
    <n v="8.0967463899910885E-2"/>
  </r>
  <r>
    <x v="41"/>
    <x v="6"/>
    <n v="22.16359527777778"/>
    <n v="20.30314205314"/>
    <n v="9.2348313657407421E-2"/>
    <n v="8.459642522141668E-2"/>
  </r>
  <r>
    <x v="41"/>
    <x v="7"/>
    <n v="20.13073972222222"/>
    <n v="19.820053703703611"/>
    <n v="8.3878082175925919E-2"/>
    <n v="8.258355709876504E-2"/>
  </r>
  <r>
    <x v="41"/>
    <x v="8"/>
    <n v="19.9622575"/>
    <n v="19.743535075757499"/>
    <n v="8.3176072916666663E-2"/>
    <n v="8.2264729482322912E-2"/>
  </r>
  <r>
    <x v="41"/>
    <x v="9"/>
    <n v="19.860870277777781"/>
    <n v="19.644047487373609"/>
    <n v="8.2753626157407431E-2"/>
    <n v="8.1850197864056701E-2"/>
  </r>
  <r>
    <x v="41"/>
    <x v="10"/>
    <n v="19.838121944444449"/>
    <n v="19.655607569444449"/>
    <n v="8.2658841435185204E-2"/>
    <n v="8.1898364872685203E-2"/>
  </r>
  <r>
    <x v="41"/>
    <x v="11"/>
    <n v="19.223333333333336"/>
    <n v="18.160277777777775"/>
    <n v="8.0097222222222236E-2"/>
    <n v="7.5667824074074061E-2"/>
  </r>
  <r>
    <x v="42"/>
    <x v="0"/>
    <n v="19.983534166666669"/>
    <n v="19.588548825757499"/>
    <n v="8.3264725694444444E-2"/>
    <n v="8.1618953440656242E-2"/>
  </r>
  <r>
    <x v="42"/>
    <x v="1"/>
    <n v="19.927597500000001"/>
    <n v="19.871337736111109"/>
    <n v="8.3031656250000002E-2"/>
    <n v="8.2797240567129615E-2"/>
  </r>
  <r>
    <x v="42"/>
    <x v="2"/>
    <n v="19.92896833333333"/>
    <n v="19.489739246031672"/>
    <n v="8.3037368055555547E-2"/>
    <n v="8.1207246858465296E-2"/>
  </r>
  <r>
    <x v="42"/>
    <x v="3"/>
    <n v="19.931112777777781"/>
    <n v="19.793545138888891"/>
    <n v="8.3046303240740749E-2"/>
    <n v="8.2473104745370382E-2"/>
  </r>
  <r>
    <x v="42"/>
    <x v="4"/>
    <n v="20.060009166666671"/>
    <n v="19.683675820706949"/>
    <n v="8.3583371527777797E-2"/>
    <n v="8.2015315919612294E-2"/>
  </r>
  <r>
    <x v="42"/>
    <x v="5"/>
    <n v="20.24065388888889"/>
    <n v="19.371764920634721"/>
    <n v="8.4336057870370365E-2"/>
    <n v="8.0715687169311337E-2"/>
  </r>
  <r>
    <x v="42"/>
    <x v="6"/>
    <n v="19.93174444444444"/>
    <n v="19.53131054347806"/>
    <n v="8.3048935185185177E-2"/>
    <n v="8.1380460597825249E-2"/>
  </r>
  <r>
    <x v="42"/>
    <x v="7"/>
    <n v="19.94926666666667"/>
    <n v="19.865551243386111"/>
    <n v="8.3121944444444457E-2"/>
    <n v="8.2773130180775464E-2"/>
  </r>
  <r>
    <x v="42"/>
    <x v="8"/>
    <n v="19.921798055555559"/>
    <n v="19.73025734848472"/>
    <n v="8.300749189814817E-2"/>
    <n v="8.2209405618686338E-2"/>
  </r>
  <r>
    <x v="42"/>
    <x v="9"/>
    <n v="19.942405000000001"/>
    <n v="19.636640458936949"/>
    <n v="8.3093354166666675E-2"/>
    <n v="8.1819335245570626E-2"/>
  </r>
  <r>
    <x v="42"/>
    <x v="10"/>
    <n v="19.980943611111108"/>
    <n v="19.774977611111112"/>
    <n v="8.3253931712962956E-2"/>
    <n v="8.2395740046296295E-2"/>
  </r>
  <r>
    <x v="42"/>
    <x v="11"/>
    <n v="18.316666666666666"/>
    <n v="18.028333333333332"/>
    <n v="7.631944444444444E-2"/>
    <n v="7.5118055555555549E-2"/>
  </r>
  <r>
    <x v="43"/>
    <x v="0"/>
    <n v="18.664993611111111"/>
    <n v="18.38641087121194"/>
    <n v="7.7770806712962964E-2"/>
    <n v="7.6610045296716417E-2"/>
  </r>
  <r>
    <x v="43"/>
    <x v="1"/>
    <n v="18.64514611111111"/>
    <n v="18.471169416666669"/>
    <n v="7.7688108796296299E-2"/>
    <n v="7.696320590277779E-2"/>
  </r>
  <r>
    <x v="43"/>
    <x v="2"/>
    <n v="18.653988055555551"/>
    <n v="18.33456645502639"/>
    <n v="7.772495023148146E-2"/>
    <n v="7.6394026895943296E-2"/>
  </r>
  <r>
    <x v="43"/>
    <x v="3"/>
    <n v="18.661820277777782"/>
    <n v="16.551855357142781"/>
    <n v="7.7757584490740758E-2"/>
    <n v="6.8966063988094919E-2"/>
  </r>
  <r>
    <x v="43"/>
    <x v="4"/>
    <n v="18.657034166666669"/>
    <n v="18.363160370370281"/>
    <n v="7.7737642361111123E-2"/>
    <n v="7.6513168209876178E-2"/>
  </r>
  <r>
    <x v="43"/>
    <x v="5"/>
    <n v="18.643304722222219"/>
    <n v="18.599602910052781"/>
    <n v="7.7680436342592571E-2"/>
    <n v="7.7498345458553261E-2"/>
  </r>
  <r>
    <x v="43"/>
    <x v="6"/>
    <n v="19.581140277777781"/>
    <n v="18.498549444444439"/>
    <n v="8.1588084490740745E-2"/>
    <n v="7.7077289351851833E-2"/>
  </r>
  <r>
    <x v="43"/>
    <x v="7"/>
    <n v="18.622045277777779"/>
    <n v="18.375655992063329"/>
    <n v="7.7591855324074074E-2"/>
    <n v="7.6565233300263866E-2"/>
  </r>
  <r>
    <x v="43"/>
    <x v="8"/>
    <n v="18.65542944444444"/>
    <n v="18.563485669191671"/>
    <n v="7.7730956018518496E-2"/>
    <n v="7.7347856954965294E-2"/>
  </r>
  <r>
    <x v="43"/>
    <x v="9"/>
    <n v="18.61130444444445"/>
    <n v="18.444913876811391"/>
    <n v="7.7547101851851874E-2"/>
    <n v="7.6853807820047457E-2"/>
  </r>
  <r>
    <x v="43"/>
    <x v="10"/>
    <n v="18.641783333333329"/>
    <n v="18.30545991666667"/>
    <n v="7.7674097222222196E-2"/>
    <n v="7.6272749652777791E-2"/>
  </r>
  <r>
    <x v="43"/>
    <x v="11"/>
    <n v="17.170000000000002"/>
    <n v="16.741388888888888"/>
    <n v="7.154166666666667E-2"/>
    <n v="6.975578703703704E-2"/>
  </r>
  <r>
    <x v="44"/>
    <x v="0"/>
    <n v="29.84616055555556"/>
    <n v="29.265691388888889"/>
    <n v="0.12435900231481484"/>
    <n v="0.12194038078703705"/>
  </r>
  <r>
    <x v="44"/>
    <x v="1"/>
    <n v="29.850579722222221"/>
    <n v="29.778394097222218"/>
    <n v="0.12437741550925925"/>
    <n v="0.12407664207175924"/>
  </r>
  <r>
    <x v="44"/>
    <x v="2"/>
    <n v="85.619122500000003"/>
    <n v="32.064433994708892"/>
    <n v="0.35674634375000003"/>
    <n v="0.13360180831128707"/>
  </r>
  <r>
    <x v="44"/>
    <x v="3"/>
    <n v="29.840107499999998"/>
    <n v="29.814931194444441"/>
    <n v="0.12433378125"/>
    <n v="0.12422887997685184"/>
  </r>
  <r>
    <x v="44"/>
    <x v="4"/>
    <n v="29.843639722222221"/>
    <n v="28.270026504629449"/>
    <n v="0.12434849884259258"/>
    <n v="0.11779177710262272"/>
  </r>
  <r>
    <x v="44"/>
    <x v="11"/>
    <n v="34.166666666666664"/>
    <n v="24.865833333333335"/>
    <n v="0.1423611111111111"/>
    <n v="0.10360763888888889"/>
  </r>
  <r>
    <x v="45"/>
    <x v="0"/>
    <n v="14.30099722222222"/>
    <n v="3.1071950126261112"/>
    <n v="5.958748842592592E-2"/>
    <n v="1.294664588594213E-2"/>
  </r>
  <r>
    <x v="45"/>
    <x v="1"/>
    <n v="15.457140000000001"/>
    <n v="3.2478654166666669"/>
    <n v="6.4404749999999997E-2"/>
    <n v="1.3532772569444447E-2"/>
  </r>
  <r>
    <x v="45"/>
    <x v="2"/>
    <n v="18.347288055555559"/>
    <n v="3.2237491798941669"/>
    <n v="7.6447033564814831E-2"/>
    <n v="1.3432288249559029E-2"/>
  </r>
  <r>
    <x v="45"/>
    <x v="3"/>
    <n v="16.64513361111111"/>
    <n v="3.984194833333333"/>
    <n v="6.9354723379629626E-2"/>
    <n v="1.6600811805555556E-2"/>
  </r>
  <r>
    <x v="45"/>
    <x v="4"/>
    <n v="17.139533333333329"/>
    <n v="4.1242601666666667"/>
    <n v="7.1414722222222213E-2"/>
    <n v="1.718441736111111E-2"/>
  </r>
  <r>
    <x v="45"/>
    <x v="5"/>
    <n v="16.800850555555559"/>
    <n v="3.038268694444445"/>
    <n v="7.0003543981481495E-2"/>
    <n v="1.2659452893518519E-2"/>
  </r>
  <r>
    <x v="45"/>
    <x v="6"/>
    <n v="15.631659166666671"/>
    <n v="3.4223820652172221"/>
    <n v="6.513191319444446E-2"/>
    <n v="1.4259925271738425E-2"/>
  </r>
  <r>
    <x v="45"/>
    <x v="7"/>
    <n v="20.434135833333329"/>
    <n v="3.3893999338622218"/>
    <n v="8.5142232638888871E-2"/>
    <n v="1.4122499724425924E-2"/>
  </r>
  <r>
    <x v="45"/>
    <x v="8"/>
    <n v="18.94750611111111"/>
    <n v="3.768196085858333"/>
    <n v="7.894794212962962E-2"/>
    <n v="1.570081702440972E-2"/>
  </r>
  <r>
    <x v="45"/>
    <x v="9"/>
    <n v="20.379188055555559"/>
    <n v="3.847435542929166"/>
    <n v="8.4913283564814826E-2"/>
    <n v="1.6030981428871525E-2"/>
  </r>
  <r>
    <x v="45"/>
    <x v="10"/>
    <n v="20.627738888888889"/>
    <n v="3.6716970972222218"/>
    <n v="8.5948912037037029E-2"/>
    <n v="1.5298737905092591E-2"/>
  </r>
  <r>
    <x v="45"/>
    <x v="11"/>
    <n v="16.226111111111113"/>
    <n v="3.2355555555555555"/>
    <n v="6.7608796296296306E-2"/>
    <n v="1.3481481481481481E-2"/>
  </r>
  <r>
    <x v="46"/>
    <x v="0"/>
    <n v="17.138374166666669"/>
    <n v="17.001979191919169"/>
    <n v="7.1409892361111116E-2"/>
    <n v="7.0841579966329879E-2"/>
  </r>
  <r>
    <x v="46"/>
    <x v="1"/>
    <n v="17.103259166666671"/>
    <n v="16.976092777777779"/>
    <n v="7.1263579861111134E-2"/>
    <n v="7.0733719907407414E-2"/>
  </r>
  <r>
    <x v="46"/>
    <x v="2"/>
    <n v="20.398499166666671"/>
    <n v="17.150944153438889"/>
    <n v="8.4993746527777803E-2"/>
    <n v="7.1462267305995378E-2"/>
  </r>
  <r>
    <x v="46"/>
    <x v="3"/>
    <n v="17.065270277777781"/>
    <n v="16.95775165277778"/>
    <n v="7.1105292824074087E-2"/>
    <n v="7.0657298553240752E-2"/>
  </r>
  <r>
    <x v="46"/>
    <x v="4"/>
    <n v="17.124922222222221"/>
    <n v="16.929644555555559"/>
    <n v="7.1353842592592587E-2"/>
    <n v="7.0540185648148165E-2"/>
  </r>
  <r>
    <x v="46"/>
    <x v="5"/>
    <n v="17.09184444444444"/>
    <n v="16.093516560846389"/>
    <n v="7.1216018518518498E-2"/>
    <n v="6.7056319003526613E-2"/>
  </r>
  <r>
    <x v="46"/>
    <x v="6"/>
    <n v="17.13556777777778"/>
    <n v="17.000321908212499"/>
    <n v="7.139819907407409E-2"/>
    <n v="7.0834674617552079E-2"/>
  </r>
  <r>
    <x v="46"/>
    <x v="7"/>
    <n v="17.107840833333331"/>
    <n v="16.700742962962781"/>
    <n v="7.1282670138888879E-2"/>
    <n v="6.9586429012344922E-2"/>
  </r>
  <r>
    <x v="46"/>
    <x v="8"/>
    <n v="17.106024999999999"/>
    <n v="16.947866477272498"/>
    <n v="7.1275104166666658E-2"/>
    <n v="7.0616110321968739E-2"/>
  </r>
  <r>
    <x v="46"/>
    <x v="9"/>
    <n v="17.093556388888889"/>
    <n v="16.949380732323061"/>
    <n v="7.1223151620370365E-2"/>
    <n v="7.0622419718012752E-2"/>
  </r>
  <r>
    <x v="46"/>
    <x v="10"/>
    <n v="17.093886944444449"/>
    <n v="16.94923269444444"/>
    <n v="7.1224528935185202E-2"/>
    <n v="7.0621802893518507E-2"/>
  </r>
  <r>
    <x v="46"/>
    <x v="11"/>
    <n v="15.955"/>
    <n v="15.471666666666666"/>
    <n v="6.6479166666666659E-2"/>
    <n v="6.4465277777777774E-2"/>
  </r>
  <r>
    <x v="47"/>
    <x v="0"/>
    <n v="16.966576944444441"/>
    <n v="11.71505689153417"/>
    <n v="7.069407060185183E-2"/>
    <n v="4.8812737048059045E-2"/>
  </r>
  <r>
    <x v="47"/>
    <x v="1"/>
    <n v="16.948344444444441"/>
    <n v="9.1822879722222215"/>
    <n v="7.0618101851851842E-2"/>
    <n v="3.8259533217592588E-2"/>
  </r>
  <r>
    <x v="47"/>
    <x v="2"/>
    <n v="16.68852694444444"/>
    <n v="9.6473021296294448"/>
    <n v="6.9535528935185165E-2"/>
    <n v="4.0197092206789353E-2"/>
  </r>
  <r>
    <x v="47"/>
    <x v="3"/>
    <n v="17.001862222222218"/>
    <n v="11.61990683862417"/>
    <n v="7.0841092592592581E-2"/>
    <n v="4.8416278494267377E-2"/>
  </r>
  <r>
    <x v="47"/>
    <x v="4"/>
    <n v="16.953123055555551"/>
    <n v="13.609690608465559"/>
    <n v="7.0638012731481459E-2"/>
    <n v="5.6707044201939831E-2"/>
  </r>
  <r>
    <x v="47"/>
    <x v="5"/>
    <n v="17.00084166666667"/>
    <n v="16.78828566666667"/>
    <n v="7.0836840277777799E-2"/>
    <n v="6.9951190277777797E-2"/>
  </r>
  <r>
    <x v="47"/>
    <x v="6"/>
    <n v="17.067453611111109"/>
    <n v="12.96409152173889"/>
    <n v="7.1114390046296286E-2"/>
    <n v="5.4017048007245376E-2"/>
  </r>
  <r>
    <x v="47"/>
    <x v="7"/>
    <n v="16.791410277777779"/>
    <n v="13.817337361111109"/>
    <n v="6.9964209490740739E-2"/>
    <n v="5.757223900462962E-2"/>
  </r>
  <r>
    <x v="47"/>
    <x v="8"/>
    <n v="16.947633611111112"/>
    <n v="13.562445896464441"/>
    <n v="7.0615140046296307E-2"/>
    <n v="5.6510191235268507E-2"/>
  </r>
  <r>
    <x v="47"/>
    <x v="9"/>
    <n v="16.955263611111111"/>
    <n v="13.62987873188389"/>
    <n v="7.0646931712962963E-2"/>
    <n v="5.6791161382849543E-2"/>
  </r>
  <r>
    <x v="47"/>
    <x v="10"/>
    <n v="16.92801555555555"/>
    <n v="14.02755907894722"/>
    <n v="7.053339814814813E-2"/>
    <n v="5.8448162828946749E-2"/>
  </r>
  <r>
    <x v="47"/>
    <x v="11"/>
    <n v="15.520833333333334"/>
    <n v="11.71388888888889"/>
    <n v="6.4670138888888895E-2"/>
    <n v="4.8807870370370376E-2"/>
  </r>
  <r>
    <x v="48"/>
    <x v="0"/>
    <n v="30.354767500000001"/>
    <n v="29.908473131313059"/>
    <n v="0.12647819791666667"/>
    <n v="0.12461863804713774"/>
  </r>
  <r>
    <x v="48"/>
    <x v="1"/>
    <n v="30.358602777777779"/>
    <n v="30.282320083333332"/>
    <n v="0.12649417824074075"/>
    <n v="0.12617633368055556"/>
  </r>
  <r>
    <x v="48"/>
    <x v="2"/>
    <n v="30.35307944444444"/>
    <n v="29.454593584655829"/>
    <n v="0.12647116435185182"/>
    <n v="0.1227274732693993"/>
  </r>
  <r>
    <x v="48"/>
    <x v="3"/>
    <n v="30.431925833333331"/>
    <n v="30.060740777777781"/>
    <n v="0.12679969097222221"/>
    <n v="0.12525308657407408"/>
  </r>
  <r>
    <x v="48"/>
    <x v="4"/>
    <n v="30.36451527777778"/>
    <n v="30.278725013888891"/>
    <n v="0.12651881365740741"/>
    <n v="0.12616135422453703"/>
  </r>
  <r>
    <x v="48"/>
    <x v="5"/>
    <n v="30.364051666666668"/>
    <n v="30.323909292929169"/>
    <n v="0.12651688194444446"/>
    <n v="0.12634962205387154"/>
  </r>
  <r>
    <x v="48"/>
    <x v="11"/>
    <n v="26.032500000000002"/>
    <n v="25.758611111111112"/>
    <n v="0.10846875"/>
    <n v="0.1073275462962963"/>
  </r>
  <r>
    <x v="49"/>
    <x v="0"/>
    <n v="17.34613638888889"/>
    <n v="11.56321580808055"/>
    <n v="7.2275568287037045E-2"/>
    <n v="4.818006586700229E-2"/>
  </r>
  <r>
    <x v="49"/>
    <x v="1"/>
    <n v="15.10809805555555"/>
    <n v="11.550417250000001"/>
    <n v="6.2950408564814792E-2"/>
    <n v="4.8126738541666665E-2"/>
  </r>
  <r>
    <x v="49"/>
    <x v="2"/>
    <n v="14.174160000000001"/>
    <n v="10.479136058200829"/>
    <n v="5.9059E-2"/>
    <n v="4.3663066909170122E-2"/>
  </r>
  <r>
    <x v="49"/>
    <x v="3"/>
    <n v="12.979881666666669"/>
    <n v="10.65267651388889"/>
    <n v="5.4082840277777787E-2"/>
    <n v="4.4386152141203707E-2"/>
  </r>
  <r>
    <x v="49"/>
    <x v="4"/>
    <n v="17.357399166666671"/>
    <n v="10.855224208333331"/>
    <n v="7.2322496527777794E-2"/>
    <n v="4.5230100868055546E-2"/>
  </r>
  <r>
    <x v="49"/>
    <x v="5"/>
    <n v="16.593368333333331"/>
    <n v="12.335216180555561"/>
    <n v="6.9139034722222215E-2"/>
    <n v="5.1396734085648176E-2"/>
  </r>
  <r>
    <x v="49"/>
    <x v="6"/>
    <n v="13.72922111111111"/>
    <n v="11.47574672705306"/>
    <n v="5.7205087962962954E-2"/>
    <n v="4.7815611362721083E-2"/>
  </r>
  <r>
    <x v="49"/>
    <x v="7"/>
    <n v="16.04776722222222"/>
    <n v="12.443660912698331"/>
    <n v="6.6865696759259255E-2"/>
    <n v="5.1848587136243046E-2"/>
  </r>
  <r>
    <x v="49"/>
    <x v="8"/>
    <n v="17.601320277777781"/>
    <n v="13.248754053030281"/>
    <n v="7.3338834490740759E-2"/>
    <n v="5.5203141887626171E-2"/>
  </r>
  <r>
    <x v="49"/>
    <x v="9"/>
    <n v="19.598459999999999"/>
    <n v="13.22634842171694"/>
    <n v="8.1660250000000004E-2"/>
    <n v="5.5109785090487251E-2"/>
  </r>
  <r>
    <x v="49"/>
    <x v="10"/>
    <n v="17.680891111111109"/>
    <n v="13.16489884722222"/>
    <n v="7.367037962962962E-2"/>
    <n v="5.485374519675925E-2"/>
  </r>
  <r>
    <x v="49"/>
    <x v="11"/>
    <n v="14.851666666666667"/>
    <n v="10.916388888888889"/>
    <n v="6.1881944444444448E-2"/>
    <n v="4.5484953703703701E-2"/>
  </r>
  <r>
    <x v="50"/>
    <x v="0"/>
    <n v="9.6003377777777779"/>
    <n v="7.4022895299144444"/>
    <n v="4.0001407407407409E-2"/>
    <n v="3.0842873041310184E-2"/>
  </r>
  <r>
    <x v="50"/>
    <x v="1"/>
    <n v="9.545601944444444"/>
    <n v="9.464731347222223"/>
    <n v="3.9773341435185183E-2"/>
    <n v="3.9436380613425928E-2"/>
  </r>
  <r>
    <x v="50"/>
    <x v="2"/>
    <n v="42.918204444444441"/>
    <n v="11.260877711639999"/>
    <n v="0.17882585185185185"/>
    <n v="4.6920323798499995E-2"/>
  </r>
  <r>
    <x v="50"/>
    <x v="3"/>
    <n v="13.16068055555556"/>
    <n v="13.006821597222221"/>
    <n v="5.4836168981481498E-2"/>
    <n v="5.4195089988425919E-2"/>
  </r>
  <r>
    <x v="50"/>
    <x v="4"/>
    <n v="13.15212861111111"/>
    <n v="13.002234194444441"/>
    <n v="5.4800535879629624E-2"/>
    <n v="5.4175975810185163E-2"/>
  </r>
  <r>
    <x v="50"/>
    <x v="5"/>
    <n v="13.132167777777781"/>
    <n v="11.121267305555561"/>
    <n v="5.4717365740740757E-2"/>
    <n v="4.6338613773148164E-2"/>
  </r>
  <r>
    <x v="50"/>
    <x v="6"/>
    <n v="13.325907777777781"/>
    <n v="12.92850115942028"/>
    <n v="5.5524615740740753E-2"/>
    <n v="5.3868754830917832E-2"/>
  </r>
  <r>
    <x v="50"/>
    <x v="7"/>
    <n v="21.272573888888889"/>
    <n v="13.36525477513222"/>
    <n v="8.8635724537037039E-2"/>
    <n v="5.5688561563050916E-2"/>
  </r>
  <r>
    <x v="50"/>
    <x v="8"/>
    <n v="13.454924999999999"/>
    <n v="13.048861830808059"/>
    <n v="5.6062187499999999E-2"/>
    <n v="5.4370257628366912E-2"/>
  </r>
  <r>
    <x v="50"/>
    <x v="9"/>
    <n v="13.325850000000001"/>
    <n v="13.006762070706939"/>
    <n v="5.5524375000000008E-2"/>
    <n v="5.4194841961278911E-2"/>
  </r>
  <r>
    <x v="50"/>
    <x v="10"/>
    <n v="13.323318333333329"/>
    <n v="13.121152458333331"/>
    <n v="5.5513826388888875E-2"/>
    <n v="5.4671468576388882E-2"/>
  </r>
  <r>
    <x v="50"/>
    <x v="11"/>
    <n v="14.684444444444445"/>
    <n v="10.894166666666667"/>
    <n v="6.1185185185185183E-2"/>
    <n v="4.5392361111111112E-2"/>
  </r>
  <r>
    <x v="51"/>
    <x v="0"/>
    <n v="13.96949"/>
    <n v="6.1758196212119447"/>
    <n v="5.8206208333333335E-2"/>
    <n v="2.5732581755049767E-2"/>
  </r>
  <r>
    <x v="51"/>
    <x v="1"/>
    <n v="32.021357500000001"/>
    <n v="9.7168595138888882"/>
    <n v="0.13342232291666667"/>
    <n v="4.04869146412037E-2"/>
  </r>
  <r>
    <x v="51"/>
    <x v="2"/>
    <n v="17.882138055555551"/>
    <n v="9.6291054722222214"/>
    <n v="7.4508908564814791E-2"/>
    <n v="4.0121272800925922E-2"/>
  </r>
  <r>
    <x v="51"/>
    <x v="3"/>
    <n v="10.02828388888889"/>
    <n v="7.3027788888888887"/>
    <n v="4.1784516203703707E-2"/>
    <n v="3.0428245370370369E-2"/>
  </r>
  <r>
    <x v="51"/>
    <x v="4"/>
    <n v="11.995795277777781"/>
    <n v="8.5565870555555552"/>
    <n v="4.998248032407409E-2"/>
    <n v="3.5652446064814818E-2"/>
  </r>
  <r>
    <x v="51"/>
    <x v="5"/>
    <n v="10.033844444444441"/>
    <n v="7.2592264166666656"/>
    <n v="4.1807685185185163E-2"/>
    <n v="3.0246776736111106E-2"/>
  </r>
  <r>
    <x v="51"/>
    <x v="6"/>
    <n v="13.830320555555559"/>
    <n v="9.0908884178741669"/>
    <n v="5.7626335648148168E-2"/>
    <n v="3.7878701741142363E-2"/>
  </r>
  <r>
    <x v="51"/>
    <x v="7"/>
    <n v="15.222419444444441"/>
    <n v="10.03124591269833"/>
    <n v="6.3426747685185178E-2"/>
    <n v="4.1796857969576377E-2"/>
  </r>
  <r>
    <x v="51"/>
    <x v="8"/>
    <n v="13.90837277777778"/>
    <n v="9.6611181818180558"/>
    <n v="5.795155324074075E-2"/>
    <n v="4.0254659090908564E-2"/>
  </r>
  <r>
    <x v="51"/>
    <x v="9"/>
    <n v="19.599599166666671"/>
    <n v="8.6000298106058342"/>
    <n v="8.1664996527777797E-2"/>
    <n v="3.5833457544190976E-2"/>
  </r>
  <r>
    <x v="51"/>
    <x v="10"/>
    <n v="16.307461944444441"/>
    <n v="10.310764444444439"/>
    <n v="6.7947758101851843E-2"/>
    <n v="4.2961518518518503E-2"/>
  </r>
  <r>
    <x v="51"/>
    <x v="11"/>
    <n v="14.566666666666666"/>
    <n v="8.0280555555555555"/>
    <n v="6.069444444444444E-2"/>
    <n v="3.3450231481481484E-2"/>
  </r>
  <r>
    <x v="52"/>
    <x v="0"/>
    <n v="15.770145555555549"/>
    <n v="15.536729595959439"/>
    <n v="6.5708939814814793E-2"/>
    <n v="6.4736373316497661E-2"/>
  </r>
  <r>
    <x v="52"/>
    <x v="1"/>
    <n v="15.78242777777778"/>
    <n v="15.767101"/>
    <n v="6.5760115740740754E-2"/>
    <n v="6.5696254166666676E-2"/>
  </r>
  <r>
    <x v="52"/>
    <x v="2"/>
    <n v="15.78218777777778"/>
    <n v="15.61230119047611"/>
    <n v="6.5759115740740753E-2"/>
    <n v="6.505125496031712E-2"/>
  </r>
  <r>
    <x v="52"/>
    <x v="3"/>
    <n v="15.80016555555556"/>
    <n v="15.75645466666667"/>
    <n v="6.5834023148148166E-2"/>
    <n v="6.5651894444444456E-2"/>
  </r>
  <r>
    <x v="52"/>
    <x v="4"/>
    <n v="15.79431388888889"/>
    <n v="15.01385197089945"/>
    <n v="6.5809641203703709E-2"/>
    <n v="6.255771654541438E-2"/>
  </r>
  <r>
    <x v="52"/>
    <x v="5"/>
    <n v="15.77345638888889"/>
    <n v="15.746185899470831"/>
    <n v="6.5722734953703718E-2"/>
    <n v="6.5609107914461798E-2"/>
  </r>
  <r>
    <x v="52"/>
    <x v="6"/>
    <n v="16.04641361111111"/>
    <n v="15.729696763285"/>
    <n v="6.6860056712962954E-2"/>
    <n v="6.5540403180354159E-2"/>
  </r>
  <r>
    <x v="52"/>
    <x v="7"/>
    <n v="15.79442583333333"/>
    <n v="15.60373850529083"/>
    <n v="6.5810107638888879E-2"/>
    <n v="6.5015577105378461E-2"/>
  </r>
  <r>
    <x v="52"/>
    <x v="8"/>
    <n v="15.73821361111111"/>
    <n v="15.683162424242219"/>
    <n v="6.5575890046296284E-2"/>
    <n v="6.5346510101009239E-2"/>
  </r>
  <r>
    <x v="52"/>
    <x v="9"/>
    <n v="15.741690555555561"/>
    <n v="15.6387385144925"/>
    <n v="6.5590377314814832E-2"/>
    <n v="6.5161410477052081E-2"/>
  </r>
  <r>
    <x v="52"/>
    <x v="10"/>
    <n v="15.708997500000001"/>
    <n v="15.69746702777778"/>
    <n v="6.5454156250000006E-2"/>
    <n v="6.5406112615740752E-2"/>
  </r>
  <r>
    <x v="52"/>
    <x v="11"/>
    <n v="14.477777777777778"/>
    <n v="14.315555555555555"/>
    <n v="6.0324074074074079E-2"/>
    <n v="5.9648148148148145E-2"/>
  </r>
  <r>
    <x v="53"/>
    <x v="0"/>
    <n v="5.5089736111111112"/>
    <n v="4.9218261559138892"/>
    <n v="2.2954056712962963E-2"/>
    <n v="2.0507608982974539E-2"/>
  </r>
  <r>
    <x v="53"/>
    <x v="1"/>
    <n v="5.1460502777777766"/>
    <n v="4.4504886805555559"/>
    <n v="2.1441876157407402E-2"/>
    <n v="1.854370283564815E-2"/>
  </r>
  <r>
    <x v="53"/>
    <x v="2"/>
    <n v="4.4903908333333344"/>
    <n v="4.1524172311827776"/>
    <n v="1.870996180555556E-2"/>
    <n v="1.7301738463261575E-2"/>
  </r>
  <r>
    <x v="53"/>
    <x v="3"/>
    <n v="4.7301180555555558"/>
    <n v="4.3993162685183336"/>
    <n v="1.9708825231481483E-2"/>
    <n v="1.8330484452159724E-2"/>
  </r>
  <r>
    <x v="53"/>
    <x v="4"/>
    <n v="8.2867016666666675"/>
    <n v="5.3308149641574998"/>
    <n v="3.4527923611111115E-2"/>
    <n v="2.2211729017322917E-2"/>
  </r>
  <r>
    <x v="53"/>
    <x v="5"/>
    <n v="7.9296749999999996"/>
    <n v="7.3266188148147222"/>
    <n v="3.3040312499999995E-2"/>
    <n v="3.0527578395061344E-2"/>
  </r>
  <r>
    <x v="53"/>
    <x v="6"/>
    <n v="39.091947222222217"/>
    <n v="16.764661416666669"/>
    <n v="0.1628831134259259"/>
    <n v="6.9852755902777786E-2"/>
  </r>
  <r>
    <x v="53"/>
    <x v="7"/>
    <n v="23.473931666666669"/>
    <n v="22.48610270609306"/>
    <n v="9.7808048611111129E-2"/>
    <n v="9.3692094608721077E-2"/>
  </r>
  <r>
    <x v="53"/>
    <x v="8"/>
    <n v="23.486948333333331"/>
    <n v="23.442702259259171"/>
    <n v="9.7862284722222206E-2"/>
    <n v="9.7677926080246544E-2"/>
  </r>
  <r>
    <x v="53"/>
    <x v="9"/>
    <n v="23.511228611111111"/>
    <n v="23.393027777777782"/>
    <n v="9.7963452546296292E-2"/>
    <n v="9.7470949074074095E-2"/>
  </r>
  <r>
    <x v="53"/>
    <x v="10"/>
    <n v="23.490918611111109"/>
    <n v="23.44272806481472"/>
    <n v="9.7878827546296288E-2"/>
    <n v="9.7678033603394665E-2"/>
  </r>
  <r>
    <x v="53"/>
    <x v="11"/>
    <n v="14.095833333333333"/>
    <n v="11.676111111111112"/>
    <n v="5.873263888888889E-2"/>
    <n v="4.8650462962962965E-2"/>
  </r>
  <r>
    <x v="54"/>
    <x v="0"/>
    <n v="13.8746925"/>
    <n v="13.813719595959441"/>
    <n v="5.7811218750000004E-2"/>
    <n v="5.7557164983164343E-2"/>
  </r>
  <r>
    <x v="54"/>
    <x v="1"/>
    <n v="13.90127027777778"/>
    <n v="13.829346597222219"/>
    <n v="5.7921959490740749E-2"/>
    <n v="5.762227748842591E-2"/>
  </r>
  <r>
    <x v="54"/>
    <x v="2"/>
    <n v="14.02643055555555"/>
    <n v="13.770529510581939"/>
    <n v="5.8443460648148121E-2"/>
    <n v="5.7377206294091411E-2"/>
  </r>
  <r>
    <x v="54"/>
    <x v="3"/>
    <n v="13.880548888888891"/>
    <n v="13.863624680555549"/>
    <n v="5.7835620370370378E-2"/>
    <n v="5.7765102835648119E-2"/>
  </r>
  <r>
    <x v="54"/>
    <x v="4"/>
    <n v="13.8889175"/>
    <n v="12.566244791666669"/>
    <n v="5.787048958333333E-2"/>
    <n v="5.2359353298611126E-2"/>
  </r>
  <r>
    <x v="54"/>
    <x v="5"/>
    <n v="13.88283805555556"/>
    <n v="13.228370251322501"/>
    <n v="5.7845158564814834E-2"/>
    <n v="5.5118209380510423E-2"/>
  </r>
  <r>
    <x v="54"/>
    <x v="6"/>
    <n v="13.900561111111109"/>
    <n v="13.87727880434778"/>
    <n v="5.7919004629629622E-2"/>
    <n v="5.7821995018115746E-2"/>
  </r>
  <r>
    <x v="54"/>
    <x v="7"/>
    <n v="13.884965833333331"/>
    <n v="13.82647384920611"/>
    <n v="5.785402430555555E-2"/>
    <n v="5.7610307705025454E-2"/>
  </r>
  <r>
    <x v="54"/>
    <x v="8"/>
    <n v="13.85466555555556"/>
    <n v="13.824823573232219"/>
    <n v="5.7727773148148163E-2"/>
    <n v="5.7603431555134248E-2"/>
  </r>
  <r>
    <x v="54"/>
    <x v="9"/>
    <n v="13.852604722222219"/>
    <n v="13.760350467171669"/>
    <n v="5.7719186342592578E-2"/>
    <n v="5.7334793613215286E-2"/>
  </r>
  <r>
    <x v="54"/>
    <x v="10"/>
    <n v="13.84396666666667"/>
    <n v="13.80135583333333"/>
    <n v="5.7683194444444454E-2"/>
    <n v="5.7505649305555545E-2"/>
  </r>
  <r>
    <x v="54"/>
    <x v="11"/>
    <n v="12.732777777777779"/>
    <n v="12.513611111111112"/>
    <n v="5.3053240740740748E-2"/>
    <n v="5.2140046296296295E-2"/>
  </r>
  <r>
    <x v="55"/>
    <x v="0"/>
    <n v="13.39355277777778"/>
    <n v="13.271636401515"/>
    <n v="5.5806469907407417E-2"/>
    <n v="5.5298485006312494E-2"/>
  </r>
  <r>
    <x v="55"/>
    <x v="1"/>
    <n v="13.783700833333331"/>
    <n v="13.35659026388889"/>
    <n v="5.7432086805555539E-2"/>
    <n v="5.5652459432870373E-2"/>
  </r>
  <r>
    <x v="55"/>
    <x v="2"/>
    <n v="13.43283111111111"/>
    <n v="13.322490436507779"/>
    <n v="5.5970129629629627E-2"/>
    <n v="5.551037681878241E-2"/>
  </r>
  <r>
    <x v="55"/>
    <x v="3"/>
    <n v="13.53530472222222"/>
    <n v="13.31304314814806"/>
    <n v="5.6397103009259243E-2"/>
    <n v="5.5471013117283585E-2"/>
  </r>
  <r>
    <x v="55"/>
    <x v="4"/>
    <n v="13.39953805555556"/>
    <n v="12.92260968253944"/>
    <n v="5.5831408564814833E-2"/>
    <n v="5.3844207010580993E-2"/>
  </r>
  <r>
    <x v="55"/>
    <x v="5"/>
    <n v="13.52733444444444"/>
    <n v="13.37705484126972"/>
    <n v="5.6363893518518504E-2"/>
    <n v="5.5737728505290497E-2"/>
  </r>
  <r>
    <x v="55"/>
    <x v="6"/>
    <n v="13.39665944444444"/>
    <n v="12.200061691919171"/>
    <n v="5.5819414351851837E-2"/>
    <n v="5.0833590382996542E-2"/>
  </r>
  <r>
    <x v="55"/>
    <x v="7"/>
    <n v="16.114556388888889"/>
    <n v="12.943544047618889"/>
    <n v="6.7143984953703703E-2"/>
    <n v="5.3931433531745371E-2"/>
  </r>
  <r>
    <x v="55"/>
    <x v="8"/>
    <n v="13.52138055555556"/>
    <n v="13.21785176767667"/>
    <n v="5.6339085648148164E-2"/>
    <n v="5.5074382365319453E-2"/>
  </r>
  <r>
    <x v="55"/>
    <x v="9"/>
    <n v="13.97818777777778"/>
    <n v="13.29339917874389"/>
    <n v="5.8242449074074082E-2"/>
    <n v="5.5389163244766206E-2"/>
  </r>
  <r>
    <x v="55"/>
    <x v="10"/>
    <n v="13.676976944444441"/>
    <n v="13.30122575"/>
    <n v="5.6987403935185171E-2"/>
    <n v="5.5421773958333337E-2"/>
  </r>
  <r>
    <x v="55"/>
    <x v="11"/>
    <n v="12.646944444444445"/>
    <n v="12.043333333333333"/>
    <n v="5.2695601851851855E-2"/>
    <n v="5.0180555555555555E-2"/>
  </r>
  <r>
    <x v="56"/>
    <x v="0"/>
    <n v="13.681032500000001"/>
    <n v="13.554720050505001"/>
    <n v="5.700430208333334E-2"/>
    <n v="5.6478000210437501E-2"/>
  </r>
  <r>
    <x v="56"/>
    <x v="1"/>
    <n v="13.667314722222221"/>
    <n v="13.08237583333333"/>
    <n v="5.6947144675925924E-2"/>
    <n v="5.4509899305555547E-2"/>
  </r>
  <r>
    <x v="56"/>
    <x v="2"/>
    <n v="13.689256666666671"/>
    <n v="12.83638080687806"/>
    <n v="5.7038569444444465E-2"/>
    <n v="5.3484920028658588E-2"/>
  </r>
  <r>
    <x v="56"/>
    <x v="3"/>
    <n v="13.868501666666671"/>
    <n v="12.789554603174439"/>
    <n v="5.7785423611111129E-2"/>
    <n v="5.3289810846560169E-2"/>
  </r>
  <r>
    <x v="56"/>
    <x v="4"/>
    <n v="13.731816666666671"/>
    <n v="13.14733969576695"/>
    <n v="5.7215902777777793E-2"/>
    <n v="5.4780582065695631E-2"/>
  </r>
  <r>
    <x v="56"/>
    <x v="5"/>
    <n v="13.671864722222219"/>
    <n v="13.461591177248611"/>
    <n v="5.696610300925925E-2"/>
    <n v="5.6089963238535878E-2"/>
  </r>
  <r>
    <x v="56"/>
    <x v="6"/>
    <n v="13.667990833333331"/>
    <n v="13.57658950483083"/>
    <n v="5.6949961805555539E-2"/>
    <n v="5.656912293679512E-2"/>
  </r>
  <r>
    <x v="56"/>
    <x v="7"/>
    <n v="13.7026675"/>
    <n v="13.5820352248675"/>
    <n v="5.7094447916666673E-2"/>
    <n v="5.6591813436947913E-2"/>
  </r>
  <r>
    <x v="56"/>
    <x v="8"/>
    <n v="13.68199083333333"/>
    <n v="13.490465770201951"/>
    <n v="5.700829513888888E-2"/>
    <n v="5.6210274042508133E-2"/>
  </r>
  <r>
    <x v="56"/>
    <x v="9"/>
    <n v="13.719976944444451"/>
    <n v="13.50606371980667"/>
    <n v="5.7166570601851874E-2"/>
    <n v="5.6275265499194461E-2"/>
  </r>
  <r>
    <x v="56"/>
    <x v="10"/>
    <n v="13.87870194444444"/>
    <n v="13.535021499999999"/>
    <n v="5.7827924768518502E-2"/>
    <n v="5.6395922916666667E-2"/>
  </r>
  <r>
    <x v="56"/>
    <x v="11"/>
    <n v="12.580277777777779"/>
    <n v="12.213611111111112"/>
    <n v="5.2417824074074082E-2"/>
    <n v="5.0890046296296294E-2"/>
  </r>
  <r>
    <x v="57"/>
    <x v="0"/>
    <n v="13.290702222222221"/>
    <n v="8.8425436489897216"/>
    <n v="5.5377925925925921E-2"/>
    <n v="3.6843931870790506E-2"/>
  </r>
  <r>
    <x v="57"/>
    <x v="1"/>
    <n v="14.82720111111111"/>
    <n v="9.198168013888889"/>
    <n v="6.1780004629629626E-2"/>
    <n v="3.8325700057870372E-2"/>
  </r>
  <r>
    <x v="57"/>
    <x v="2"/>
    <n v="14.73188722222222"/>
    <n v="8.930368214285556"/>
    <n v="6.1382863425925915E-2"/>
    <n v="3.7209867559523151E-2"/>
  </r>
  <r>
    <x v="57"/>
    <x v="3"/>
    <n v="12.68362138888889"/>
    <n v="8.9315030138888893"/>
    <n v="5.2848422453703713E-2"/>
    <n v="3.7214595891203704E-2"/>
  </r>
  <r>
    <x v="57"/>
    <x v="4"/>
    <n v="11.70252138888889"/>
    <n v="8.2507471111111119"/>
    <n v="4.8760505787037035E-2"/>
    <n v="3.4378112962962969E-2"/>
  </r>
  <r>
    <x v="57"/>
    <x v="5"/>
    <n v="12.641318333333331"/>
    <n v="7.6846592083333336"/>
    <n v="5.2672159722222216E-2"/>
    <n v="3.2019413368055555E-2"/>
  </r>
  <r>
    <x v="57"/>
    <x v="6"/>
    <n v="10.26472583333333"/>
    <n v="7.7726263405794436"/>
    <n v="4.2769690972222212E-2"/>
    <n v="3.238594308574768E-2"/>
  </r>
  <r>
    <x v="57"/>
    <x v="7"/>
    <n v="12.06203472222222"/>
    <n v="8.9097342328041673"/>
    <n v="5.0258478009259255E-2"/>
    <n v="3.712389263668403E-2"/>
  </r>
  <r>
    <x v="57"/>
    <x v="8"/>
    <n v="16.615956944444449"/>
    <n v="9.5582919318180561"/>
    <n v="6.9233153935185199E-2"/>
    <n v="3.9826216382575233E-2"/>
  </r>
  <r>
    <x v="57"/>
    <x v="9"/>
    <n v="15.83661166666667"/>
    <n v="9.0683389898988889"/>
    <n v="6.5985881944444449E-2"/>
    <n v="3.7784745791245369E-2"/>
  </r>
  <r>
    <x v="57"/>
    <x v="10"/>
    <n v="14.75944944444444"/>
    <n v="9.0537131944444447"/>
    <n v="6.1497706018518505E-2"/>
    <n v="3.7723804976851856E-2"/>
  </r>
  <r>
    <x v="57"/>
    <x v="11"/>
    <n v="12.451388888888889"/>
    <n v="8.0169444444444444"/>
    <n v="5.1880787037037045E-2"/>
    <n v="3.3403935185185189E-2"/>
  </r>
  <r>
    <x v="58"/>
    <x v="0"/>
    <n v="11.25673416666667"/>
    <n v="7.0577227020200004"/>
    <n v="4.6903059027777784E-2"/>
    <n v="2.9407177925083336E-2"/>
  </r>
  <r>
    <x v="58"/>
    <x v="1"/>
    <n v="13.82448555555556"/>
    <n v="6.4139831944444454"/>
    <n v="5.7602023148148163E-2"/>
    <n v="2.6724929976851858E-2"/>
  </r>
  <r>
    <x v="58"/>
    <x v="2"/>
    <n v="9.621554166666666"/>
    <n v="6.9643203439152774"/>
    <n v="4.0089809027777777E-2"/>
    <n v="2.9018001432980323E-2"/>
  </r>
  <r>
    <x v="58"/>
    <x v="3"/>
    <n v="10.060593055555559"/>
    <n v="7.7957803888888888"/>
    <n v="4.1919137731481503E-2"/>
    <n v="3.2482418287037039E-2"/>
  </r>
  <r>
    <x v="58"/>
    <x v="4"/>
    <n v="11.742895000000001"/>
    <n v="7.8589270138888887"/>
    <n v="4.8928729166666664E-2"/>
    <n v="3.2745529224537037E-2"/>
  </r>
  <r>
    <x v="58"/>
    <x v="5"/>
    <n v="11.07063138888889"/>
    <n v="8.6152959656083326"/>
    <n v="4.6127630787037043E-2"/>
    <n v="3.5897066523368056E-2"/>
  </r>
  <r>
    <x v="58"/>
    <x v="6"/>
    <n v="12.261491111111109"/>
    <n v="9.7176916666666671"/>
    <n v="5.1089546296296286E-2"/>
    <n v="4.0490381944444445E-2"/>
  </r>
  <r>
    <x v="58"/>
    <x v="7"/>
    <n v="14.96311527777778"/>
    <n v="9.8767555687830555"/>
    <n v="6.2346313657407414E-2"/>
    <n v="4.1153148203262734E-2"/>
  </r>
  <r>
    <x v="58"/>
    <x v="8"/>
    <n v="16.320891388888889"/>
    <n v="10.832511161616109"/>
    <n v="6.8003714120370373E-2"/>
    <n v="4.5135463173400454E-2"/>
  </r>
  <r>
    <x v="58"/>
    <x v="9"/>
    <n v="17.58442472222222"/>
    <n v="12.13658747474722"/>
    <n v="7.3268436342592586E-2"/>
    <n v="5.0569114478113415E-2"/>
  </r>
  <r>
    <x v="58"/>
    <x v="10"/>
    <n v="12.38711972222222"/>
    <n v="9.3553143472222224"/>
    <n v="5.1612998842592579E-2"/>
    <n v="3.8980476446759262E-2"/>
  </r>
  <r>
    <x v="58"/>
    <x v="11"/>
    <n v="11.758055555555556"/>
    <n v="8.0522222222222215"/>
    <n v="4.8991898148148146E-2"/>
    <n v="3.3550925925925922E-2"/>
  </r>
  <r>
    <x v="59"/>
    <x v="0"/>
    <n v="23.39906222222222"/>
    <n v="22.002903773148059"/>
    <n v="9.7496092592592579E-2"/>
    <n v="9.1678765721450242E-2"/>
  </r>
  <r>
    <x v="59"/>
    <x v="1"/>
    <n v="23.399848055555559"/>
    <n v="23.32454238888889"/>
    <n v="9.7499366898148157E-2"/>
    <n v="9.7185593287037034E-2"/>
  </r>
  <r>
    <x v="59"/>
    <x v="2"/>
    <n v="23.407655555555561"/>
    <n v="23.04647714285694"/>
    <n v="9.7531898148148166E-2"/>
    <n v="9.6026988095237242E-2"/>
  </r>
  <r>
    <x v="59"/>
    <x v="3"/>
    <n v="23.46573888888889"/>
    <n v="23.337015252524999"/>
    <n v="9.7773912037037045E-2"/>
    <n v="9.7237563552187489E-2"/>
  </r>
  <r>
    <x v="59"/>
    <x v="4"/>
    <n v="23.508916666666671"/>
    <n v="22.92086243686861"/>
    <n v="9.7953819444444465E-2"/>
    <n v="9.5503593486952545E-2"/>
  </r>
  <r>
    <x v="59"/>
    <x v="5"/>
    <n v="23.396047222222219"/>
    <n v="20.786919722222219"/>
    <n v="9.7483530092592585E-2"/>
    <n v="8.6612165509259251E-2"/>
  </r>
  <r>
    <x v="59"/>
    <x v="11"/>
    <n v="20.0825"/>
    <n v="19.345555555555556"/>
    <n v="8.3677083333333332E-2"/>
    <n v="8.0606481481481487E-2"/>
  </r>
  <r>
    <x v="60"/>
    <x v="0"/>
    <n v="12.618105555555561"/>
    <n v="12.40403045454528"/>
    <n v="5.2575439814814835E-2"/>
    <n v="5.1683460227272E-2"/>
  </r>
  <r>
    <x v="60"/>
    <x v="1"/>
    <n v="12.60590083333333"/>
    <n v="12.548573736111109"/>
    <n v="5.2524586805555544E-2"/>
    <n v="5.2285723900462953E-2"/>
  </r>
  <r>
    <x v="60"/>
    <x v="2"/>
    <n v="12.59140638888889"/>
    <n v="12.431620026455001"/>
    <n v="5.2464193287037046E-2"/>
    <n v="5.1798416776895839E-2"/>
  </r>
  <r>
    <x v="60"/>
    <x v="3"/>
    <n v="12.614082222222221"/>
    <n v="12.54744654166667"/>
    <n v="5.2558675925925918E-2"/>
    <n v="5.2281027256944453E-2"/>
  </r>
  <r>
    <x v="60"/>
    <x v="4"/>
    <n v="12.60891972222222"/>
    <n v="12.481101180555561"/>
    <n v="5.253716550925925E-2"/>
    <n v="5.2004588252314833E-2"/>
  </r>
  <r>
    <x v="60"/>
    <x v="5"/>
    <n v="12.57964833333333"/>
    <n v="12.003976838624171"/>
    <n v="5.2415201388888867E-2"/>
    <n v="5.0016570160934047E-2"/>
  </r>
  <r>
    <x v="60"/>
    <x v="6"/>
    <n v="12.589665555555561"/>
    <n v="12.57531756038639"/>
    <n v="5.2456939814814835E-2"/>
    <n v="5.2397156501609955E-2"/>
  </r>
  <r>
    <x v="60"/>
    <x v="7"/>
    <n v="12.90454222222222"/>
    <n v="12.54260880952361"/>
    <n v="5.3768925925925914E-2"/>
    <n v="5.226087003968171E-2"/>
  </r>
  <r>
    <x v="60"/>
    <x v="8"/>
    <n v="12.56098166666667"/>
    <n v="12.45441710858583"/>
    <n v="5.2337423611111128E-2"/>
    <n v="5.1893404619107623E-2"/>
  </r>
  <r>
    <x v="60"/>
    <x v="9"/>
    <n v="12.6077175"/>
    <n v="12.32433050505028"/>
    <n v="5.2532156249999996E-2"/>
    <n v="5.1351377104376171E-2"/>
  </r>
  <r>
    <x v="60"/>
    <x v="10"/>
    <n v="12.52335444444445"/>
    <n v="12.364517291666671"/>
    <n v="5.2180643518518539E-2"/>
    <n v="5.1518822048611128E-2"/>
  </r>
  <r>
    <x v="60"/>
    <x v="11"/>
    <n v="11.567222222222222"/>
    <n v="11.389999999999999"/>
    <n v="4.8196759259259259E-2"/>
    <n v="4.7458333333333325E-2"/>
  </r>
  <r>
    <x v="61"/>
    <x v="0"/>
    <n v="12.475874166666671"/>
    <n v="12.35205477272722"/>
    <n v="5.1982809027777799E-2"/>
    <n v="5.1466894886363412E-2"/>
  </r>
  <r>
    <x v="61"/>
    <x v="1"/>
    <n v="12.48069555555556"/>
    <n v="12.41939572222222"/>
    <n v="5.2002898148148159E-2"/>
    <n v="5.1747482175925917E-2"/>
  </r>
  <r>
    <x v="61"/>
    <x v="2"/>
    <n v="12.51324638888889"/>
    <n v="12.41687920634917"/>
    <n v="5.2138526620370378E-2"/>
    <n v="5.173699669312154E-2"/>
  </r>
  <r>
    <x v="61"/>
    <x v="3"/>
    <n v="12.477420555555559"/>
    <n v="12.42204604166667"/>
    <n v="5.1989252314814827E-2"/>
    <n v="5.1758525173611125E-2"/>
  </r>
  <r>
    <x v="61"/>
    <x v="4"/>
    <n v="12.73016333333333"/>
    <n v="12.41164851388889"/>
    <n v="5.3042347222222209E-2"/>
    <n v="5.171520214120371E-2"/>
  </r>
  <r>
    <x v="61"/>
    <x v="5"/>
    <n v="12.72639"/>
    <n v="12.45251305555556"/>
    <n v="5.3026625000000001E-2"/>
    <n v="5.1885471064814837E-2"/>
  </r>
  <r>
    <x v="61"/>
    <x v="6"/>
    <n v="12.563948888888889"/>
    <n v="12.49437799516889"/>
    <n v="5.2349787037037042E-2"/>
    <n v="5.2059908313203708E-2"/>
  </r>
  <r>
    <x v="61"/>
    <x v="7"/>
    <n v="12.55476"/>
    <n v="12.299469417989171"/>
    <n v="5.2311500000000004E-2"/>
    <n v="5.1247789241621544E-2"/>
  </r>
  <r>
    <x v="61"/>
    <x v="8"/>
    <n v="12.534616388888891"/>
    <n v="12.454326767676671"/>
    <n v="5.2227568287037042E-2"/>
    <n v="5.1893028198652796E-2"/>
  </r>
  <r>
    <x v="61"/>
    <x v="9"/>
    <n v="12.536664999999999"/>
    <n v="12.44173263888889"/>
    <n v="5.2236104166666665E-2"/>
    <n v="5.1840552662037041E-2"/>
  </r>
  <r>
    <x v="61"/>
    <x v="10"/>
    <n v="12.540370277777781"/>
    <n v="12.29419316666667"/>
    <n v="5.2251542824074092E-2"/>
    <n v="5.122580486111112E-2"/>
  </r>
  <r>
    <x v="61"/>
    <x v="11"/>
    <n v="11.511388888888888"/>
    <n v="11.371666666666666"/>
    <n v="4.7964120370370365E-2"/>
    <n v="4.7381944444444442E-2"/>
  </r>
  <r>
    <x v="62"/>
    <x v="0"/>
    <n v="10.27565166666667"/>
    <n v="3.7735719570705561"/>
    <n v="4.2815215277777791E-2"/>
    <n v="1.5723216487793984E-2"/>
  </r>
  <r>
    <x v="62"/>
    <x v="1"/>
    <n v="12.053159722222221"/>
    <n v="4.667661166666667"/>
    <n v="5.0221498842592582E-2"/>
    <n v="1.9448588194444446E-2"/>
  </r>
  <r>
    <x v="62"/>
    <x v="2"/>
    <n v="11.487465555555559"/>
    <n v="3.838567089946944"/>
    <n v="4.7864439814814828E-2"/>
    <n v="1.59940295414456E-2"/>
  </r>
  <r>
    <x v="62"/>
    <x v="3"/>
    <n v="12.615023055555559"/>
    <n v="4.5263890972222223"/>
    <n v="5.256259606481483E-2"/>
    <n v="1.885995457175926E-2"/>
  </r>
  <r>
    <x v="62"/>
    <x v="4"/>
    <n v="12.480189722222219"/>
    <n v="4.1749338611111124"/>
    <n v="5.2000790509259244E-2"/>
    <n v="1.7395557754629636E-2"/>
  </r>
  <r>
    <x v="62"/>
    <x v="5"/>
    <n v="11.70416555555556"/>
    <n v="4.7670563888888893"/>
    <n v="4.8767356481481505E-2"/>
    <n v="1.9862734953703706E-2"/>
  </r>
  <r>
    <x v="62"/>
    <x v="6"/>
    <n v="12.44752583333333"/>
    <n v="7.0799197584538893"/>
    <n v="5.186469097222221E-2"/>
    <n v="2.949966566022454E-2"/>
  </r>
  <r>
    <x v="62"/>
    <x v="7"/>
    <n v="12.716170277777779"/>
    <n v="6.543169087301389"/>
    <n v="5.2984042824074075E-2"/>
    <n v="2.7263204530422455E-2"/>
  </r>
  <r>
    <x v="62"/>
    <x v="8"/>
    <n v="15.295419444444439"/>
    <n v="6.7420574873736108"/>
    <n v="6.3730914351851839E-2"/>
    <n v="2.8091906197390045E-2"/>
  </r>
  <r>
    <x v="62"/>
    <x v="9"/>
    <n v="14.08173138888889"/>
    <n v="6.5655067045452782"/>
    <n v="5.8673880787037037E-2"/>
    <n v="2.7356277935605328E-2"/>
  </r>
  <r>
    <x v="62"/>
    <x v="10"/>
    <n v="12.455462499999999"/>
    <n v="4.8709083194444442"/>
    <n v="5.1897760416666661E-2"/>
    <n v="2.0295451331018517E-2"/>
  </r>
  <r>
    <x v="62"/>
    <x v="11"/>
    <n v="11.467777777777778"/>
    <n v="4.7958333333333334"/>
    <n v="4.7782407407407412E-2"/>
    <n v="1.998263888888889E-2"/>
  </r>
  <r>
    <x v="63"/>
    <x v="0"/>
    <n v="17.878525833333331"/>
    <n v="17.551390340908888"/>
    <n v="7.4493857638888883E-2"/>
    <n v="7.3130793087120366E-2"/>
  </r>
  <r>
    <x v="63"/>
    <x v="1"/>
    <n v="17.902474166666671"/>
    <n v="17.819764194444449"/>
    <n v="7.4593642361111129E-2"/>
    <n v="7.4249017476851878E-2"/>
  </r>
  <r>
    <x v="63"/>
    <x v="2"/>
    <n v="17.86393305555556"/>
    <n v="8.3152007936505559"/>
    <n v="7.4433054398148166E-2"/>
    <n v="3.464666997354398E-2"/>
  </r>
  <r>
    <x v="63"/>
    <x v="3"/>
    <n v="10.17379722222222"/>
    <n v="5.857066486111111"/>
    <n v="4.2390821759259255E-2"/>
    <n v="2.4404443692129629E-2"/>
  </r>
  <r>
    <x v="63"/>
    <x v="4"/>
    <n v="10.44087666666667"/>
    <n v="6.4856464583333331"/>
    <n v="4.350365277777779E-2"/>
    <n v="2.702352690972222E-2"/>
  </r>
  <r>
    <x v="63"/>
    <x v="5"/>
    <n v="9.3349063888888892"/>
    <n v="6.6441307936505556"/>
    <n v="3.8895443287037042E-2"/>
    <n v="2.7683878306877314E-2"/>
  </r>
  <r>
    <x v="63"/>
    <x v="6"/>
    <n v="10.659776666666669"/>
    <n v="6.6270493115941669"/>
    <n v="4.4415736111111125E-2"/>
    <n v="2.7612705464975695E-2"/>
  </r>
  <r>
    <x v="63"/>
    <x v="7"/>
    <n v="15.123420833333331"/>
    <n v="6.3445890740738893"/>
    <n v="6.3014253472222212E-2"/>
    <n v="2.6435787808641208E-2"/>
  </r>
  <r>
    <x v="63"/>
    <x v="8"/>
    <n v="9.3741516666666662"/>
    <n v="5.8875026136361113"/>
    <n v="3.9058965277777774E-2"/>
    <n v="2.4531260890150463E-2"/>
  </r>
  <r>
    <x v="63"/>
    <x v="9"/>
    <n v="8.9586722222222228"/>
    <n v="5.905882159090833"/>
    <n v="3.7327800925925927E-2"/>
    <n v="2.4607842329545136E-2"/>
  </r>
  <r>
    <x v="63"/>
    <x v="10"/>
    <n v="9.3173761111111109"/>
    <n v="5.9099301909722222"/>
    <n v="3.882240046296296E-2"/>
    <n v="2.4624709129050928E-2"/>
  </r>
  <r>
    <x v="63"/>
    <x v="11"/>
    <n v="11.419166666666666"/>
    <n v="7.7791666666666668"/>
    <n v="4.7579861111111101E-2"/>
    <n v="3.2413194444444446E-2"/>
  </r>
  <r>
    <x v="64"/>
    <x v="0"/>
    <n v="13.784017499999999"/>
    <n v="13.61344715909083"/>
    <n v="5.7433406249999992E-2"/>
    <n v="5.672269649621179E-2"/>
  </r>
  <r>
    <x v="64"/>
    <x v="1"/>
    <n v="13.632862777777779"/>
    <n v="13.13499276388889"/>
    <n v="5.6803594907407412E-2"/>
    <n v="5.4729136516203709E-2"/>
  </r>
  <r>
    <x v="64"/>
    <x v="2"/>
    <n v="13.630762777777781"/>
    <n v="13.290369920634721"/>
    <n v="5.6794844907407417E-2"/>
    <n v="5.5376541335978004E-2"/>
  </r>
  <r>
    <x v="64"/>
    <x v="3"/>
    <n v="13.628294444444441"/>
    <n v="12.82574929166667"/>
    <n v="5.6784560185185164E-2"/>
    <n v="5.3440622048611129E-2"/>
  </r>
  <r>
    <x v="64"/>
    <x v="4"/>
    <n v="13.65145083333333"/>
    <n v="13.359672097222219"/>
    <n v="5.6881045138888871E-2"/>
    <n v="5.5665300405092578E-2"/>
  </r>
  <r>
    <x v="64"/>
    <x v="5"/>
    <n v="13.61507472222222"/>
    <n v="10.245263180555559"/>
    <n v="5.6729478009259253E-2"/>
    <n v="4.2688596585648164E-2"/>
  </r>
  <r>
    <x v="64"/>
    <x v="6"/>
    <n v="10.69782333333333"/>
    <n v="10.10739595410611"/>
    <n v="4.4574263888888875E-2"/>
    <n v="4.211414980877546E-2"/>
  </r>
  <r>
    <x v="64"/>
    <x v="7"/>
    <n v="10.66777611111111"/>
    <n v="9.8726014021163895"/>
    <n v="4.4449067129629621E-2"/>
    <n v="4.113583917548496E-2"/>
  </r>
  <r>
    <x v="64"/>
    <x v="8"/>
    <n v="10.75090333333333"/>
    <n v="9.9932720833333342"/>
    <n v="4.4795430555555543E-2"/>
    <n v="4.1638633680555558E-2"/>
  </r>
  <r>
    <x v="64"/>
    <x v="9"/>
    <n v="10.59186027777778"/>
    <n v="10.250758320706939"/>
    <n v="4.4132751157407418E-2"/>
    <n v="4.2711493002945577E-2"/>
  </r>
  <r>
    <x v="64"/>
    <x v="10"/>
    <n v="11.06623666666667"/>
    <n v="10.378341472222219"/>
    <n v="4.6109319444444463E-2"/>
    <n v="4.3243089467592581E-2"/>
  </r>
  <r>
    <x v="64"/>
    <x v="11"/>
    <n v="11.31"/>
    <n v="10.589444444444444"/>
    <n v="4.7125E-2"/>
    <n v="4.4122685185185188E-2"/>
  </r>
  <r>
    <x v="65"/>
    <x v="0"/>
    <n v="11.934111111111109"/>
    <n v="11.824908106060549"/>
    <n v="4.9725462962962957E-2"/>
    <n v="4.927045044191896E-2"/>
  </r>
  <r>
    <x v="65"/>
    <x v="1"/>
    <n v="11.93704916666667"/>
    <n v="11.537711194444441"/>
    <n v="4.9737704861111121E-2"/>
    <n v="4.8073796643518497E-2"/>
  </r>
  <r>
    <x v="65"/>
    <x v="2"/>
    <n v="11.934688888888889"/>
    <n v="11.74625912698389"/>
    <n v="4.9727870370370374E-2"/>
    <n v="4.8942746362432878E-2"/>
  </r>
  <r>
    <x v="65"/>
    <x v="3"/>
    <n v="11.958291666666669"/>
    <n v="11.87639255555556"/>
    <n v="4.9826215277777787E-2"/>
    <n v="4.9484968981481497E-2"/>
  </r>
  <r>
    <x v="65"/>
    <x v="4"/>
    <n v="11.985566666666671"/>
    <n v="11.63689111111111"/>
    <n v="4.9939861111111129E-2"/>
    <n v="4.8487046296296292E-2"/>
  </r>
  <r>
    <x v="65"/>
    <x v="5"/>
    <n v="11.938606388888889"/>
    <n v="11.2140202513225"/>
    <n v="4.9744193287037032E-2"/>
    <n v="4.6725084380510422E-2"/>
  </r>
  <r>
    <x v="65"/>
    <x v="6"/>
    <n v="11.932043333333329"/>
    <n v="11.77643908212556"/>
    <n v="4.97168472222222E-2"/>
    <n v="4.9068496175523169E-2"/>
  </r>
  <r>
    <x v="65"/>
    <x v="7"/>
    <n v="13.8054425"/>
    <n v="11.821507949735279"/>
    <n v="5.7522677083333335E-2"/>
    <n v="4.9256283123896995E-2"/>
  </r>
  <r>
    <x v="65"/>
    <x v="8"/>
    <n v="13.87245361111111"/>
    <n v="11.94128574494944"/>
    <n v="5.7801890046296295E-2"/>
    <n v="4.9755357270622663E-2"/>
  </r>
  <r>
    <x v="65"/>
    <x v="9"/>
    <n v="11.932778611111109"/>
    <n v="11.792600606060549"/>
    <n v="4.9719910879629625E-2"/>
    <n v="4.9135835858585629E-2"/>
  </r>
  <r>
    <x v="65"/>
    <x v="10"/>
    <n v="11.91241277777778"/>
    <n v="11.86565740277778"/>
    <n v="4.9635053240740745E-2"/>
    <n v="4.9440239178240752E-2"/>
  </r>
  <r>
    <x v="65"/>
    <x v="11"/>
    <n v="11.262222222222222"/>
    <n v="10.753055555555555"/>
    <n v="4.6925925925925926E-2"/>
    <n v="4.4804398148148149E-2"/>
  </r>
  <r>
    <x v="66"/>
    <x v="0"/>
    <n v="12.000403611111111"/>
    <n v="11.61967207070694"/>
    <n v="5.0001681712962959E-2"/>
    <n v="4.8415300294612253E-2"/>
  </r>
  <r>
    <x v="66"/>
    <x v="1"/>
    <n v="12.01986833333333"/>
    <n v="11.22907758333333"/>
    <n v="5.0082784722222211E-2"/>
    <n v="4.6787823263888882E-2"/>
  </r>
  <r>
    <x v="66"/>
    <x v="2"/>
    <n v="12.01845277777778"/>
    <n v="11.49010605820083"/>
    <n v="5.0076886574074081E-2"/>
    <n v="4.7875441909170126E-2"/>
  </r>
  <r>
    <x v="66"/>
    <x v="3"/>
    <n v="12.38851972222222"/>
    <n v="11.998495416666669"/>
    <n v="5.1618832175925916E-2"/>
    <n v="4.999373090277779E-2"/>
  </r>
  <r>
    <x v="66"/>
    <x v="4"/>
    <n v="13.014278055555559"/>
    <n v="11.06673983333333"/>
    <n v="5.422615856481483E-2"/>
    <n v="4.6111415972222208E-2"/>
  </r>
  <r>
    <x v="66"/>
    <x v="5"/>
    <n v="12.008181666666671"/>
    <n v="11.077733835978609"/>
    <n v="5.0034090277777797E-2"/>
    <n v="4.6157224316577539E-2"/>
  </r>
  <r>
    <x v="66"/>
    <x v="6"/>
    <n v="11.98496111111111"/>
    <n v="11.741013647342781"/>
    <n v="4.9937337962962958E-2"/>
    <n v="4.8920890197261591E-2"/>
  </r>
  <r>
    <x v="66"/>
    <x v="7"/>
    <n v="12.163459444444451"/>
    <n v="11.598069523809439"/>
    <n v="5.0681081018518544E-2"/>
    <n v="4.8325289682539331E-2"/>
  </r>
  <r>
    <x v="66"/>
    <x v="8"/>
    <n v="12.544304444444441"/>
    <n v="11.845122676767501"/>
    <n v="5.2267935185185167E-2"/>
    <n v="4.9354677819864586E-2"/>
  </r>
  <r>
    <x v="66"/>
    <x v="9"/>
    <n v="12.22817027777778"/>
    <n v="11.92670175505028"/>
    <n v="5.0950709490740743E-2"/>
    <n v="4.9694590646042834E-2"/>
  </r>
  <r>
    <x v="66"/>
    <x v="10"/>
    <n v="12.45257777777778"/>
    <n v="11.97618527777778"/>
    <n v="5.1885740740740753E-2"/>
    <n v="4.990077199074075E-2"/>
  </r>
  <r>
    <x v="66"/>
    <x v="11"/>
    <n v="11.235277777777778"/>
    <n v="10.630833333333333"/>
    <n v="4.6813657407407415E-2"/>
    <n v="4.4295138888888891E-2"/>
  </r>
  <r>
    <x v="67"/>
    <x v="0"/>
    <n v="25.848663055555551"/>
    <n v="22.53869128787861"/>
    <n v="0.10770276273148145"/>
    <n v="9.391121369949422E-2"/>
  </r>
  <r>
    <x v="67"/>
    <x v="1"/>
    <n v="8.5981744444444441"/>
    <n v="5.7448230555555559"/>
    <n v="3.5825726851851848E-2"/>
    <n v="2.3936762731481483E-2"/>
  </r>
  <r>
    <x v="67"/>
    <x v="2"/>
    <n v="14.49634277777778"/>
    <n v="5.9787387301586108"/>
    <n v="6.0401428240740747E-2"/>
    <n v="2.4911411375660875E-2"/>
  </r>
  <r>
    <x v="67"/>
    <x v="3"/>
    <n v="11.0215475"/>
    <n v="5.7621997916666663"/>
    <n v="4.5923114583333334E-2"/>
    <n v="2.400916579861111E-2"/>
  </r>
  <r>
    <x v="67"/>
    <x v="4"/>
    <n v="14.48412027777778"/>
    <n v="6.565431361111111"/>
    <n v="6.0350501157407421E-2"/>
    <n v="2.735596400462963E-2"/>
  </r>
  <r>
    <x v="67"/>
    <x v="5"/>
    <n v="9.5930722222222222"/>
    <n v="5.9794379027777778"/>
    <n v="3.9971134259259258E-2"/>
    <n v="2.4914324594907406E-2"/>
  </r>
  <r>
    <x v="67"/>
    <x v="6"/>
    <n v="9.8226080555555555"/>
    <n v="5.4516952657002777"/>
    <n v="4.0927533564814815E-2"/>
    <n v="2.2715396940417826E-2"/>
  </r>
  <r>
    <x v="67"/>
    <x v="7"/>
    <n v="13.82573138888889"/>
    <n v="6.7921048677247224"/>
    <n v="5.7607214120370377E-2"/>
    <n v="2.8300436948853008E-2"/>
  </r>
  <r>
    <x v="67"/>
    <x v="8"/>
    <n v="8.1438513888888888"/>
    <n v="6.2533232954544449"/>
    <n v="3.3932714120370369E-2"/>
    <n v="2.6055513731060187E-2"/>
  </r>
  <r>
    <x v="67"/>
    <x v="9"/>
    <n v="9.6572494444444441"/>
    <n v="6.7285385858583338"/>
    <n v="4.023853935185185E-2"/>
    <n v="2.803557744107639E-2"/>
  </r>
  <r>
    <x v="67"/>
    <x v="10"/>
    <n v="9.2707005555555551"/>
    <n v="6.0711273472222222"/>
    <n v="3.8627918981481484E-2"/>
    <n v="2.529636394675926E-2"/>
  </r>
  <r>
    <x v="67"/>
    <x v="11"/>
    <n v="11.230277777777779"/>
    <n v="6.9888888888888889"/>
    <n v="4.6792824074074084E-2"/>
    <n v="2.9120370370370369E-2"/>
  </r>
  <r>
    <x v="68"/>
    <x v="0"/>
    <n v="10.008220277777779"/>
    <n v="9.6913989141413897"/>
    <n v="4.1700917824074084E-2"/>
    <n v="4.0380828808922457E-2"/>
  </r>
  <r>
    <x v="68"/>
    <x v="1"/>
    <n v="10.011948333333329"/>
    <n v="9.5925711944444441"/>
    <n v="4.1716451388888874E-2"/>
    <n v="3.9969046643518517E-2"/>
  </r>
  <r>
    <x v="68"/>
    <x v="2"/>
    <n v="12.00048333333333"/>
    <n v="10.83318869047611"/>
    <n v="5.000201388888887E-2"/>
    <n v="4.5138286210317125E-2"/>
  </r>
  <r>
    <x v="68"/>
    <x v="3"/>
    <n v="12.05120194444445"/>
    <n v="11.680137472222221"/>
    <n v="5.0213341435185209E-2"/>
    <n v="4.8667239467592584E-2"/>
  </r>
  <r>
    <x v="68"/>
    <x v="4"/>
    <n v="12.130123055555559"/>
    <n v="11.88138515277778"/>
    <n v="5.0542179398148167E-2"/>
    <n v="4.9505771469907416E-2"/>
  </r>
  <r>
    <x v="68"/>
    <x v="5"/>
    <n v="12.533496111111109"/>
    <n v="11.87394425438583"/>
    <n v="5.2222900462962955E-2"/>
    <n v="4.9474767726607617E-2"/>
  </r>
  <r>
    <x v="68"/>
    <x v="6"/>
    <n v="13.368839722222219"/>
    <n v="11.77485241545889"/>
    <n v="5.5703498842592576E-2"/>
    <n v="4.9061885064412038E-2"/>
  </r>
  <r>
    <x v="68"/>
    <x v="7"/>
    <n v="12.40065361111111"/>
    <n v="11.631572976190281"/>
    <n v="5.1669390046296289E-2"/>
    <n v="4.8464887400792835E-2"/>
  </r>
  <r>
    <x v="68"/>
    <x v="8"/>
    <n v="13.34181027777778"/>
    <n v="11.62130111111111"/>
    <n v="5.5590876157407411E-2"/>
    <n v="4.8422087962962962E-2"/>
  </r>
  <r>
    <x v="68"/>
    <x v="9"/>
    <n v="12.76307222222222"/>
    <n v="11.71111710858583"/>
    <n v="5.3179467592592587E-2"/>
    <n v="4.879632128577429E-2"/>
  </r>
  <r>
    <x v="68"/>
    <x v="10"/>
    <n v="13.162825833333329"/>
    <n v="11.89988505555556"/>
    <n v="5.4845107638888869E-2"/>
    <n v="4.9582854398148163E-2"/>
  </r>
  <r>
    <x v="68"/>
    <x v="11"/>
    <n v="11.147777777777778"/>
    <n v="10.349444444444446"/>
    <n v="4.644907407407408E-2"/>
    <n v="4.3122685185185194E-2"/>
  </r>
  <r>
    <x v="69"/>
    <x v="8"/>
    <n v="46.238730277777783"/>
    <n v="16.375195000000001"/>
    <n v="0.19266137615740742"/>
    <n v="6.8229979166666677E-2"/>
  </r>
  <r>
    <x v="69"/>
    <x v="9"/>
    <n v="86.70778277777778"/>
    <n v="70.656683703703607"/>
    <n v="0.36128242824074075"/>
    <n v="0.29440284876543171"/>
  </r>
  <r>
    <x v="69"/>
    <x v="11"/>
    <n v="44.315555555555555"/>
    <n v="29.010833333333334"/>
    <n v="0.18464814814814814"/>
    <n v="0.12087847222222221"/>
  </r>
  <r>
    <x v="70"/>
    <x v="0"/>
    <n v="12.05341944444444"/>
    <n v="11.893967133838331"/>
    <n v="5.0222581018518501E-2"/>
    <n v="4.9558196390993042E-2"/>
  </r>
  <r>
    <x v="70"/>
    <x v="1"/>
    <n v="12.158985277777781"/>
    <n v="11.734115138888891"/>
    <n v="5.0662438657407417E-2"/>
    <n v="4.8892146412037041E-2"/>
  </r>
  <r>
    <x v="70"/>
    <x v="2"/>
    <n v="12.039673055555561"/>
    <n v="11.839847605819999"/>
    <n v="5.0165304398148168E-2"/>
    <n v="4.9332698357583332E-2"/>
  </r>
  <r>
    <x v="70"/>
    <x v="3"/>
    <n v="12.05221027777778"/>
    <n v="11.92856254166667"/>
    <n v="5.0217542824074084E-2"/>
    <n v="4.9702343923611121E-2"/>
  </r>
  <r>
    <x v="70"/>
    <x v="4"/>
    <n v="12.056804722222219"/>
    <n v="11.569898361111109"/>
    <n v="5.0236686342592575E-2"/>
    <n v="4.8207909837962949E-2"/>
  </r>
  <r>
    <x v="70"/>
    <x v="5"/>
    <n v="12.036365833333329"/>
    <n v="11.404993293650559"/>
    <n v="5.0151524305555535E-2"/>
    <n v="4.7520805390210662E-2"/>
  </r>
  <r>
    <x v="70"/>
    <x v="6"/>
    <n v="12.02964083333333"/>
    <n v="11.65734908212556"/>
    <n v="5.0123503472222213E-2"/>
    <n v="4.857228784218983E-2"/>
  </r>
  <r>
    <x v="70"/>
    <x v="7"/>
    <n v="12.15592222222222"/>
    <n v="11.77457945767194"/>
    <n v="5.0649675925925917E-2"/>
    <n v="4.9060747740299754E-2"/>
  </r>
  <r>
    <x v="70"/>
    <x v="8"/>
    <n v="12.253267777777779"/>
    <n v="11.842792866161391"/>
    <n v="5.1055282407407414E-2"/>
    <n v="4.9344970275672466E-2"/>
  </r>
  <r>
    <x v="70"/>
    <x v="9"/>
    <n v="12.015183055555561"/>
    <n v="11.546613131313061"/>
    <n v="5.0063262731481505E-2"/>
    <n v="4.8110888047137756E-2"/>
  </r>
  <r>
    <x v="70"/>
    <x v="10"/>
    <n v="12.00605833333333"/>
    <n v="10.87101284722222"/>
    <n v="5.0025243055555536E-2"/>
    <n v="4.5295886863425915E-2"/>
  </r>
  <r>
    <x v="70"/>
    <x v="11"/>
    <n v="11.071666666666665"/>
    <n v="10.672222222222222"/>
    <n v="4.6131944444444441E-2"/>
    <n v="4.4467592592592593E-2"/>
  </r>
  <r>
    <x v="71"/>
    <x v="0"/>
    <n v="11.778465000000001"/>
    <n v="11.557253686868609"/>
    <n v="4.9076937500000001E-2"/>
    <n v="4.8155223695285874E-2"/>
  </r>
  <r>
    <x v="71"/>
    <x v="1"/>
    <n v="11.778157500000001"/>
    <n v="11.54490570833333"/>
    <n v="4.9075656250000009E-2"/>
    <n v="4.8103773784722213E-2"/>
  </r>
  <r>
    <x v="71"/>
    <x v="2"/>
    <n v="12.49783861111111"/>
    <n v="11.49534388888889"/>
    <n v="5.207432754629629E-2"/>
    <n v="4.7897266203703708E-2"/>
  </r>
  <r>
    <x v="71"/>
    <x v="3"/>
    <n v="11.795786944444441"/>
    <n v="11.01623559722222"/>
    <n v="4.9149112268518501E-2"/>
    <n v="4.5900981655092578E-2"/>
  </r>
  <r>
    <x v="71"/>
    <x v="4"/>
    <n v="11.792538055555561"/>
    <n v="10.686910861111111"/>
    <n v="4.9135575231481508E-2"/>
    <n v="4.4528795254629626E-2"/>
  </r>
  <r>
    <x v="71"/>
    <x v="5"/>
    <n v="11.775007499999999"/>
    <n v="11.19793679894167"/>
    <n v="4.9062531249999992E-2"/>
    <n v="4.6658069995590294E-2"/>
  </r>
  <r>
    <x v="71"/>
    <x v="6"/>
    <n v="12.08946944444445"/>
    <n v="11.74853422705305"/>
    <n v="5.0372789351851875E-2"/>
    <n v="4.8952225946054369E-2"/>
  </r>
  <r>
    <x v="71"/>
    <x v="7"/>
    <n v="12.952063611111109"/>
    <n v="11.607911560846389"/>
    <n v="5.3966931712962955E-2"/>
    <n v="4.8366298170193285E-2"/>
  </r>
  <r>
    <x v="71"/>
    <x v="8"/>
    <n v="11.7452325"/>
    <n v="11.691319911616111"/>
    <n v="4.8938468749999998E-2"/>
    <n v="4.8713832965067129E-2"/>
  </r>
  <r>
    <x v="71"/>
    <x v="9"/>
    <n v="12.01474694444445"/>
    <n v="11.16035612373722"/>
    <n v="5.0061445601851877E-2"/>
    <n v="4.6501483848905088E-2"/>
  </r>
  <r>
    <x v="71"/>
    <x v="10"/>
    <n v="11.747544444444451"/>
    <n v="11.69749333333333"/>
    <n v="4.8948101851851882E-2"/>
    <n v="4.8739555555555543E-2"/>
  </r>
  <r>
    <x v="71"/>
    <x v="11"/>
    <n v="10.9975"/>
    <n v="10.450555555555555"/>
    <n v="4.5822916666666665E-2"/>
    <n v="4.3543981481481475E-2"/>
  </r>
  <r>
    <x v="72"/>
    <x v="0"/>
    <n v="11.95822861111111"/>
    <n v="11.84772820707056"/>
    <n v="4.9825952546296293E-2"/>
    <n v="4.9365534196127332E-2"/>
  </r>
  <r>
    <x v="72"/>
    <x v="1"/>
    <n v="12.07562388888889"/>
    <n v="11.61663326388889"/>
    <n v="5.0315099537037035E-2"/>
    <n v="4.8402638599537036E-2"/>
  </r>
  <r>
    <x v="72"/>
    <x v="2"/>
    <n v="11.9714425"/>
    <n v="11.66997271164"/>
    <n v="4.988101041666667E-2"/>
    <n v="4.8624886298500002E-2"/>
  </r>
  <r>
    <x v="72"/>
    <x v="3"/>
    <n v="11.990109444444441"/>
    <n v="10.882080347222219"/>
    <n v="4.9958789351851836E-2"/>
    <n v="4.5342001446759241E-2"/>
  </r>
  <r>
    <x v="72"/>
    <x v="4"/>
    <n v="11.9917075"/>
    <n v="11.712129027777779"/>
    <n v="4.9965447916666662E-2"/>
    <n v="4.8800537615740748E-2"/>
  </r>
  <r>
    <x v="72"/>
    <x v="5"/>
    <n v="11.987227777777781"/>
    <n v="11.11190382275111"/>
    <n v="4.9946782407407415E-2"/>
    <n v="4.6299599261462959E-2"/>
  </r>
  <r>
    <x v="72"/>
    <x v="6"/>
    <n v="12.075361111111111"/>
    <n v="11.76822471014472"/>
    <n v="5.0314004629629629E-2"/>
    <n v="4.9034269625602998E-2"/>
  </r>
  <r>
    <x v="72"/>
    <x v="7"/>
    <n v="11.950600833333329"/>
    <n v="11.1601725"/>
    <n v="4.9794170138888871E-2"/>
    <n v="4.6500718750000003E-2"/>
  </r>
  <r>
    <x v="72"/>
    <x v="8"/>
    <n v="11.96370555555556"/>
    <n v="11.81433016414139"/>
    <n v="4.9848773148148166E-2"/>
    <n v="4.9226375683922463E-2"/>
  </r>
  <r>
    <x v="72"/>
    <x v="9"/>
    <n v="11.945060277777779"/>
    <n v="11.803558320706941"/>
    <n v="4.9771084490740747E-2"/>
    <n v="4.9181493002945588E-2"/>
  </r>
  <r>
    <x v="72"/>
    <x v="10"/>
    <n v="11.92781111111111"/>
    <n v="11.15703731944444"/>
    <n v="4.9699212962962959E-2"/>
    <n v="4.6487655497685167E-2"/>
  </r>
  <r>
    <x v="72"/>
    <x v="11"/>
    <n v="10.986666666666668"/>
    <n v="10.545555555555556"/>
    <n v="4.5777777777777785E-2"/>
    <n v="4.3939814814814813E-2"/>
  </r>
  <r>
    <x v="73"/>
    <x v="0"/>
    <n v="4.8374372222222224"/>
    <n v="2.2458801666666668"/>
    <n v="2.0155988425925926E-2"/>
    <n v="9.3578340277777772E-3"/>
  </r>
  <r>
    <x v="73"/>
    <x v="1"/>
    <n v="5.1979572222222226"/>
    <n v="2.676432124182778"/>
    <n v="2.1658155092592595E-2"/>
    <n v="1.1151800517428243E-2"/>
  </r>
  <r>
    <x v="73"/>
    <x v="2"/>
    <n v="12.159358055555559"/>
    <n v="3.4151280401233328"/>
    <n v="5.0663991898148165E-2"/>
    <n v="1.4229700167180554E-2"/>
  </r>
  <r>
    <x v="73"/>
    <x v="3"/>
    <n v="8.3298119444444438"/>
    <n v="4.2097626960783332"/>
    <n v="3.4707549768518517E-2"/>
    <n v="1.7540677900326387E-2"/>
  </r>
  <r>
    <x v="73"/>
    <x v="4"/>
    <n v="12.41289388888889"/>
    <n v="3.9411171527777782"/>
    <n v="5.1720391203703704E-2"/>
    <n v="1.6421321469907411E-2"/>
  </r>
  <r>
    <x v="73"/>
    <x v="5"/>
    <n v="11.161873055555549"/>
    <n v="5.0682807118055564"/>
    <n v="4.6507804398148118E-2"/>
    <n v="2.1117836299189816E-2"/>
  </r>
  <r>
    <x v="73"/>
    <x v="6"/>
    <n v="19.03961444444445"/>
    <n v="5.5024246296294441"/>
    <n v="7.9331726851851872E-2"/>
    <n v="2.2926769290122686E-2"/>
  </r>
  <r>
    <x v="73"/>
    <x v="7"/>
    <n v="20.946671388888891"/>
    <n v="8.590343452380834"/>
    <n v="8.7277797453703718E-2"/>
    <n v="3.5793097718253473E-2"/>
  </r>
  <r>
    <x v="73"/>
    <x v="8"/>
    <n v="14.85805083333333"/>
    <n v="7.7707125308641656"/>
    <n v="6.1908545138888875E-2"/>
    <n v="3.2377968878600692E-2"/>
  </r>
  <r>
    <x v="73"/>
    <x v="9"/>
    <n v="13.40153527777778"/>
    <n v="5.9677810185183331"/>
    <n v="5.5839730324074084E-2"/>
    <n v="2.486575424382639E-2"/>
  </r>
  <r>
    <x v="73"/>
    <x v="10"/>
    <n v="9.1513313888888881"/>
    <n v="4.2897763333333332"/>
    <n v="3.81305474537037E-2"/>
    <n v="1.7874068055555557E-2"/>
  </r>
  <r>
    <x v="73"/>
    <x v="11"/>
    <n v="10.958055555555555"/>
    <n v="4.4733333333333327"/>
    <n v="4.5658564814814812E-2"/>
    <n v="1.8638888888888885E-2"/>
  </r>
  <r>
    <x v="74"/>
    <x v="0"/>
    <n v="11.86803416666667"/>
    <n v="11.55393532828278"/>
    <n v="4.9450142361111123E-2"/>
    <n v="4.814139720117825E-2"/>
  </r>
  <r>
    <x v="74"/>
    <x v="1"/>
    <n v="11.864849166666669"/>
    <n v="11.819483305555559"/>
    <n v="4.9436871527777787E-2"/>
    <n v="4.9247847106481502E-2"/>
  </r>
  <r>
    <x v="74"/>
    <x v="2"/>
    <n v="12.359979722222221"/>
    <n v="11.4898725925925"/>
    <n v="5.1499915509259253E-2"/>
    <n v="4.7874469135802088E-2"/>
  </r>
  <r>
    <x v="74"/>
    <x v="3"/>
    <n v="11.870861111111109"/>
    <n v="11.82946125"/>
    <n v="4.9461921296296285E-2"/>
    <n v="4.9289421874999996E-2"/>
  </r>
  <r>
    <x v="74"/>
    <x v="4"/>
    <n v="11.874067500000001"/>
    <n v="11.818845152777779"/>
    <n v="4.9475281250000003E-2"/>
    <n v="4.9245188136574081E-2"/>
  </r>
  <r>
    <x v="74"/>
    <x v="5"/>
    <n v="11.89154611111111"/>
    <n v="11.30157126984111"/>
    <n v="4.9548108796296286E-2"/>
    <n v="4.7089880291004631E-2"/>
  </r>
  <r>
    <x v="74"/>
    <x v="6"/>
    <n v="12.141478888888891"/>
    <n v="11.86746596618333"/>
    <n v="5.0589495370370378E-2"/>
    <n v="4.944777485909721E-2"/>
  </r>
  <r>
    <x v="74"/>
    <x v="7"/>
    <n v="11.964575555555561"/>
    <n v="11.79531832010556"/>
    <n v="4.9852398148148173E-2"/>
    <n v="4.9147159667106498E-2"/>
  </r>
  <r>
    <x v="74"/>
    <x v="8"/>
    <n v="11.94036305555556"/>
    <n v="11.781030138888889"/>
    <n v="4.9751512731481505E-2"/>
    <n v="4.9087625578703699E-2"/>
  </r>
  <r>
    <x v="74"/>
    <x v="9"/>
    <n v="11.842339722222221"/>
    <n v="11.763666502525"/>
    <n v="4.9343082175925923E-2"/>
    <n v="4.901527709385417E-2"/>
  </r>
  <r>
    <x v="74"/>
    <x v="10"/>
    <n v="11.85910638888889"/>
    <n v="11.780511055555561"/>
    <n v="4.9412943287037041E-2"/>
    <n v="4.9085462731481504E-2"/>
  </r>
  <r>
    <x v="74"/>
    <x v="11"/>
    <n v="10.956666666666667"/>
    <n v="10.733611111111111"/>
    <n v="4.5652777777777785E-2"/>
    <n v="4.4723379629629634E-2"/>
  </r>
  <r>
    <x v="75"/>
    <x v="0"/>
    <n v="10.929621111111111"/>
    <n v="10.63354786616139"/>
    <n v="4.5540087962962959E-2"/>
    <n v="4.4306449442339128E-2"/>
  </r>
  <r>
    <x v="75"/>
    <x v="1"/>
    <n v="11.92821472222222"/>
    <n v="11.201113250000001"/>
    <n v="4.9700894675925922E-2"/>
    <n v="4.667130520833334E-2"/>
  </r>
  <r>
    <x v="75"/>
    <x v="2"/>
    <n v="11.928235000000001"/>
    <n v="11.52596742063472"/>
    <n v="4.9700979166666666E-2"/>
    <n v="4.8024864252644663E-2"/>
  </r>
  <r>
    <x v="75"/>
    <x v="3"/>
    <n v="12.05151666666667"/>
    <n v="11.919309347222219"/>
    <n v="5.0214652777777792E-2"/>
    <n v="4.9663788946759248E-2"/>
  </r>
  <r>
    <x v="75"/>
    <x v="4"/>
    <n v="11.936411111111109"/>
    <n v="11.35156591666667"/>
    <n v="4.9735046296296291E-2"/>
    <n v="4.729819131944446E-2"/>
  </r>
  <r>
    <x v="75"/>
    <x v="5"/>
    <n v="11.92772888888889"/>
    <n v="11.37299883597861"/>
    <n v="4.9698870370370372E-2"/>
    <n v="4.738749514991087E-2"/>
  </r>
  <r>
    <x v="75"/>
    <x v="6"/>
    <n v="11.96929111111111"/>
    <n v="11.78736599033806"/>
    <n v="4.9872046296296289E-2"/>
    <n v="4.911402495974191E-2"/>
  </r>
  <r>
    <x v="75"/>
    <x v="7"/>
    <n v="12.11977222222222"/>
    <n v="11.56627875661361"/>
    <n v="5.0499050925925916E-2"/>
    <n v="4.819282815255671E-2"/>
  </r>
  <r>
    <x v="75"/>
    <x v="8"/>
    <n v="11.935283333333331"/>
    <n v="10.892787739898891"/>
    <n v="4.9730347222222214E-2"/>
    <n v="4.5386615582912043E-2"/>
  </r>
  <r>
    <x v="75"/>
    <x v="9"/>
    <n v="11.93820666666667"/>
    <n v="11.31941390211639"/>
    <n v="4.9742527777777788E-2"/>
    <n v="4.7164224592151617E-2"/>
  </r>
  <r>
    <x v="75"/>
    <x v="10"/>
    <n v="12.00353638888889"/>
    <n v="11.683477972222221"/>
    <n v="5.0014734953703704E-2"/>
    <n v="4.8681158217592585E-2"/>
  </r>
  <r>
    <x v="75"/>
    <x v="11"/>
    <n v="10.889166666666666"/>
    <n v="10.438055555555556"/>
    <n v="4.5371527777777775E-2"/>
    <n v="4.3491898148148155E-2"/>
  </r>
  <r>
    <x v="76"/>
    <x v="0"/>
    <n v="11.909365833333331"/>
    <n v="11.74022950757556"/>
    <n v="4.9622357638888871E-2"/>
    <n v="4.8917622948231494E-2"/>
  </r>
  <r>
    <x v="76"/>
    <x v="1"/>
    <n v="11.90495833333333"/>
    <n v="11.833199361111109"/>
    <n v="4.9603993055555538E-2"/>
    <n v="4.9304997337962952E-2"/>
  </r>
  <r>
    <x v="76"/>
    <x v="2"/>
    <n v="11.95238055555556"/>
    <n v="11.33159793650778"/>
    <n v="4.9801585648148163E-2"/>
    <n v="4.7214991402115748E-2"/>
  </r>
  <r>
    <x v="76"/>
    <x v="3"/>
    <n v="11.61894194444444"/>
    <n v="11.531537986111109"/>
    <n v="4.8412258101851839E-2"/>
    <n v="4.804807494212962E-2"/>
  </r>
  <r>
    <x v="76"/>
    <x v="4"/>
    <n v="11.679392500000001"/>
    <n v="11.54850158333333"/>
    <n v="4.8664135416666671E-2"/>
    <n v="4.8118756597222208E-2"/>
  </r>
  <r>
    <x v="76"/>
    <x v="5"/>
    <n v="11.64673416666667"/>
    <n v="10.53490281746028"/>
    <n v="4.8528059027777792E-2"/>
    <n v="4.3895428406084493E-2"/>
  </r>
  <r>
    <x v="76"/>
    <x v="6"/>
    <n v="11.61964361111111"/>
    <n v="11.45671118357472"/>
    <n v="4.8415181712962961E-2"/>
    <n v="4.7736296598227999E-2"/>
  </r>
  <r>
    <x v="76"/>
    <x v="7"/>
    <n v="11.605634999999999"/>
    <n v="11.51579601851833"/>
    <n v="4.8356812499999992E-2"/>
    <n v="4.7982483410493042E-2"/>
  </r>
  <r>
    <x v="76"/>
    <x v="8"/>
    <n v="11.84715083333333"/>
    <n v="11.526291994949441"/>
    <n v="4.9363128472222212E-2"/>
    <n v="4.802621664562267E-2"/>
  </r>
  <r>
    <x v="76"/>
    <x v="9"/>
    <n v="11.91417388888889"/>
    <n v="11.299479709595831"/>
    <n v="4.9642391203703708E-2"/>
    <n v="4.7081165456649289E-2"/>
  </r>
  <r>
    <x v="76"/>
    <x v="10"/>
    <n v="11.557048333333331"/>
    <n v="10.33295773611111"/>
    <n v="4.8154368055555542E-2"/>
    <n v="4.3053990567129628E-2"/>
  </r>
  <r>
    <x v="76"/>
    <x v="11"/>
    <n v="10.771388888888888"/>
    <n v="10.387777777777778"/>
    <n v="4.4880787037037038E-2"/>
    <n v="4.3282407407407408E-2"/>
  </r>
  <r>
    <x v="77"/>
    <x v="0"/>
    <n v="10.93893805555556"/>
    <n v="10.821642436868609"/>
    <n v="4.5578908564814835E-2"/>
    <n v="4.5090176820285877E-2"/>
  </r>
  <r>
    <x v="77"/>
    <x v="1"/>
    <n v="10.97629083333333"/>
    <n v="10.93127765277778"/>
    <n v="4.5734545138888881E-2"/>
    <n v="4.5546990219907414E-2"/>
  </r>
  <r>
    <x v="77"/>
    <x v="2"/>
    <n v="10.94770555555556"/>
    <n v="10.466133915343891"/>
    <n v="4.5615439814814834E-2"/>
    <n v="4.3608891313932883E-2"/>
  </r>
  <r>
    <x v="77"/>
    <x v="3"/>
    <n v="11.43016083333333"/>
    <n v="10.958091874999999"/>
    <n v="4.7625670138888875E-2"/>
    <n v="4.5658716145833333E-2"/>
  </r>
  <r>
    <x v="77"/>
    <x v="4"/>
    <n v="10.95655472222222"/>
    <n v="10.92766679166667"/>
    <n v="4.5652311342592587E-2"/>
    <n v="4.5531944965277793E-2"/>
  </r>
  <r>
    <x v="77"/>
    <x v="5"/>
    <n v="10.9561575"/>
    <n v="10.834406625"/>
    <n v="4.5650656249999998E-2"/>
    <n v="4.5143360937499995E-2"/>
  </r>
  <r>
    <x v="77"/>
    <x v="6"/>
    <n v="10.960802777777779"/>
    <n v="10.93128032608695"/>
    <n v="4.5670011574074076E-2"/>
    <n v="4.5547001358695625E-2"/>
  </r>
  <r>
    <x v="77"/>
    <x v="7"/>
    <n v="11.723117500000001"/>
    <n v="10.86299707671945"/>
    <n v="4.8846322916666664E-2"/>
    <n v="4.5262487819664375E-2"/>
  </r>
  <r>
    <x v="77"/>
    <x v="8"/>
    <n v="10.94105722222222"/>
    <n v="10.8904037752525"/>
    <n v="4.5587738425925915E-2"/>
    <n v="4.5376682396885415E-2"/>
  </r>
  <r>
    <x v="77"/>
    <x v="9"/>
    <n v="12.187718333333329"/>
    <n v="10.97418419191917"/>
    <n v="5.0782159722222199E-2"/>
    <n v="4.5725767466329871E-2"/>
  </r>
  <r>
    <x v="77"/>
    <x v="10"/>
    <n v="11.86287583333333"/>
    <n v="11.00450354166667"/>
    <n v="4.9428649305555544E-2"/>
    <n v="4.5852098090277793E-2"/>
  </r>
  <r>
    <x v="77"/>
    <x v="11"/>
    <n v="10.323611111111111"/>
    <n v="9.9669444444444437"/>
    <n v="4.3015046296296294E-2"/>
    <n v="4.1528935185185183E-2"/>
  </r>
  <r>
    <x v="78"/>
    <x v="0"/>
    <n v="11.950258333333331"/>
    <n v="11.494248901515"/>
    <n v="4.979274305555554E-2"/>
    <n v="4.78927037563125E-2"/>
  </r>
  <r>
    <x v="78"/>
    <x v="1"/>
    <n v="9.3335477777777776"/>
    <n v="6.099845208333333"/>
    <n v="3.8889782407407404E-2"/>
    <n v="2.5416021701388888E-2"/>
  </r>
  <r>
    <x v="78"/>
    <x v="2"/>
    <n v="6.6681197222222224"/>
    <n v="5.4587980291002776"/>
    <n v="2.7783832175925924E-2"/>
    <n v="2.2744991787917824E-2"/>
  </r>
  <r>
    <x v="78"/>
    <x v="3"/>
    <n v="11.950294444444451"/>
    <n v="9.1886168749999992"/>
    <n v="4.9792893518518545E-2"/>
    <n v="3.8285903645833334E-2"/>
  </r>
  <r>
    <x v="78"/>
    <x v="4"/>
    <n v="11.979952777777781"/>
    <n v="11.74944426388889"/>
    <n v="4.9916469907407418E-2"/>
    <n v="4.8956017766203709E-2"/>
  </r>
  <r>
    <x v="78"/>
    <x v="5"/>
    <n v="11.70518361111111"/>
    <n v="11.108222526455"/>
    <n v="4.8771598379629626E-2"/>
    <n v="4.6284260526895833E-2"/>
  </r>
  <r>
    <x v="78"/>
    <x v="6"/>
    <n v="11.926356388888889"/>
    <n v="11.63946997584528"/>
    <n v="4.9693151620370378E-2"/>
    <n v="4.8497791566021999E-2"/>
  </r>
  <r>
    <x v="78"/>
    <x v="7"/>
    <n v="11.900966666666671"/>
    <n v="11.596900701058059"/>
    <n v="4.9587361111111124E-2"/>
    <n v="4.8320419587741914E-2"/>
  </r>
  <r>
    <x v="78"/>
    <x v="8"/>
    <n v="11.70940722222222"/>
    <n v="11.65006046717167"/>
    <n v="4.8789196759259246E-2"/>
    <n v="4.8541918613215294E-2"/>
  </r>
  <r>
    <x v="78"/>
    <x v="9"/>
    <n v="11.885657222222219"/>
    <n v="11.64625102272722"/>
    <n v="4.9523571759259248E-2"/>
    <n v="4.8526045928030087E-2"/>
  </r>
  <r>
    <x v="78"/>
    <x v="10"/>
    <n v="11.874990555555559"/>
    <n v="11.630459319444441"/>
    <n v="4.9479127314814832E-2"/>
    <n v="4.8460247164351843E-2"/>
  </r>
  <r>
    <x v="78"/>
    <x v="11"/>
    <n v="10.240555555555554"/>
    <n v="9.4386111111111113"/>
    <n v="4.2668981481481481E-2"/>
    <n v="3.9327546296296298E-2"/>
  </r>
  <r>
    <x v="79"/>
    <x v="0"/>
    <n v="10.96555833333333"/>
    <n v="10.71842530303028"/>
    <n v="4.5689826388888875E-2"/>
    <n v="4.4660105429292829E-2"/>
  </r>
  <r>
    <x v="79"/>
    <x v="1"/>
    <n v="11.3080075"/>
    <n v="10.958767847222219"/>
    <n v="4.7116697916666672E-2"/>
    <n v="4.5661532696759245E-2"/>
  </r>
  <r>
    <x v="79"/>
    <x v="2"/>
    <n v="10.98594555555556"/>
    <n v="10.87883834656083"/>
    <n v="4.5774773148148172E-2"/>
    <n v="4.532849311067013E-2"/>
  </r>
  <r>
    <x v="79"/>
    <x v="3"/>
    <n v="11.01215861111111"/>
    <n v="10.957111888888891"/>
    <n v="4.5883994212962957E-2"/>
    <n v="4.565463287037038E-2"/>
  </r>
  <r>
    <x v="79"/>
    <x v="4"/>
    <n v="11.01984805555556"/>
    <n v="10.946151319444439"/>
    <n v="4.5916033564814829E-2"/>
    <n v="4.5608963831018499E-2"/>
  </r>
  <r>
    <x v="79"/>
    <x v="5"/>
    <n v="10.99918722222222"/>
    <n v="10.444152552909999"/>
    <n v="4.5829946759259249E-2"/>
    <n v="4.3517302303791666E-2"/>
  </r>
  <r>
    <x v="79"/>
    <x v="6"/>
    <n v="11.01850388888889"/>
    <n v="10.97077097826083"/>
    <n v="4.5910432870370381E-2"/>
    <n v="4.5711545742753462E-2"/>
  </r>
  <r>
    <x v="79"/>
    <x v="7"/>
    <n v="10.97043027777778"/>
    <n v="10.904301626983891"/>
    <n v="4.5710126157407417E-2"/>
    <n v="4.5434590112432872E-2"/>
  </r>
  <r>
    <x v="79"/>
    <x v="8"/>
    <n v="10.973869444444439"/>
    <n v="10.92616905303028"/>
    <n v="4.5724456018518496E-2"/>
    <n v="4.5525704387626174E-2"/>
  </r>
  <r>
    <x v="79"/>
    <x v="9"/>
    <n v="10.99133055555555"/>
    <n v="10.93817244949472"/>
    <n v="4.5797210648148123E-2"/>
    <n v="4.5575718539561334E-2"/>
  </r>
  <r>
    <x v="79"/>
    <x v="10"/>
    <n v="10.967126944444439"/>
    <n v="10.922806069444441"/>
    <n v="4.5696362268518496E-2"/>
    <n v="4.5511691956018507E-2"/>
  </r>
  <r>
    <x v="79"/>
    <x v="11"/>
    <n v="10.101111111111113"/>
    <n v="9.9638888888888903"/>
    <n v="4.2087962962962966E-2"/>
    <n v="4.1516203703703708E-2"/>
  </r>
  <r>
    <x v="80"/>
    <x v="0"/>
    <n v="11.129524999999999"/>
    <n v="10.58393566919167"/>
    <n v="4.6373020833333334E-2"/>
    <n v="4.4099731954965284E-2"/>
  </r>
  <r>
    <x v="80"/>
    <x v="1"/>
    <n v="11.16150166666667"/>
    <n v="11.01897061111111"/>
    <n v="4.6506256944444456E-2"/>
    <n v="4.591237754629629E-2"/>
  </r>
  <r>
    <x v="80"/>
    <x v="2"/>
    <n v="11.15649638888889"/>
    <n v="10.67338766666667"/>
    <n v="4.6485401620370376E-2"/>
    <n v="4.4472448611111125E-2"/>
  </r>
  <r>
    <x v="80"/>
    <x v="3"/>
    <n v="10.88285555555556"/>
    <n v="10.765687840908891"/>
    <n v="4.53452314814815E-2"/>
    <n v="4.4857032670453711E-2"/>
  </r>
  <r>
    <x v="80"/>
    <x v="4"/>
    <n v="10.890775833333331"/>
    <n v="10.667683555555559"/>
    <n v="4.5378232638888877E-2"/>
    <n v="4.444868148148149E-2"/>
  </r>
  <r>
    <x v="80"/>
    <x v="5"/>
    <n v="10.88532222222222"/>
    <n v="10.633413624999999"/>
    <n v="4.5355509259259248E-2"/>
    <n v="4.4305890104166662E-2"/>
  </r>
  <r>
    <x v="80"/>
    <x v="6"/>
    <n v="10.890195555555559"/>
    <n v="10.841028804347779"/>
    <n v="4.5375814814814834E-2"/>
    <n v="4.5170953351449078E-2"/>
  </r>
  <r>
    <x v="80"/>
    <x v="7"/>
    <n v="11.001389722222219"/>
    <n v="10.77641406084639"/>
    <n v="4.5839123842592581E-2"/>
    <n v="4.4901725253526627E-2"/>
  </r>
  <r>
    <x v="80"/>
    <x v="8"/>
    <n v="10.859242500000001"/>
    <n v="10.766313939393889"/>
    <n v="4.5246843750000008E-2"/>
    <n v="4.4859641414141206E-2"/>
  </r>
  <r>
    <x v="80"/>
    <x v="9"/>
    <n v="10.86219805555556"/>
    <n v="10.500492391304171"/>
    <n v="4.5259158564814828E-2"/>
    <n v="4.3752051630434045E-2"/>
  </r>
  <r>
    <x v="80"/>
    <x v="10"/>
    <n v="10.854091666666671"/>
    <n v="10.75837754166667"/>
    <n v="4.5225381944444455E-2"/>
    <n v="4.4826573090277794E-2"/>
  </r>
  <r>
    <x v="80"/>
    <x v="11"/>
    <n v="10.048055555555555"/>
    <n v="9.8322222222222209"/>
    <n v="4.1866898148148146E-2"/>
    <n v="4.096759259259259E-2"/>
  </r>
  <r>
    <x v="81"/>
    <x v="0"/>
    <n v="7.8132852777777781"/>
    <n v="6.5436019065655557"/>
    <n v="3.2555355324074074E-2"/>
    <n v="2.7265007944023149E-2"/>
  </r>
  <r>
    <x v="81"/>
    <x v="1"/>
    <n v="9.2299163888888884"/>
    <n v="7.1383724722222226"/>
    <n v="3.84579849537037E-2"/>
    <n v="2.9743218634259262E-2"/>
  </r>
  <r>
    <x v="81"/>
    <x v="2"/>
    <n v="10.54255583333333"/>
    <n v="6.7684606084655554"/>
    <n v="4.3927315972222207E-2"/>
    <n v="2.8201919201939814E-2"/>
  </r>
  <r>
    <x v="81"/>
    <x v="3"/>
    <n v="7.2805055555555551"/>
    <n v="6.9504918194444443"/>
    <n v="3.0335439814814815E-2"/>
    <n v="2.8960382581018518E-2"/>
  </r>
  <r>
    <x v="81"/>
    <x v="4"/>
    <n v="9.6881119444444437"/>
    <n v="6.9071535138888889"/>
    <n v="4.0367133101851853E-2"/>
    <n v="2.877980630787037E-2"/>
  </r>
  <r>
    <x v="81"/>
    <x v="5"/>
    <n v="12.060656944444441"/>
    <n v="7.3651673809522222"/>
    <n v="5.0252737268518505E-2"/>
    <n v="3.068819742063426E-2"/>
  </r>
  <r>
    <x v="81"/>
    <x v="6"/>
    <n v="12.456596111111111"/>
    <n v="7.9805817512074997"/>
    <n v="5.1902483796296299E-2"/>
    <n v="3.3252423963364579E-2"/>
  </r>
  <r>
    <x v="81"/>
    <x v="7"/>
    <n v="13.29820472222222"/>
    <n v="7.6334766798941667"/>
    <n v="5.5409186342592585E-2"/>
    <n v="3.1806152832892363E-2"/>
  </r>
  <r>
    <x v="81"/>
    <x v="8"/>
    <n v="13.410901666666669"/>
    <n v="7.52382260101"/>
    <n v="5.5878756944444462E-2"/>
    <n v="3.1349260837541665E-2"/>
  </r>
  <r>
    <x v="81"/>
    <x v="9"/>
    <n v="13.06836833333333"/>
    <n v="7.186829204545278"/>
    <n v="5.4451534722222215E-2"/>
    <n v="2.9945121685605324E-2"/>
  </r>
  <r>
    <x v="81"/>
    <x v="10"/>
    <n v="10.004945833333331"/>
    <n v="7.0923520833333331"/>
    <n v="4.1687274305555543E-2"/>
    <n v="2.9551467013888888E-2"/>
  </r>
  <r>
    <x v="81"/>
    <x v="11"/>
    <n v="9.9047222222222224"/>
    <n v="6.5911111111111103"/>
    <n v="4.1269675925925925E-2"/>
    <n v="2.7462962962962956E-2"/>
  </r>
  <r>
    <x v="82"/>
    <x v="0"/>
    <n v="22.826178611111111"/>
    <n v="22.529627449494718"/>
    <n v="9.5109077546296286E-2"/>
    <n v="9.3873447706228005E-2"/>
  </r>
  <r>
    <x v="82"/>
    <x v="1"/>
    <n v="22.820715"/>
    <n v="22.642058458333331"/>
    <n v="9.5086312499999992E-2"/>
    <n v="9.4341910243055549E-2"/>
  </r>
  <r>
    <x v="82"/>
    <x v="2"/>
    <n v="22.82527138888889"/>
    <n v="22.711031005290831"/>
    <n v="9.5105297453703705E-2"/>
    <n v="9.4629295855378451E-2"/>
  </r>
  <r>
    <x v="82"/>
    <x v="3"/>
    <n v="13.49182527777778"/>
    <n v="4.009385833333333"/>
    <n v="5.621593865740742E-2"/>
    <n v="1.6705774305555556E-2"/>
  </r>
  <r>
    <x v="82"/>
    <x v="4"/>
    <n v="5.5119630555555554"/>
    <n v="3.8052317638888891"/>
    <n v="2.2966512731481481E-2"/>
    <n v="1.5855132349537036E-2"/>
  </r>
  <r>
    <x v="82"/>
    <x v="5"/>
    <n v="5.1838422222222222"/>
    <n v="3.5310836640211112"/>
    <n v="2.1599342592592594E-2"/>
    <n v="1.4712848600087964E-2"/>
  </r>
  <r>
    <x v="82"/>
    <x v="6"/>
    <n v="4.5207752777777781"/>
    <n v="3.530698369565"/>
    <n v="1.883656365740741E-2"/>
    <n v="1.4711243206520834E-2"/>
  </r>
  <r>
    <x v="82"/>
    <x v="7"/>
    <n v="4.920319444444444"/>
    <n v="3.6498674603172221"/>
    <n v="2.0501331018518518E-2"/>
    <n v="1.5207781084655092E-2"/>
  </r>
  <r>
    <x v="82"/>
    <x v="8"/>
    <n v="5.2973549999999996"/>
    <n v="3.7912103535352779"/>
    <n v="2.2072312499999996E-2"/>
    <n v="1.5796709806396993E-2"/>
  </r>
  <r>
    <x v="82"/>
    <x v="9"/>
    <n v="4.6606411111111106"/>
    <n v="3.6345329671716669"/>
    <n v="1.9419337962962961E-2"/>
    <n v="1.5143887363215279E-2"/>
  </r>
  <r>
    <x v="82"/>
    <x v="10"/>
    <n v="4.5061805555555559"/>
    <n v="3.5147406944444439"/>
    <n v="1.8775752314814816E-2"/>
    <n v="1.4644752893518515E-2"/>
  </r>
  <r>
    <x v="82"/>
    <x v="11"/>
    <n v="9.7138888888888903"/>
    <n v="8.1125000000000007"/>
    <n v="4.0474537037037045E-2"/>
    <n v="3.3802083333333337E-2"/>
  </r>
  <r>
    <x v="83"/>
    <x v="0"/>
    <n v="10.245148333333329"/>
    <n v="9.8916008712119439"/>
    <n v="4.2688118055555536E-2"/>
    <n v="4.1215003630049769E-2"/>
  </r>
  <r>
    <x v="83"/>
    <x v="1"/>
    <n v="10.24330944444444"/>
    <n v="9.738059319444444"/>
    <n v="4.2680456018518498E-2"/>
    <n v="4.0575247164351853E-2"/>
  </r>
  <r>
    <x v="83"/>
    <x v="2"/>
    <n v="10.184978611111109"/>
    <n v="9.6854121031744445"/>
    <n v="4.2437410879629621E-2"/>
    <n v="4.0355883763226852E-2"/>
  </r>
  <r>
    <x v="83"/>
    <x v="3"/>
    <n v="10.192423888888889"/>
    <n v="10.009325125"/>
    <n v="4.2468432870370366E-2"/>
    <n v="4.1705521354166664E-2"/>
  </r>
  <r>
    <x v="83"/>
    <x v="4"/>
    <n v="10.21355555555555"/>
    <n v="8.5660930833333335"/>
    <n v="4.2556481481481452E-2"/>
    <n v="3.5692054513888891E-2"/>
  </r>
  <r>
    <x v="83"/>
    <x v="5"/>
    <n v="10.17104138888889"/>
    <n v="9.558880952380834"/>
    <n v="4.2379339120370375E-2"/>
    <n v="3.9828670634920141E-2"/>
  </r>
  <r>
    <x v="83"/>
    <x v="6"/>
    <n v="10.180623055555561"/>
    <n v="10.058157451690549"/>
    <n v="4.24192627314815E-2"/>
    <n v="4.190898938204396E-2"/>
  </r>
  <r>
    <x v="83"/>
    <x v="7"/>
    <n v="10.35232027777778"/>
    <n v="9.976110317460277"/>
    <n v="4.3134667824074081E-2"/>
    <n v="4.1567126322751155E-2"/>
  </r>
  <r>
    <x v="83"/>
    <x v="8"/>
    <n v="10.47630361111111"/>
    <n v="10.05197222222222"/>
    <n v="4.3651265046296295E-2"/>
    <n v="4.1883217592592586E-2"/>
  </r>
  <r>
    <x v="83"/>
    <x v="9"/>
    <n v="10.89740388888889"/>
    <n v="9.9894473106058328"/>
    <n v="4.5405849537037045E-2"/>
    <n v="4.1622697127524304E-2"/>
  </r>
  <r>
    <x v="83"/>
    <x v="10"/>
    <n v="10.150033333333329"/>
    <n v="9.9512283055555564"/>
    <n v="4.2291805555555541E-2"/>
    <n v="4.1463451273148148E-2"/>
  </r>
  <r>
    <x v="83"/>
    <x v="11"/>
    <n v="9.442499999999999"/>
    <n v="8.9563888888888883"/>
    <n v="3.9343749999999997E-2"/>
    <n v="3.7318287037037039E-2"/>
  </r>
  <r>
    <x v="84"/>
    <x v="0"/>
    <n v="8.9037000000000006"/>
    <n v="3.1179038011694451"/>
    <n v="3.7098750000000007E-2"/>
    <n v="1.299126583820602E-2"/>
  </r>
  <r>
    <x v="84"/>
    <x v="1"/>
    <n v="7.6196383333333344"/>
    <n v="3.4086521250000001"/>
    <n v="3.1748493055555556E-2"/>
    <n v="1.42027171875E-2"/>
  </r>
  <r>
    <x v="84"/>
    <x v="2"/>
    <n v="9.2818675000000006"/>
    <n v="2.9531810052908329"/>
    <n v="3.8674447916666667E-2"/>
    <n v="1.2304920855378472E-2"/>
  </r>
  <r>
    <x v="84"/>
    <x v="3"/>
    <n v="10.29631222222222"/>
    <n v="3.0692236419752779"/>
    <n v="4.2901300925925916E-2"/>
    <n v="1.2788431841563657E-2"/>
  </r>
  <r>
    <x v="84"/>
    <x v="4"/>
    <n v="10.45597888888889"/>
    <n v="4.2164920029238893"/>
    <n v="4.3566578703703708E-2"/>
    <n v="1.7568716678849541E-2"/>
  </r>
  <r>
    <x v="84"/>
    <x v="5"/>
    <n v="8.9432330555555559"/>
    <n v="3.3630134305555561"/>
    <n v="3.726347106481482E-2"/>
    <n v="1.4012555960648149E-2"/>
  </r>
  <r>
    <x v="84"/>
    <x v="6"/>
    <n v="13.108458055555561"/>
    <n v="2.901895555555555"/>
    <n v="5.4618575231481503E-2"/>
    <n v="1.2091231481481479E-2"/>
  </r>
  <r>
    <x v="84"/>
    <x v="7"/>
    <n v="10.9831375"/>
    <n v="2.713666058200833"/>
    <n v="4.5763072916666668E-2"/>
    <n v="1.1306941909170138E-2"/>
  </r>
  <r>
    <x v="84"/>
    <x v="8"/>
    <n v="8.9745238888888892"/>
    <n v="2.1871737247472218"/>
    <n v="3.739384953703704E-2"/>
    <n v="9.1132238531134238E-3"/>
  </r>
  <r>
    <x v="84"/>
    <x v="9"/>
    <n v="13.087601111111111"/>
    <n v="3.698315423280278"/>
    <n v="5.4531671296296297E-2"/>
    <n v="1.5409647597001157E-2"/>
  </r>
  <r>
    <x v="84"/>
    <x v="10"/>
    <n v="11.542979722222221"/>
    <n v="2.8260231944444438"/>
    <n v="4.809574884259258E-2"/>
    <n v="1.1775096643518515E-2"/>
  </r>
  <r>
    <x v="84"/>
    <x v="11"/>
    <n v="9.4333333333333336"/>
    <n v="2.8713888888888888"/>
    <n v="3.9305555555555559E-2"/>
    <n v="1.196412037037037E-2"/>
  </r>
  <r>
    <x v="85"/>
    <x v="0"/>
    <n v="13.871437500000001"/>
    <n v="5.7812630050502776"/>
    <n v="5.7797656250000003E-2"/>
    <n v="2.4088595854376157E-2"/>
  </r>
  <r>
    <x v="85"/>
    <x v="1"/>
    <n v="19.184753888888888"/>
    <n v="5.5711414043208336"/>
    <n v="7.9936474537037033E-2"/>
    <n v="2.3213089184670143E-2"/>
  </r>
  <r>
    <x v="85"/>
    <x v="2"/>
    <n v="7.9190399999999999"/>
    <n v="4.5241725396824997"/>
    <n v="3.2995999999999998E-2"/>
    <n v="1.8850718915343748E-2"/>
  </r>
  <r>
    <x v="85"/>
    <x v="3"/>
    <n v="6.3911888888888893"/>
    <n v="4.3120283472222223"/>
    <n v="2.6629953703703704E-2"/>
    <n v="1.7966784780092591E-2"/>
  </r>
  <r>
    <x v="85"/>
    <x v="4"/>
    <n v="7.5545658333333332"/>
    <n v="3.8556922083333331"/>
    <n v="3.1477357638888891E-2"/>
    <n v="1.606538420138889E-2"/>
  </r>
  <r>
    <x v="85"/>
    <x v="5"/>
    <n v="7.7636630555555559"/>
    <n v="3.912318624338611"/>
    <n v="3.234859606481482E-2"/>
    <n v="1.630132760141088E-2"/>
  </r>
  <r>
    <x v="85"/>
    <x v="6"/>
    <n v="6.8328813888888886"/>
    <n v="4.119570036231667"/>
    <n v="2.8470339120370367E-2"/>
    <n v="1.7164875150965278E-2"/>
  </r>
  <r>
    <x v="85"/>
    <x v="7"/>
    <n v="7.3538627777777776"/>
    <n v="5.0094651058200004"/>
    <n v="3.0641094907407407E-2"/>
    <n v="2.0872771274249999E-2"/>
  </r>
  <r>
    <x v="85"/>
    <x v="8"/>
    <n v="19.86590277777778"/>
    <n v="5.1602925757575004"/>
    <n v="8.277459490740742E-2"/>
    <n v="2.150121906565625E-2"/>
  </r>
  <r>
    <x v="85"/>
    <x v="9"/>
    <n v="7.9519177777777781"/>
    <n v="4.8527828409088887"/>
    <n v="3.3132990740740741E-2"/>
    <n v="2.0219928503787035E-2"/>
  </r>
  <r>
    <x v="85"/>
    <x v="10"/>
    <n v="8.2879541666666672"/>
    <n v="5.2277726388888892"/>
    <n v="3.4533142361111109E-2"/>
    <n v="2.1782385995370371E-2"/>
  </r>
  <r>
    <x v="85"/>
    <x v="11"/>
    <n v="9.4149999999999991"/>
    <n v="4.3605555555555551"/>
    <n v="3.9229166666666662E-2"/>
    <n v="1.816898148148148E-2"/>
  </r>
  <r>
    <x v="86"/>
    <x v="0"/>
    <n v="26.972752222222219"/>
    <n v="24.186109785353331"/>
    <n v="0.11238646759259258"/>
    <n v="0.1007754574389722"/>
  </r>
  <r>
    <x v="86"/>
    <x v="1"/>
    <n v="26.901117500000002"/>
    <n v="14.372375944444441"/>
    <n v="0.11208798958333334"/>
    <n v="5.9884899768518497E-2"/>
  </r>
  <r>
    <x v="86"/>
    <x v="2"/>
    <n v="56.188894444444443"/>
    <n v="3.3887749999999999"/>
    <n v="0.23412039351851852"/>
    <n v="1.4119895833333333E-2"/>
  </r>
  <r>
    <x v="86"/>
    <x v="3"/>
    <n v="0.96115916666666668"/>
    <n v="0.1237369027777778"/>
    <n v="4.0048298611111109E-3"/>
    <n v="5.1557042824074085E-4"/>
  </r>
  <r>
    <x v="86"/>
    <x v="4"/>
    <n v="0.27263305555555561"/>
    <n v="7.9012326388888887E-2"/>
    <n v="1.1359710648148151E-3"/>
    <n v="3.292180266203704E-4"/>
  </r>
  <r>
    <x v="86"/>
    <x v="11"/>
    <n v="18.549444444444443"/>
    <n v="7.0252777777777773"/>
    <n v="7.7289351851851845E-2"/>
    <n v="2.9271990740740741E-2"/>
  </r>
  <r>
    <x v="87"/>
    <x v="0"/>
    <n v="10.040634166666671"/>
    <n v="9.882079191919166"/>
    <n v="4.1835975694444465E-2"/>
    <n v="4.117532996632986E-2"/>
  </r>
  <r>
    <x v="87"/>
    <x v="1"/>
    <n v="10.04767222222222"/>
    <n v="9.938548472222223"/>
    <n v="4.1865300925925913E-2"/>
    <n v="4.1410618634259259E-2"/>
  </r>
  <r>
    <x v="87"/>
    <x v="2"/>
    <n v="10.044596388888889"/>
    <n v="9.860170939153333"/>
    <n v="4.1852484953703702E-2"/>
    <n v="4.1084045579805557E-2"/>
  </r>
  <r>
    <x v="87"/>
    <x v="3"/>
    <n v="10.08401388888889"/>
    <n v="9.8238663611111114"/>
    <n v="4.2016724537037038E-2"/>
    <n v="4.0932776504629627E-2"/>
  </r>
  <r>
    <x v="87"/>
    <x v="4"/>
    <n v="10.044487222222219"/>
    <n v="9.959023222222223"/>
    <n v="4.1852030092592585E-2"/>
    <n v="4.1495930092592594E-2"/>
  </r>
  <r>
    <x v="87"/>
    <x v="5"/>
    <n v="10.04586388888889"/>
    <n v="9.8598272777777769"/>
    <n v="4.1857766203703711E-2"/>
    <n v="4.1082613657407403E-2"/>
  </r>
  <r>
    <x v="87"/>
    <x v="6"/>
    <n v="10.20943611111111"/>
    <n v="9.9926185024152776"/>
    <n v="4.2539317129629627E-2"/>
    <n v="4.1635910426730323E-2"/>
  </r>
  <r>
    <x v="87"/>
    <x v="7"/>
    <n v="10.01556111111111"/>
    <n v="9.9261978306877783"/>
    <n v="4.1731504629629622E-2"/>
    <n v="4.1359157627865746E-2"/>
  </r>
  <r>
    <x v="87"/>
    <x v="8"/>
    <n v="10.02109611111111"/>
    <n v="9.9593144570705547"/>
    <n v="4.1754567129629626E-2"/>
    <n v="4.1497143571127312E-2"/>
  </r>
  <r>
    <x v="87"/>
    <x v="9"/>
    <n v="10.07889611111111"/>
    <n v="9.9405596717169438"/>
    <n v="4.1995400462962962E-2"/>
    <n v="4.1418998632153932E-2"/>
  </r>
  <r>
    <x v="87"/>
    <x v="10"/>
    <n v="10.018212222222219"/>
    <n v="9.9469856527777782"/>
    <n v="4.1742550925925916E-2"/>
    <n v="4.1445773553240743E-2"/>
  </r>
  <r>
    <x v="87"/>
    <x v="11"/>
    <n v="9.2211111111111101"/>
    <n v="9.0908333333333342"/>
    <n v="3.8421296296296294E-2"/>
    <n v="3.787847222222223E-2"/>
  </r>
  <r>
    <x v="88"/>
    <x v="0"/>
    <n v="9.977321388888889"/>
    <n v="9.8141076136361107"/>
    <n v="4.1572172453703704E-2"/>
    <n v="4.0892115056817127E-2"/>
  </r>
  <r>
    <x v="88"/>
    <x v="1"/>
    <n v="9.9755000000000003"/>
    <n v="9.9169425138888894"/>
    <n v="4.1564583333333335E-2"/>
    <n v="4.1320593807870371E-2"/>
  </r>
  <r>
    <x v="88"/>
    <x v="2"/>
    <n v="9.963719444444445"/>
    <n v="9.8394300000000001"/>
    <n v="4.1515497685185192E-2"/>
    <n v="4.0997625000000003E-2"/>
  </r>
  <r>
    <x v="88"/>
    <x v="3"/>
    <n v="9.9622825000000006"/>
    <n v="9.9304938055555549"/>
    <n v="4.1509510416666666E-2"/>
    <n v="4.1377057523148145E-2"/>
  </r>
  <r>
    <x v="88"/>
    <x v="4"/>
    <n v="9.9706499999999991"/>
    <n v="9.8282007916666672"/>
    <n v="4.1544374999999995E-2"/>
    <n v="4.0950836631944446E-2"/>
  </r>
  <r>
    <x v="88"/>
    <x v="5"/>
    <n v="10.03870805555556"/>
    <n v="9.9447362222222218"/>
    <n v="4.1827950231481503E-2"/>
    <n v="4.1436400925925924E-2"/>
  </r>
  <r>
    <x v="88"/>
    <x v="6"/>
    <n v="9.9712908333333328"/>
    <n v="9.9131475362316674"/>
    <n v="4.1547045138888884E-2"/>
    <n v="4.1304781400965281E-2"/>
  </r>
  <r>
    <x v="88"/>
    <x v="7"/>
    <n v="9.9543047222222221"/>
    <n v="9.8237225264550005"/>
    <n v="4.1476269675925929E-2"/>
    <n v="4.0932177193562506E-2"/>
  </r>
  <r>
    <x v="88"/>
    <x v="8"/>
    <n v="10.08061861111111"/>
    <n v="9.9180646717169445"/>
    <n v="4.2002577546296292E-2"/>
    <n v="4.1325269465487265E-2"/>
  </r>
  <r>
    <x v="88"/>
    <x v="9"/>
    <n v="9.9632063888888887"/>
    <n v="9.8989757828280549"/>
    <n v="4.1513359953703706E-2"/>
    <n v="4.1245732428450227E-2"/>
  </r>
  <r>
    <x v="88"/>
    <x v="10"/>
    <n v="9.9473075000000009"/>
    <n v="9.8977786944444439"/>
    <n v="4.144711458333334E-2"/>
    <n v="4.1240744560185179E-2"/>
  </r>
  <r>
    <x v="88"/>
    <x v="11"/>
    <n v="9.1505555555555542"/>
    <n v="9.0605555555555561"/>
    <n v="3.8127314814814808E-2"/>
    <n v="3.7752314814814815E-2"/>
  </r>
  <r>
    <x v="89"/>
    <x v="0"/>
    <n v="9.018527777777777"/>
    <n v="8.9118661868686111"/>
    <n v="3.7577199074074072E-2"/>
    <n v="3.7132775778619211E-2"/>
  </r>
  <r>
    <x v="89"/>
    <x v="1"/>
    <n v="10.36280555555556"/>
    <n v="8.9300771111111104"/>
    <n v="4.3178356481481502E-2"/>
    <n v="3.7208654629629627E-2"/>
  </r>
  <r>
    <x v="89"/>
    <x v="2"/>
    <n v="8.9563483333333327"/>
    <n v="8.7480553306877784"/>
    <n v="3.7318118055555551E-2"/>
    <n v="3.6450230544532412E-2"/>
  </r>
  <r>
    <x v="89"/>
    <x v="3"/>
    <n v="9.0418516666666662"/>
    <n v="8.1673395000000006"/>
    <n v="3.7674381944444439E-2"/>
    <n v="3.4030581250000004E-2"/>
  </r>
  <r>
    <x v="89"/>
    <x v="4"/>
    <n v="9.0565813888888886"/>
    <n v="8.9240434305555549"/>
    <n v="3.7735755787037036E-2"/>
    <n v="3.7183514293981479E-2"/>
  </r>
  <r>
    <x v="89"/>
    <x v="5"/>
    <n v="9.0067130555555561"/>
    <n v="8.4305652116399994"/>
    <n v="3.752797106481482E-2"/>
    <n v="3.5127355048500002E-2"/>
  </r>
  <r>
    <x v="89"/>
    <x v="6"/>
    <n v="9.1623527777777785"/>
    <n v="8.8768050362316675"/>
    <n v="3.8176469907407411E-2"/>
    <n v="3.6986687650965279E-2"/>
  </r>
  <r>
    <x v="89"/>
    <x v="7"/>
    <n v="9.1328963888888897"/>
    <n v="8.9166299074072217"/>
    <n v="3.8053734953703705E-2"/>
    <n v="3.7152624614196758E-2"/>
  </r>
  <r>
    <x v="89"/>
    <x v="8"/>
    <n v="9.6179583333333341"/>
    <n v="8.8237060227272224"/>
    <n v="4.0074826388888894E-2"/>
    <n v="3.6765441761363427E-2"/>
  </r>
  <r>
    <x v="89"/>
    <x v="9"/>
    <n v="10.674969166666671"/>
    <n v="8.8878129924241662"/>
    <n v="4.4479038194444459E-2"/>
    <n v="3.7032554135100697E-2"/>
  </r>
  <r>
    <x v="89"/>
    <x v="10"/>
    <n v="14.52230611111111"/>
    <n v="10.34347004166667"/>
    <n v="6.0509608796296292E-2"/>
    <n v="4.3097791840277788E-2"/>
  </r>
  <r>
    <x v="89"/>
    <x v="11"/>
    <n v="9.0461111111111112"/>
    <n v="8.1636111111111109"/>
    <n v="3.7692129629629631E-2"/>
    <n v="3.4015046296296293E-2"/>
  </r>
  <r>
    <x v="90"/>
    <x v="0"/>
    <n v="11.906021944444451"/>
    <n v="2.715324936868611"/>
    <n v="4.9608424768518546E-2"/>
    <n v="1.1313853903619213E-2"/>
  </r>
  <r>
    <x v="90"/>
    <x v="1"/>
    <n v="10.58959472222222"/>
    <n v="2.270959833333333"/>
    <n v="4.4123311342592585E-2"/>
    <n v="9.4623326388888884E-3"/>
  </r>
  <r>
    <x v="90"/>
    <x v="2"/>
    <n v="11.977575277777779"/>
    <n v="2.0219810978833328"/>
    <n v="4.9906563657407414E-2"/>
    <n v="8.4249212411805531E-3"/>
  </r>
  <r>
    <x v="90"/>
    <x v="3"/>
    <n v="10.508550833333331"/>
    <n v="2.2239684305555549"/>
    <n v="4.3785628472222206E-2"/>
    <n v="9.2665351273148126E-3"/>
  </r>
  <r>
    <x v="90"/>
    <x v="4"/>
    <n v="11.95990416666667"/>
    <n v="2.803762847222222"/>
    <n v="4.9832934027777796E-2"/>
    <n v="1.1682345196759258E-2"/>
  </r>
  <r>
    <x v="90"/>
    <x v="5"/>
    <n v="7.0655216666666663"/>
    <n v="1.6628562222222221"/>
    <n v="2.9439673611111109E-2"/>
    <n v="6.9285675925925922E-3"/>
  </r>
  <r>
    <x v="90"/>
    <x v="6"/>
    <n v="8.3410449999999994"/>
    <n v="1.8228951811591669"/>
    <n v="3.4754354166666661E-2"/>
    <n v="7.595396588163196E-3"/>
  </r>
  <r>
    <x v="90"/>
    <x v="7"/>
    <n v="9.1748458333333325"/>
    <n v="1.9182989947088891"/>
    <n v="3.8228524305555553E-2"/>
    <n v="7.992912477953704E-3"/>
  </r>
  <r>
    <x v="90"/>
    <x v="8"/>
    <n v="7.5480263888888892"/>
    <n v="1.3917904924241671"/>
    <n v="3.1450109953703703E-2"/>
    <n v="5.7991270517673624E-3"/>
  </r>
  <r>
    <x v="90"/>
    <x v="9"/>
    <n v="11.953816111111109"/>
    <n v="1.9357561363636111"/>
    <n v="4.9807567129629617E-2"/>
    <n v="8.0656505681817123E-3"/>
  </r>
  <r>
    <x v="90"/>
    <x v="10"/>
    <n v="5.5594566666666667"/>
    <n v="1.273359652777778"/>
    <n v="2.3164402777777777E-2"/>
    <n v="5.3056652199074085E-3"/>
  </r>
  <r>
    <x v="90"/>
    <x v="11"/>
    <n v="8.8822222222222216"/>
    <n v="1.8369444444444445"/>
    <n v="3.7009259259259256E-2"/>
    <n v="7.6539351851851846E-3"/>
  </r>
  <r>
    <x v="91"/>
    <x v="0"/>
    <n v="14.180636944444441"/>
    <n v="2.8087611666666672"/>
    <n v="5.9085987268518499E-2"/>
    <n v="1.170317152777778E-2"/>
  </r>
  <r>
    <x v="91"/>
    <x v="1"/>
    <n v="6.1220802777777781"/>
    <n v="2.1423449603172222"/>
    <n v="2.5508667824074075E-2"/>
    <n v="8.9264373346550924E-3"/>
  </r>
  <r>
    <x v="91"/>
    <x v="2"/>
    <n v="7.4711036111111113"/>
    <n v="2.0643718376066671"/>
    <n v="3.1129598379629631E-2"/>
    <n v="8.6015493233611139E-3"/>
  </r>
  <r>
    <x v="91"/>
    <x v="3"/>
    <n v="3.5098427777777781"/>
    <n v="1.170695813491945"/>
    <n v="1.4624344907407409E-2"/>
    <n v="4.8778992228831041E-3"/>
  </r>
  <r>
    <x v="91"/>
    <x v="4"/>
    <n v="56.152403888888891"/>
    <n v="16.64542662037028"/>
    <n v="0.23396834953703705"/>
    <n v="6.9355944251542831E-2"/>
  </r>
  <r>
    <x v="91"/>
    <x v="5"/>
    <n v="3.2925213888888889"/>
    <n v="0.75124551587277777"/>
    <n v="1.371883912037037E-2"/>
    <n v="3.1301896494699073E-3"/>
  </r>
  <r>
    <x v="91"/>
    <x v="6"/>
    <n v="0.53965888888888891"/>
    <n v="0.31747956349194439"/>
    <n v="2.2485787037037036E-3"/>
    <n v="1.3228315145497683E-3"/>
  </r>
  <r>
    <x v="91"/>
    <x v="7"/>
    <n v="0.75945305555555553"/>
    <n v="0.33068688492055548"/>
    <n v="3.1643877314814811E-3"/>
    <n v="1.3778620205023146E-3"/>
  </r>
  <r>
    <x v="91"/>
    <x v="8"/>
    <n v="4.5236863888888887"/>
    <n v="1.084096198830278"/>
    <n v="1.8848693287037036E-2"/>
    <n v="4.5170674951261584E-3"/>
  </r>
  <r>
    <x v="91"/>
    <x v="9"/>
    <n v="4.3780749999999999"/>
    <n v="0.67664537698388894"/>
    <n v="1.8241979166666668E-2"/>
    <n v="2.8193557374328708E-3"/>
  </r>
  <r>
    <x v="91"/>
    <x v="10"/>
    <n v="3.8048277777777781"/>
    <n v="0.77966985042722226"/>
    <n v="1.5853449074074075E-2"/>
    <n v="3.2486243767800931E-3"/>
  </r>
  <r>
    <x v="91"/>
    <x v="11"/>
    <n v="8.7280555555555548"/>
    <n v="2.3977777777777778"/>
    <n v="3.6366898148148148E-2"/>
    <n v="9.990740740740741E-3"/>
  </r>
  <r>
    <x v="92"/>
    <x v="0"/>
    <n v="3.3334297222222218"/>
    <n v="1.3047787037036109"/>
    <n v="1.3889290509259258E-2"/>
    <n v="5.4365779320983791E-3"/>
  </r>
  <r>
    <x v="92"/>
    <x v="1"/>
    <n v="4.7974047222222218"/>
    <n v="1.7696965972222221"/>
    <n v="1.9989186342592589E-2"/>
    <n v="7.373735821759258E-3"/>
  </r>
  <r>
    <x v="92"/>
    <x v="2"/>
    <n v="4.7774675000000002"/>
    <n v="2.0499303124999999"/>
    <n v="1.9906114583333332E-2"/>
    <n v="8.5413763020833321E-3"/>
  </r>
  <r>
    <x v="92"/>
    <x v="3"/>
    <n v="6.6880555555555554E-2"/>
    <n v="4.6640055555555553E-2"/>
    <n v="2.7866898148148147E-4"/>
    <n v="1.943335648148148E-4"/>
  </r>
  <r>
    <x v="92"/>
    <x v="4"/>
    <n v="4.2103091666666668"/>
    <n v="2.2312194444444451"/>
    <n v="1.7542954861111112E-2"/>
    <n v="9.2967476851851874E-3"/>
  </r>
  <r>
    <x v="92"/>
    <x v="5"/>
    <n v="8.1868400000000001"/>
    <n v="1.8887757870369439"/>
    <n v="3.4111833333333334E-2"/>
    <n v="7.8698991126539327E-3"/>
  </r>
  <r>
    <x v="92"/>
    <x v="6"/>
    <n v="23.532960277777779"/>
    <n v="2.417346085858334"/>
    <n v="9.8054001157407408E-2"/>
    <n v="1.0072275357743058E-2"/>
  </r>
  <r>
    <x v="92"/>
    <x v="7"/>
    <n v="1.2475108333333329"/>
    <n v="0.18516869047611109"/>
    <n v="5.1979618055555538E-3"/>
    <n v="7.7153621031712946E-4"/>
  </r>
  <r>
    <x v="92"/>
    <x v="8"/>
    <n v="2.4561647222222218"/>
    <n v="0.42463796296277778"/>
    <n v="1.0234019675925925E-2"/>
    <n v="1.7693248456782408E-3"/>
  </r>
  <r>
    <x v="92"/>
    <x v="9"/>
    <n v="5.0163836111111113"/>
    <n v="0.56561294191916667"/>
    <n v="2.090159837962963E-2"/>
    <n v="2.356720591329861E-3"/>
  </r>
  <r>
    <x v="92"/>
    <x v="10"/>
    <n v="45.912235555555547"/>
    <n v="11.85167344444444"/>
    <n v="0.19130098148148145"/>
    <n v="4.9381972685185162E-2"/>
  </r>
  <r>
    <x v="92"/>
    <x v="11"/>
    <n v="8.6283333333333339"/>
    <n v="2.0613888888888892"/>
    <n v="3.5951388888888887E-2"/>
    <n v="8.589120370370372E-3"/>
  </r>
  <r>
    <x v="93"/>
    <x v="0"/>
    <n v="31.152512222222221"/>
    <n v="25.425915"/>
    <n v="0.12980213425925927"/>
    <n v="0.1059413125"/>
  </r>
  <r>
    <x v="93"/>
    <x v="1"/>
    <n v="31.055378611111109"/>
    <n v="8.7416697222222215"/>
    <n v="0.12939741087962961"/>
    <n v="3.6423623842592588E-2"/>
  </r>
  <r>
    <x v="93"/>
    <x v="2"/>
    <n v="27.90933861111111"/>
    <n v="11.802543518518331"/>
    <n v="0.11628891087962963"/>
    <n v="4.9177264660493047E-2"/>
  </r>
  <r>
    <x v="93"/>
    <x v="4"/>
    <n v="8.4228611111111115E-2"/>
    <n v="8.4228611111111115E-2"/>
    <n v="3.5095254629629631E-4"/>
    <n v="3.5095254629629631E-4"/>
  </r>
  <r>
    <x v="93"/>
    <x v="7"/>
    <n v="0.18543138888888891"/>
    <n v="0.18543138888888891"/>
    <n v="7.7263078703703706E-4"/>
    <n v="7.7263078703703706E-4"/>
  </r>
  <r>
    <x v="93"/>
    <x v="11"/>
    <n v="15.064722222222223"/>
    <n v="7.7066666666666661"/>
    <n v="6.276967592592593E-2"/>
    <n v="3.2111111111111111E-2"/>
  </r>
  <r>
    <x v="94"/>
    <x v="0"/>
    <n v="12.25247583333333"/>
    <n v="6.1877326262625001"/>
    <n v="5.1051982638888875E-2"/>
    <n v="2.5782219276093751E-2"/>
  </r>
  <r>
    <x v="94"/>
    <x v="1"/>
    <n v="10.36826111111111"/>
    <n v="4.2965979305555564"/>
    <n v="4.3201087962962958E-2"/>
    <n v="1.7902491377314818E-2"/>
  </r>
  <r>
    <x v="94"/>
    <x v="2"/>
    <n v="7.5938063888888889"/>
    <n v="3.7745183862433329"/>
    <n v="3.16408599537037E-2"/>
    <n v="1.5727159942680553E-2"/>
  </r>
  <r>
    <x v="94"/>
    <x v="3"/>
    <n v="12.443276944444451"/>
    <n v="5.2813224583333334"/>
    <n v="5.1846987268518545E-2"/>
    <n v="2.2005510243055554E-2"/>
  </r>
  <r>
    <x v="94"/>
    <x v="4"/>
    <n v="10.628250833333331"/>
    <n v="4.0737865277777781"/>
    <n v="4.4284378472222212E-2"/>
    <n v="1.6974110532407407E-2"/>
  </r>
  <r>
    <x v="94"/>
    <x v="5"/>
    <n v="11.371456388888889"/>
    <n v="3.547439444444445"/>
    <n v="4.7381068287037038E-2"/>
    <n v="1.4780997685185189E-2"/>
  </r>
  <r>
    <x v="94"/>
    <x v="6"/>
    <n v="4.9636463888888889"/>
    <n v="3.711458647342778"/>
    <n v="2.0681859953703703E-2"/>
    <n v="1.5464411030594908E-2"/>
  </r>
  <r>
    <x v="94"/>
    <x v="7"/>
    <n v="5.114068333333333"/>
    <n v="3.5874537962961108"/>
    <n v="2.1308618055555551E-2"/>
    <n v="1.4947724151233794E-2"/>
  </r>
  <r>
    <x v="94"/>
    <x v="8"/>
    <n v="5.3953286111111112"/>
    <n v="3.353897209595833"/>
    <n v="2.2480535879629629E-2"/>
    <n v="1.3974571706649305E-2"/>
  </r>
  <r>
    <x v="94"/>
    <x v="9"/>
    <n v="7.1526788888888886"/>
    <n v="4.0423068181816664"/>
    <n v="2.9802828703703699E-2"/>
    <n v="1.6842945075756944E-2"/>
  </r>
  <r>
    <x v="94"/>
    <x v="10"/>
    <n v="2.547939722222222"/>
    <n v="1.187294166666667"/>
    <n v="1.0616415509259259E-2"/>
    <n v="4.9470590277777794E-3"/>
  </r>
  <r>
    <x v="94"/>
    <x v="11"/>
    <n v="7.4861111111111116"/>
    <n v="3.5872222222222221"/>
    <n v="3.1192129629629629E-2"/>
    <n v="1.4946759259259259E-2"/>
  </r>
  <r>
    <x v="95"/>
    <x v="0"/>
    <n v="3.571295555555555"/>
    <n v="1.230233267195556"/>
    <n v="1.4880398148148144E-2"/>
    <n v="5.1259719466481496E-3"/>
  </r>
  <r>
    <x v="95"/>
    <x v="1"/>
    <n v="7.598779722222222"/>
    <n v="2.38862825"/>
    <n v="3.1661582175925927E-2"/>
    <n v="9.9526177083333334E-3"/>
  </r>
  <r>
    <x v="95"/>
    <x v="2"/>
    <n v="14.060801944444441"/>
    <n v="2.1903454894177781"/>
    <n v="5.8586674768518504E-2"/>
    <n v="9.1264395392407424E-3"/>
  </r>
  <r>
    <x v="95"/>
    <x v="3"/>
    <n v="6.9830469444444443"/>
    <n v="1.5689165"/>
    <n v="2.9096028935185186E-2"/>
    <n v="6.5371520833333334E-3"/>
  </r>
  <r>
    <x v="95"/>
    <x v="4"/>
    <n v="10.24032694444444"/>
    <n v="2.5716343888888891"/>
    <n v="4.2668028935185169E-2"/>
    <n v="1.0715143287037038E-2"/>
  </r>
  <r>
    <x v="95"/>
    <x v="5"/>
    <n v="6.5798191666666668"/>
    <n v="1.736305608465555"/>
    <n v="2.7415913194444447E-2"/>
    <n v="7.2346067019398129E-3"/>
  </r>
  <r>
    <x v="95"/>
    <x v="6"/>
    <n v="7.4075177777777776"/>
    <n v="2.7721363043477778"/>
    <n v="3.0864657407407407E-2"/>
    <n v="1.1550567934782407E-2"/>
  </r>
  <r>
    <x v="95"/>
    <x v="7"/>
    <n v="7.113825277777778"/>
    <n v="2.0943373280422222"/>
    <n v="2.9640938657407408E-2"/>
    <n v="8.7264055335092589E-3"/>
  </r>
  <r>
    <x v="95"/>
    <x v="8"/>
    <n v="7.4200430555555554"/>
    <n v="1.2844990343913889"/>
    <n v="3.0916846064814815E-2"/>
    <n v="5.3520793099641204E-3"/>
  </r>
  <r>
    <x v="95"/>
    <x v="9"/>
    <n v="6.8113527777777776"/>
    <n v="1.748369040403889"/>
    <n v="2.838063657407407E-2"/>
    <n v="7.2848710016828709E-3"/>
  </r>
  <r>
    <x v="95"/>
    <x v="10"/>
    <n v="5.5459094444444448"/>
    <n v="1.241696569444444"/>
    <n v="2.3107956018518519E-2"/>
    <n v="5.1737357060185167E-3"/>
  </r>
  <r>
    <x v="95"/>
    <x v="11"/>
    <n v="6.9444444444444446"/>
    <n v="1.7358333333333333"/>
    <n v="2.8935185185185185E-2"/>
    <n v="7.2326388888888891E-3"/>
  </r>
  <r>
    <x v="96"/>
    <x v="0"/>
    <n v="16.622248055555559"/>
    <n v="1.313106260683611"/>
    <n v="6.925936689814817E-2"/>
    <n v="5.4712760861817126E-3"/>
  </r>
  <r>
    <x v="96"/>
    <x v="1"/>
    <n v="27.637058333333329"/>
    <n v="10.02404008547"/>
    <n v="0.1151544097222222"/>
    <n v="4.1766833689458334E-2"/>
  </r>
  <r>
    <x v="96"/>
    <x v="2"/>
    <n v="6.19259"/>
    <n v="1.6327806250000001"/>
    <n v="2.5802458333333333E-2"/>
    <n v="6.8032526041666673E-3"/>
  </r>
  <r>
    <x v="96"/>
    <x v="3"/>
    <n v="8.2354577777777784"/>
    <n v="0.45410266666666671"/>
    <n v="3.4314407407407412E-2"/>
    <n v="1.8920944444444446E-3"/>
  </r>
  <r>
    <x v="96"/>
    <x v="4"/>
    <n v="0.78669416666666669"/>
    <n v="0.13341922222222219"/>
    <n v="3.2778923611111112E-3"/>
    <n v="5.5591342592592582E-4"/>
  </r>
  <r>
    <x v="96"/>
    <x v="5"/>
    <n v="8.4022555555555556"/>
    <n v="0.87004880952361108"/>
    <n v="3.5009398148148151E-2"/>
    <n v="3.6252033730150464E-3"/>
  </r>
  <r>
    <x v="96"/>
    <x v="6"/>
    <n v="5.2391480555555558"/>
    <n v="0.36226327294666671"/>
    <n v="2.1829783564814815E-2"/>
    <n v="1.5094303039444445E-3"/>
  </r>
  <r>
    <x v="96"/>
    <x v="7"/>
    <n v="0.35658416666666659"/>
    <n v="7.7236230158611113E-2"/>
    <n v="1.4857673611111107E-3"/>
    <n v="3.2181762566087967E-4"/>
  </r>
  <r>
    <x v="96"/>
    <x v="8"/>
    <n v="1.2339024999999999"/>
    <n v="0.17087816137555559"/>
    <n v="5.1412604166666664E-3"/>
    <n v="7.1199233906481501E-4"/>
  </r>
  <r>
    <x v="96"/>
    <x v="9"/>
    <n v="7.8348361111111107"/>
    <n v="0.58965338383833332"/>
    <n v="3.2645150462962964E-2"/>
    <n v="2.456889099326389E-3"/>
  </r>
  <r>
    <x v="96"/>
    <x v="10"/>
    <n v="0.1131808333333333"/>
    <n v="6.4504777777777772E-2"/>
    <n v="4.7158680555555539E-4"/>
    <n v="2.6876990740740738E-4"/>
  </r>
  <r>
    <x v="96"/>
    <x v="11"/>
    <n v="6.8880555555555558"/>
    <n v="1.3077777777777777"/>
    <n v="2.8700231481481483E-2"/>
    <n v="5.4490740740740741E-3"/>
  </r>
  <r>
    <x v="97"/>
    <x v="0"/>
    <n v="6.736735277777778"/>
    <n v="3.954904204545278"/>
    <n v="2.8069730324074074E-2"/>
    <n v="1.6478767518938658E-2"/>
  </r>
  <r>
    <x v="97"/>
    <x v="1"/>
    <n v="5.4491686111111113"/>
    <n v="3.823885208333333"/>
    <n v="2.2704869212962966E-2"/>
    <n v="1.5932855034722221E-2"/>
  </r>
  <r>
    <x v="97"/>
    <x v="2"/>
    <n v="4.8055816666666669"/>
    <n v="3.3464713756611109"/>
    <n v="2.0023256944444446E-2"/>
    <n v="1.3943630731921295E-2"/>
  </r>
  <r>
    <x v="97"/>
    <x v="3"/>
    <n v="6.0833197222222219"/>
    <n v="3.794982791666667"/>
    <n v="2.5347165509259261E-2"/>
    <n v="1.5812428298611111E-2"/>
  </r>
  <r>
    <x v="97"/>
    <x v="4"/>
    <n v="9.2851547222222219"/>
    <n v="4.7582236250000003"/>
    <n v="3.8688144675925927E-2"/>
    <n v="1.9825931770833336E-2"/>
  </r>
  <r>
    <x v="97"/>
    <x v="5"/>
    <n v="8.6196649999999995"/>
    <n v="4.9066406140350001"/>
    <n v="3.5915270833333332E-2"/>
    <n v="2.04443358918125E-2"/>
  </r>
  <r>
    <x v="97"/>
    <x v="6"/>
    <n v="10.77150472222222"/>
    <n v="5.789998661616111"/>
    <n v="4.4881269675925921E-2"/>
    <n v="2.4124994423400464E-2"/>
  </r>
  <r>
    <x v="97"/>
    <x v="7"/>
    <n v="7.2948047222222234"/>
    <n v="4.8092599867722221"/>
    <n v="3.0395019675925932E-2"/>
    <n v="2.003858327821759E-2"/>
  </r>
  <r>
    <x v="97"/>
    <x v="8"/>
    <n v="5.9119927777777779"/>
    <n v="4.3084805808080553"/>
    <n v="2.4633303240740742E-2"/>
    <n v="1.7952002420033562E-2"/>
  </r>
  <r>
    <x v="97"/>
    <x v="9"/>
    <n v="8.2703252777777774"/>
    <n v="4.2208021843433334"/>
    <n v="3.4459688657407402E-2"/>
    <n v="1.7586675768097224E-2"/>
  </r>
  <r>
    <x v="97"/>
    <x v="10"/>
    <n v="7.0758305555555552"/>
    <n v="3.809870861111111"/>
    <n v="2.9482627314814814E-2"/>
    <n v="1.5874461921296296E-2"/>
  </r>
  <r>
    <x v="97"/>
    <x v="11"/>
    <n v="6.692222222222223"/>
    <n v="3.9605555555555556"/>
    <n v="2.7884259259259261E-2"/>
    <n v="1.6502314814814813E-2"/>
  </r>
  <r>
    <x v="98"/>
    <x v="0"/>
    <n v="10.61738222222222"/>
    <n v="4.4796801388888889"/>
    <n v="4.4239092592592587E-2"/>
    <n v="1.8665333912037039E-2"/>
  </r>
  <r>
    <x v="98"/>
    <x v="1"/>
    <n v="4.9298880555555558"/>
    <n v="2.9070828888888891"/>
    <n v="2.0541200231481482E-2"/>
    <n v="1.211284537037037E-2"/>
  </r>
  <r>
    <x v="98"/>
    <x v="2"/>
    <n v="12.01369361111111"/>
    <n v="3.9138787962961108"/>
    <n v="5.0057056712962955E-2"/>
    <n v="1.6307828317900463E-2"/>
  </r>
  <r>
    <x v="98"/>
    <x v="3"/>
    <n v="9.2298452777777786"/>
    <n v="3.7295387638888888"/>
    <n v="3.845768865740741E-2"/>
    <n v="1.5539744849537037E-2"/>
  </r>
  <r>
    <x v="98"/>
    <x v="4"/>
    <n v="11.22664055555556"/>
    <n v="3.6262137361111111"/>
    <n v="4.6777668981481502E-2"/>
    <n v="1.5109223900462964E-2"/>
  </r>
  <r>
    <x v="98"/>
    <x v="5"/>
    <n v="9.2767366666666664"/>
    <n v="5.1631809305555558"/>
    <n v="3.8653069444444445E-2"/>
    <n v="2.1513253877314814E-2"/>
  </r>
  <r>
    <x v="98"/>
    <x v="6"/>
    <n v="8.3383186111111112"/>
    <n v="4.7660485265699997"/>
    <n v="3.4742994212962959E-2"/>
    <n v="1.9858535527374998E-2"/>
  </r>
  <r>
    <x v="98"/>
    <x v="7"/>
    <n v="7.8020619444444446"/>
    <n v="2.2623441137563889"/>
    <n v="3.250859143518519E-2"/>
    <n v="9.4264338073182866E-3"/>
  </r>
  <r>
    <x v="98"/>
    <x v="8"/>
    <n v="0.83174083333333337"/>
    <n v="0.70489511363611113"/>
    <n v="3.465586805555556E-3"/>
    <n v="2.9370629734837964E-3"/>
  </r>
  <r>
    <x v="98"/>
    <x v="9"/>
    <n v="2.2523463888888888"/>
    <n v="1.018250952380833"/>
    <n v="9.3847766203703706E-3"/>
    <n v="4.2427123015868042E-3"/>
  </r>
  <r>
    <x v="98"/>
    <x v="10"/>
    <n v="2.077922222222222"/>
    <n v="0.89664755555555553"/>
    <n v="8.6580092592592594E-3"/>
    <n v="3.7360314814814818E-3"/>
  </r>
  <r>
    <x v="98"/>
    <x v="11"/>
    <n v="6.5497222222222229"/>
    <n v="2.7891666666666666"/>
    <n v="2.7290509259259261E-2"/>
    <n v="1.1621527777777777E-2"/>
  </r>
  <r>
    <x v="99"/>
    <x v="0"/>
    <n v="9.9825611111111119"/>
    <n v="3.2360158574877782"/>
    <n v="4.1594004629629637E-2"/>
    <n v="1.3483399406199076E-2"/>
  </r>
  <r>
    <x v="99"/>
    <x v="1"/>
    <n v="4.6802469444444448"/>
    <n v="3.1615442361111108"/>
    <n v="1.9501028935185186E-2"/>
    <n v="1.3173100983796295E-2"/>
  </r>
  <r>
    <x v="99"/>
    <x v="2"/>
    <n v="8.343600277777778"/>
    <n v="3.2745578306877778"/>
    <n v="3.476500115740741E-2"/>
    <n v="1.3643990961199073E-2"/>
  </r>
  <r>
    <x v="99"/>
    <x v="3"/>
    <n v="5.167378888888889"/>
    <n v="3.2858692083333332"/>
    <n v="2.1530745370370374E-2"/>
    <n v="1.3691121701388887E-2"/>
  </r>
  <r>
    <x v="99"/>
    <x v="4"/>
    <n v="5.8640955555555552"/>
    <n v="3.2450249206347221"/>
    <n v="2.443373148148148E-2"/>
    <n v="1.3520937169311341E-2"/>
  </r>
  <r>
    <x v="99"/>
    <x v="5"/>
    <n v="4.5781169444444441"/>
    <n v="3.3529168915341661"/>
    <n v="1.9075487268518519E-2"/>
    <n v="1.3970487048059026E-2"/>
  </r>
  <r>
    <x v="99"/>
    <x v="6"/>
    <n v="10.15853805555555"/>
    <n v="3.9012182246374998"/>
    <n v="4.2327241898148127E-2"/>
    <n v="1.6255075935989582E-2"/>
  </r>
  <r>
    <x v="99"/>
    <x v="7"/>
    <n v="4.314399166666667"/>
    <n v="3.3867884523808329"/>
    <n v="1.7976663194444447E-2"/>
    <n v="1.4111618551586803E-2"/>
  </r>
  <r>
    <x v="99"/>
    <x v="8"/>
    <n v="10.152377777777779"/>
    <n v="4.1729219065655556"/>
    <n v="4.2301574074074082E-2"/>
    <n v="1.7387174610689813E-2"/>
  </r>
  <r>
    <x v="99"/>
    <x v="9"/>
    <n v="10.103024166666669"/>
    <n v="3.743700410627778"/>
    <n v="4.2095934027777789E-2"/>
    <n v="1.5598751710949077E-2"/>
  </r>
  <r>
    <x v="99"/>
    <x v="10"/>
    <n v="4.8657666666666666"/>
    <n v="3.293124444444445"/>
    <n v="2.0274027777777776E-2"/>
    <n v="1.3721351851851854E-2"/>
  </r>
  <r>
    <x v="99"/>
    <x v="11"/>
    <n v="6.5177777777777779"/>
    <n v="3.171388888888889"/>
    <n v="2.7157407407407408E-2"/>
    <n v="1.3214120370370371E-2"/>
  </r>
  <r>
    <x v="100"/>
    <x v="0"/>
    <n v="9.1891213888888892"/>
    <n v="5.122437133838333"/>
    <n v="3.828800578703704E-2"/>
    <n v="2.1343488057659721E-2"/>
  </r>
  <r>
    <x v="100"/>
    <x v="1"/>
    <n v="9.5748355555555555"/>
    <n v="5.8022671666666668"/>
    <n v="3.9895148148148145E-2"/>
    <n v="2.4176113194444446E-2"/>
  </r>
  <r>
    <x v="100"/>
    <x v="2"/>
    <n v="10.822221944444451"/>
    <n v="7.3029206878305546"/>
    <n v="4.5092591435185209E-2"/>
    <n v="3.0428836199293974E-2"/>
  </r>
  <r>
    <x v="100"/>
    <x v="3"/>
    <n v="7.3627463888888887"/>
    <n v="4.867127833333333"/>
    <n v="3.0678109953703705E-2"/>
    <n v="2.0279699305555555E-2"/>
  </r>
  <r>
    <x v="100"/>
    <x v="4"/>
    <n v="7.0932783333333331"/>
    <n v="5.0740241250000002"/>
    <n v="2.9555326388888886E-2"/>
    <n v="2.1141767187500004E-2"/>
  </r>
  <r>
    <x v="100"/>
    <x v="5"/>
    <n v="5.7102047222222234"/>
    <n v="4.5192461904761112"/>
    <n v="2.3792519675925928E-2"/>
    <n v="1.8830192460317131E-2"/>
  </r>
  <r>
    <x v="100"/>
    <x v="6"/>
    <n v="8.6461113888888885"/>
    <n v="6.8111841545891663"/>
    <n v="3.6025464120370367E-2"/>
    <n v="2.837993397745486E-2"/>
  </r>
  <r>
    <x v="100"/>
    <x v="7"/>
    <n v="8.2816074999999998"/>
    <n v="6.2549120502644442"/>
    <n v="3.4506697916666669E-2"/>
    <n v="2.6062133542768515E-2"/>
  </r>
  <r>
    <x v="100"/>
    <x v="8"/>
    <n v="5.045820833333333"/>
    <n v="4.1290880555555551"/>
    <n v="2.1024253472222223E-2"/>
    <n v="1.7204533564814814E-2"/>
  </r>
  <r>
    <x v="100"/>
    <x v="9"/>
    <n v="3.7137513888888889"/>
    <n v="2.6352796212119438"/>
    <n v="1.5473964120370371E-2"/>
    <n v="1.0980331755049767E-2"/>
  </r>
  <r>
    <x v="100"/>
    <x v="10"/>
    <n v="2.236250555555555"/>
    <n v="1.297887158119444"/>
    <n v="9.3177106481481461E-3"/>
    <n v="5.4078631588310166E-3"/>
  </r>
  <r>
    <x v="100"/>
    <x v="11"/>
    <n v="6.4730555555555558"/>
    <n v="4.4847222222222216"/>
    <n v="2.6971064814814816E-2"/>
    <n v="1.8686342592592591E-2"/>
  </r>
  <r>
    <x v="101"/>
    <x v="0"/>
    <n v="7.9761758333333326"/>
    <n v="7.9191851767674999"/>
    <n v="3.323406597222222E-2"/>
    <n v="3.2996604903197918E-2"/>
  </r>
  <r>
    <x v="101"/>
    <x v="1"/>
    <n v="7.9911369444444436"/>
    <n v="7.9276444305555556"/>
    <n v="3.3296403935185181E-2"/>
    <n v="3.3031851793981486E-2"/>
  </r>
  <r>
    <x v="101"/>
    <x v="2"/>
    <n v="7.9723563888888886"/>
    <n v="7.8626759259258332"/>
    <n v="3.3218151620370368E-2"/>
    <n v="3.2761149691357634E-2"/>
  </r>
  <r>
    <x v="101"/>
    <x v="3"/>
    <n v="9.0062216666666668"/>
    <n v="1.3162148611111111"/>
    <n v="3.7525923611111116E-2"/>
    <n v="5.4842285879629629E-3"/>
  </r>
  <r>
    <x v="101"/>
    <x v="4"/>
    <n v="6.1852591666666674"/>
    <n v="0.92153179012333331"/>
    <n v="2.5771913194444451E-2"/>
    <n v="3.8397157921805556E-3"/>
  </r>
  <r>
    <x v="101"/>
    <x v="5"/>
    <n v="5.7398908333333329"/>
    <n v="0.43077454166666668"/>
    <n v="2.3916211805555556E-2"/>
    <n v="1.7948939236111111E-3"/>
  </r>
  <r>
    <x v="101"/>
    <x v="6"/>
    <n v="5.9992708333333331"/>
    <n v="0.51621746376805555"/>
    <n v="2.4996961805555554E-2"/>
    <n v="2.1509060990335649E-3"/>
  </r>
  <r>
    <x v="101"/>
    <x v="7"/>
    <n v="3.990963888888889"/>
    <n v="0.56618432539666663"/>
    <n v="1.6629016203703703E-2"/>
    <n v="2.3591013558194444E-3"/>
  </r>
  <r>
    <x v="101"/>
    <x v="8"/>
    <n v="6.7995130555555559"/>
    <n v="0.6140810227272222"/>
    <n v="2.8331304398148151E-2"/>
    <n v="2.5586709280300923E-3"/>
  </r>
  <r>
    <x v="101"/>
    <x v="9"/>
    <n v="6.9454874999999996"/>
    <n v="1.087039783950555"/>
    <n v="2.8939531249999997E-2"/>
    <n v="4.5293324331273123E-3"/>
  </r>
  <r>
    <x v="101"/>
    <x v="10"/>
    <n v="6.1254425000000001"/>
    <n v="0.62482477777777778"/>
    <n v="2.5522677083333334E-2"/>
    <n v="2.6034365740740741E-3"/>
  </r>
  <r>
    <x v="101"/>
    <x v="11"/>
    <n v="6.2277777777777779"/>
    <n v="2.4822222222222221"/>
    <n v="2.5949074074074072E-2"/>
    <n v="1.0342592592592592E-2"/>
  </r>
  <r>
    <x v="102"/>
    <x v="0"/>
    <n v="10.904022222222221"/>
    <n v="10.79706930555556"/>
    <n v="4.5433425925925919E-2"/>
    <n v="4.4987788773148164E-2"/>
  </r>
  <r>
    <x v="102"/>
    <x v="1"/>
    <n v="10.91478138888889"/>
    <n v="10.71226252777778"/>
    <n v="4.5478255787037042E-2"/>
    <n v="4.4634427199074088E-2"/>
  </r>
  <r>
    <x v="102"/>
    <x v="2"/>
    <n v="10.903684999999999"/>
    <n v="9.950676164021111"/>
    <n v="4.5432020833333329E-2"/>
    <n v="4.1461150683421294E-2"/>
  </r>
  <r>
    <x v="102"/>
    <x v="3"/>
    <n v="2.893184166666666"/>
    <n v="1.6949656527777781"/>
    <n v="1.2054934027777775E-2"/>
    <n v="7.062356886574076E-3"/>
  </r>
  <r>
    <x v="102"/>
    <x v="4"/>
    <n v="10.903469166666669"/>
    <n v="2.306580541666666"/>
    <n v="4.5431121527777785E-2"/>
    <n v="9.6107522569444416E-3"/>
  </r>
  <r>
    <x v="102"/>
    <x v="5"/>
    <n v="4.0356541666666663"/>
    <n v="2.2721412638888889"/>
    <n v="1.6815225694444443E-2"/>
    <n v="9.467255266203704E-3"/>
  </r>
  <r>
    <x v="102"/>
    <x v="6"/>
    <n v="4.0191994444444443"/>
    <n v="2.3055893478258329"/>
    <n v="1.6746664351851851E-2"/>
    <n v="9.6066222826076374E-3"/>
  </r>
  <r>
    <x v="102"/>
    <x v="7"/>
    <n v="3.0441172222222219"/>
    <n v="2.231401798941667"/>
    <n v="1.2683821759259258E-2"/>
    <n v="9.2975074955902789E-3"/>
  </r>
  <r>
    <x v="102"/>
    <x v="8"/>
    <n v="5.1844802777777774"/>
    <n v="2.7856181060605549"/>
    <n v="2.1602001157407406E-2"/>
    <n v="1.1606742108585645E-2"/>
  </r>
  <r>
    <x v="102"/>
    <x v="9"/>
    <n v="4.8081830555555554"/>
    <n v="2.721960845959444"/>
    <n v="2.0034096064814814E-2"/>
    <n v="1.1341503524831016E-2"/>
  </r>
  <r>
    <x v="102"/>
    <x v="10"/>
    <n v="4.2516158333333331"/>
    <n v="2.8460108333333332"/>
    <n v="1.7715065972222221E-2"/>
    <n v="1.1858378472222222E-2"/>
  </r>
  <r>
    <x v="102"/>
    <x v="11"/>
    <n v="5.9886111111111111"/>
    <n v="4.2188888888888885"/>
    <n v="2.4952546296296296E-2"/>
    <n v="1.7578703703703704E-2"/>
  </r>
  <r>
    <x v="103"/>
    <x v="0"/>
    <n v="4.1938722222222218"/>
    <n v="3.5620744318180551"/>
    <n v="1.747446759259259E-2"/>
    <n v="1.4841976799241896E-2"/>
  </r>
  <r>
    <x v="103"/>
    <x v="1"/>
    <n v="10.307913055555559"/>
    <n v="3.687154152777778"/>
    <n v="4.2949637731481499E-2"/>
    <n v="1.5363142303240741E-2"/>
  </r>
  <r>
    <x v="103"/>
    <x v="2"/>
    <n v="9.8334663888888887"/>
    <n v="3.7134565476188892"/>
    <n v="4.0972776620370369E-2"/>
    <n v="1.5472735615078705E-2"/>
  </r>
  <r>
    <x v="103"/>
    <x v="3"/>
    <n v="5.8543811111111106"/>
    <n v="3.758154777777778"/>
    <n v="2.4393254629629629E-2"/>
    <n v="1.565897824074074E-2"/>
  </r>
  <r>
    <x v="103"/>
    <x v="4"/>
    <n v="5.7929222222222219"/>
    <n v="3.6084816111111109"/>
    <n v="2.4137175925925927E-2"/>
    <n v="1.5035340046296294E-2"/>
  </r>
  <r>
    <x v="103"/>
    <x v="5"/>
    <n v="5.5258688888888887"/>
    <n v="3.4661991137563888"/>
    <n v="2.3024453703703703E-2"/>
    <n v="1.4442496307318286E-2"/>
  </r>
  <r>
    <x v="103"/>
    <x v="6"/>
    <n v="4.9369797222222216"/>
    <n v="3.3938762560386109"/>
    <n v="2.0570748842592589E-2"/>
    <n v="1.4141151066827546E-2"/>
  </r>
  <r>
    <x v="103"/>
    <x v="7"/>
    <n v="5.6952697222222222"/>
    <n v="4.0990914153438887"/>
    <n v="2.3730290509259261E-2"/>
    <n v="1.707954756393287E-2"/>
  </r>
  <r>
    <x v="103"/>
    <x v="8"/>
    <n v="6.12704"/>
    <n v="3.9852561237372219"/>
    <n v="2.5529333333333334E-2"/>
    <n v="1.6605233848905093E-2"/>
  </r>
  <r>
    <x v="103"/>
    <x v="9"/>
    <n v="5.9300747222222219"/>
    <n v="4.0378561237372219"/>
    <n v="2.4708644675925925E-2"/>
    <n v="1.6824400515571759E-2"/>
  </r>
  <r>
    <x v="103"/>
    <x v="10"/>
    <n v="5.9901855555555557"/>
    <n v="3.888490569444444"/>
    <n v="2.4959106481481485E-2"/>
    <n v="1.620204403935185E-2"/>
  </r>
  <r>
    <x v="103"/>
    <x v="11"/>
    <n v="5.8491666666666662"/>
    <n v="3.4336111111111114"/>
    <n v="2.4371527777777777E-2"/>
    <n v="1.4306712962962964E-2"/>
  </r>
  <r>
    <x v="104"/>
    <x v="0"/>
    <n v="9.2145777777777784"/>
    <n v="2.0552090151513891"/>
    <n v="3.8394074074074074E-2"/>
    <n v="8.5633708964641207E-3"/>
  </r>
  <r>
    <x v="104"/>
    <x v="1"/>
    <n v="5.7677674999999997"/>
    <n v="1.822426444444444"/>
    <n v="2.403236458333333E-2"/>
    <n v="7.5934435185185173E-3"/>
  </r>
  <r>
    <x v="104"/>
    <x v="2"/>
    <n v="7.6660391666666667"/>
    <n v="2.6623550925925001"/>
    <n v="3.1941829861111111E-2"/>
    <n v="1.1093146219135416E-2"/>
  </r>
  <r>
    <x v="104"/>
    <x v="3"/>
    <n v="10.466542499999999"/>
    <n v="4.1451177361111107"/>
    <n v="4.3610593750000003E-2"/>
    <n v="1.7271323900462963E-2"/>
  </r>
  <r>
    <x v="104"/>
    <x v="4"/>
    <n v="5.393556666666667"/>
    <n v="2.2589561805555549"/>
    <n v="2.2473152777777779E-2"/>
    <n v="9.4123174189814796E-3"/>
  </r>
  <r>
    <x v="104"/>
    <x v="5"/>
    <n v="5.34185"/>
    <n v="2.2075415972222219"/>
    <n v="2.2257708333333334E-2"/>
    <n v="9.198089988425924E-3"/>
  </r>
  <r>
    <x v="104"/>
    <x v="6"/>
    <n v="4.9607208333333332"/>
    <n v="1.7480399275361109"/>
    <n v="2.0669670138888888E-2"/>
    <n v="7.2834996980671281E-3"/>
  </r>
  <r>
    <x v="104"/>
    <x v="7"/>
    <n v="4.0714047222222218"/>
    <n v="1.3655951190475"/>
    <n v="1.6964186342592589E-2"/>
    <n v="5.689979662697916E-3"/>
  </r>
  <r>
    <x v="104"/>
    <x v="8"/>
    <n v="5.7481633333333333"/>
    <n v="2.1741031084655562"/>
    <n v="2.3950680555555558E-2"/>
    <n v="9.0587629519398184E-3"/>
  </r>
  <r>
    <x v="104"/>
    <x v="9"/>
    <n v="5.4393750000000001"/>
    <n v="2.265153017676667"/>
    <n v="2.2664062499999998E-2"/>
    <n v="9.438137573652779E-3"/>
  </r>
  <r>
    <x v="104"/>
    <x v="10"/>
    <n v="5.1723841666666663"/>
    <n v="1.872318172514444"/>
    <n v="2.155160069444444E-2"/>
    <n v="7.8013257188101828E-3"/>
  </r>
  <r>
    <x v="104"/>
    <x v="11"/>
    <n v="5.7702777777777774"/>
    <n v="2.0483333333333333"/>
    <n v="2.4042824074074071E-2"/>
    <n v="8.5347222222222231E-3"/>
  </r>
  <r>
    <x v="105"/>
    <x v="0"/>
    <n v="9.5502166666666675"/>
    <n v="2.1808061231883329"/>
    <n v="3.9792569444444446E-2"/>
    <n v="9.0866921799513875E-3"/>
  </r>
  <r>
    <x v="105"/>
    <x v="1"/>
    <n v="11.9581225"/>
    <n v="1.3592650115738889"/>
    <n v="4.9825510416666663E-2"/>
    <n v="5.6636042148912038E-3"/>
  </r>
  <r>
    <x v="105"/>
    <x v="2"/>
    <n v="11.110947222222221"/>
    <n v="1.538945309828889"/>
    <n v="4.6295613425925919E-2"/>
    <n v="6.4122721242870382E-3"/>
  </r>
  <r>
    <x v="105"/>
    <x v="3"/>
    <n v="8.9157055555555562"/>
    <n v="4.9677362615738891"/>
    <n v="3.714877314814815E-2"/>
    <n v="2.0698901089891204E-2"/>
  </r>
  <r>
    <x v="105"/>
    <x v="4"/>
    <n v="8.7720149999999997"/>
    <n v="3.3932252662036109"/>
    <n v="3.6550062500000001E-2"/>
    <n v="1.4138438609181713E-2"/>
  </r>
  <r>
    <x v="105"/>
    <x v="5"/>
    <n v="1.5102777777777779E-2"/>
    <n v="8.7535144924999995E-3"/>
    <n v="6.2928240740740742E-5"/>
    <n v="3.6472977052083329E-5"/>
  </r>
  <r>
    <x v="105"/>
    <x v="6"/>
    <n v="7.1554855555555559"/>
    <n v="0.39156535024138889"/>
    <n v="2.9814523148148152E-2"/>
    <n v="1.6315222926724538E-3"/>
  </r>
  <r>
    <x v="105"/>
    <x v="7"/>
    <n v="0.1401375"/>
    <n v="1.0943465608333329E-2"/>
    <n v="5.8390625000000001E-4"/>
    <n v="4.5597773368055533E-5"/>
  </r>
  <r>
    <x v="105"/>
    <x v="8"/>
    <n v="0.32195861111111113"/>
    <n v="1.912867424222222E-2"/>
    <n v="1.341494212962963E-3"/>
    <n v="7.9702809342592582E-5"/>
  </r>
  <r>
    <x v="105"/>
    <x v="9"/>
    <n v="0.43069249999999998"/>
    <n v="3.6957702019999997E-2"/>
    <n v="1.7945520833333331E-3"/>
    <n v="1.5399042508333331E-4"/>
  </r>
  <r>
    <x v="105"/>
    <x v="10"/>
    <n v="5.1694444444444444E-3"/>
    <n v="4.5173472222222221E-3"/>
    <n v="2.1539351851851852E-5"/>
    <n v="1.8822280092592593E-5"/>
  </r>
  <r>
    <x v="105"/>
    <x v="11"/>
    <n v="4.8647222222222224"/>
    <n v="1.1594444444444443"/>
    <n v="2.0269675925925927E-2"/>
    <n v="4.8310185185185183E-3"/>
  </r>
  <r>
    <x v="106"/>
    <x v="6"/>
    <n v="4.337682222222222"/>
    <n v="1.5329931481480561"/>
    <n v="1.8073675925925927E-2"/>
    <n v="6.3874714506169002E-3"/>
  </r>
  <r>
    <x v="106"/>
    <x v="7"/>
    <n v="11.92522111111111"/>
    <n v="10.12703706349194"/>
    <n v="4.9688421296296297E-2"/>
    <n v="4.2195987764549747E-2"/>
  </r>
  <r>
    <x v="106"/>
    <x v="8"/>
    <n v="15.049278611111109"/>
    <n v="12.00804082070694"/>
    <n v="6.2705327546296291E-2"/>
    <n v="5.0033503419612248E-2"/>
  </r>
  <r>
    <x v="106"/>
    <x v="9"/>
    <n v="11.93818527777778"/>
    <n v="11.45251744708972"/>
    <n v="4.9742438657407413E-2"/>
    <n v="4.7718822696207169E-2"/>
  </r>
  <r>
    <x v="106"/>
    <x v="10"/>
    <n v="11.929781388888889"/>
    <n v="5.567470138888889"/>
    <n v="4.9707422453703708E-2"/>
    <n v="2.3197792245370372E-2"/>
  </r>
  <r>
    <x v="106"/>
    <x v="11"/>
    <n v="9.1969444444444459"/>
    <n v="6.7813888888888885"/>
    <n v="3.8320601851851856E-2"/>
    <n v="2.8255787037037034E-2"/>
  </r>
  <r>
    <x v="107"/>
    <x v="0"/>
    <n v="0.79872583333333336"/>
    <n v="0.79872583333333336"/>
    <n v="3.3280243055555554E-3"/>
    <n v="3.3280243055555554E-3"/>
  </r>
  <r>
    <x v="107"/>
    <x v="1"/>
    <n v="0.58881944444444445"/>
    <n v="0.58881944444444445"/>
    <n v="2.453414351851852E-3"/>
    <n v="2.453414351851852E-3"/>
  </r>
  <r>
    <x v="107"/>
    <x v="3"/>
    <n v="4.7740416666666663"/>
    <n v="4.7740416666666663"/>
    <n v="1.9891840277777777E-2"/>
    <n v="1.9891840277777777E-2"/>
  </r>
  <r>
    <x v="107"/>
    <x v="4"/>
    <n v="8.3012591666666662"/>
    <n v="4.2086174999999999"/>
    <n v="3.4588579861111107E-2"/>
    <n v="1.753590625E-2"/>
  </r>
  <r>
    <x v="107"/>
    <x v="5"/>
    <n v="6.8438619444444448"/>
    <n v="6.8438619444444448"/>
    <n v="2.8516091435185187E-2"/>
    <n v="2.8516091435185187E-2"/>
  </r>
  <r>
    <x v="107"/>
    <x v="6"/>
    <n v="3.568401944444445"/>
    <n v="1.9834677777777781"/>
    <n v="1.4868341435185187E-2"/>
    <n v="8.2644490740740751E-3"/>
  </r>
  <r>
    <x v="107"/>
    <x v="7"/>
    <n v="10.375678611111111"/>
    <n v="3.8731187962961111"/>
    <n v="4.3231994212962956E-2"/>
    <n v="1.6137994984567128E-2"/>
  </r>
  <r>
    <x v="107"/>
    <x v="8"/>
    <n v="6.1151138888888887"/>
    <n v="3.610761597222222"/>
    <n v="2.5479641203703704E-2"/>
    <n v="1.5044839988425924E-2"/>
  </r>
  <r>
    <x v="107"/>
    <x v="9"/>
    <n v="8.6082416666666663"/>
    <n v="8.6082416666666663"/>
    <n v="3.5867673611111109E-2"/>
    <n v="3.5867673611111109E-2"/>
  </r>
  <r>
    <x v="107"/>
    <x v="10"/>
    <n v="4.9490722222222221"/>
    <n v="4.9490722222222221"/>
    <n v="2.0621134259259259E-2"/>
    <n v="2.0621134259259259E-2"/>
  </r>
  <r>
    <x v="107"/>
    <x v="11"/>
    <n v="4.9930555555555554"/>
    <n v="3.6583333333333332"/>
    <n v="2.0804398148148148E-2"/>
    <n v="1.5243055555555557E-2"/>
  </r>
  <r>
    <x v="108"/>
    <x v="9"/>
    <n v="38.256144444444438"/>
    <n v="10.694313383838329"/>
    <n v="0.15940060185185181"/>
    <n v="4.4559639099326372E-2"/>
  </r>
  <r>
    <x v="108"/>
    <x v="10"/>
    <n v="16.495941388888891"/>
    <n v="10.887650583333331"/>
    <n v="6.8733089120370378E-2"/>
    <n v="4.5365210763888879E-2"/>
  </r>
  <r>
    <x v="108"/>
    <x v="11"/>
    <n v="18.250833333333333"/>
    <n v="7.1941666666666659"/>
    <n v="7.6045138888888877E-2"/>
    <n v="2.997569444444444E-2"/>
  </r>
  <r>
    <x v="109"/>
    <x v="0"/>
    <n v="3.6411572222222222"/>
    <n v="0.35444393939388891"/>
    <n v="1.5171488425925925E-2"/>
    <n v="1.476849747474537E-3"/>
  </r>
  <r>
    <x v="109"/>
    <x v="1"/>
    <n v="4.5552269444444446"/>
    <n v="0.40301145833333341"/>
    <n v="1.898011226851852E-2"/>
    <n v="1.6792144097222226E-3"/>
  </r>
  <r>
    <x v="109"/>
    <x v="2"/>
    <n v="3.348085555555556"/>
    <n v="0.36629533068777781"/>
    <n v="1.3950356481481484E-2"/>
    <n v="1.5262305445324076E-3"/>
  </r>
  <r>
    <x v="109"/>
    <x v="3"/>
    <n v="2.990223055555556"/>
    <n v="0.57621586111111112"/>
    <n v="1.2459262731481483E-2"/>
    <n v="2.4008994212962962E-3"/>
  </r>
  <r>
    <x v="109"/>
    <x v="4"/>
    <n v="5.2021808333333333"/>
    <n v="0.76692173611111114"/>
    <n v="2.1675753472222222E-2"/>
    <n v="3.1955072337962963E-3"/>
  </r>
  <r>
    <x v="109"/>
    <x v="5"/>
    <n v="6.7282502777777777"/>
    <n v="1.076941208333333"/>
    <n v="2.8034376157407406E-2"/>
    <n v="4.4872550347222206E-3"/>
  </r>
  <r>
    <x v="109"/>
    <x v="6"/>
    <n v="5.4522872222222221"/>
    <n v="0.94332653381638887"/>
    <n v="2.2717863425925924E-2"/>
    <n v="3.930527224234954E-3"/>
  </r>
  <r>
    <x v="109"/>
    <x v="7"/>
    <n v="5.5239630555555559"/>
    <n v="1.237418201058055"/>
    <n v="2.3016512731481486E-2"/>
    <n v="5.1559091710752297E-3"/>
  </r>
  <r>
    <x v="109"/>
    <x v="8"/>
    <n v="6.1416391666666668"/>
    <n v="1.2815519191916671"/>
    <n v="2.5590163194444446E-2"/>
    <n v="5.3397996632986132E-3"/>
  </r>
  <r>
    <x v="109"/>
    <x v="9"/>
    <n v="5.8276044444444448"/>
    <n v="1.579556365740556"/>
    <n v="2.4281685185185187E-2"/>
    <n v="6.5814848572523163E-3"/>
  </r>
  <r>
    <x v="109"/>
    <x v="10"/>
    <n v="3.2697258333333332"/>
    <n v="0.56835786324777782"/>
    <n v="1.3623857638888889E-2"/>
    <n v="2.3681577635324075E-3"/>
  </r>
  <r>
    <x v="109"/>
    <x v="11"/>
    <n v="4.3902777777777784"/>
    <n v="0.76305555555555549"/>
    <n v="1.8292824074074076E-2"/>
    <n v="3.1793981481481478E-3"/>
  </r>
  <r>
    <x v="110"/>
    <x v="0"/>
    <n v="0.28703333333333331"/>
    <n v="0.1450779545452778"/>
    <n v="1.1959722222222222E-3"/>
    <n v="6.0449147727199089E-4"/>
  </r>
  <r>
    <x v="110"/>
    <x v="1"/>
    <n v="0.19048777777777781"/>
    <n v="0.13681913888888891"/>
    <n v="7.9369907407407427E-4"/>
    <n v="5.7007974537037049E-4"/>
  </r>
  <r>
    <x v="110"/>
    <x v="2"/>
    <n v="0.19088861111111111"/>
    <n v="0.14321973544972219"/>
    <n v="7.95369212962963E-4"/>
    <n v="5.9674889770717577E-4"/>
  </r>
  <r>
    <x v="110"/>
    <x v="3"/>
    <n v="0.25177333333333329"/>
    <n v="0.15452538888888889"/>
    <n v="1.0490555555555555E-3"/>
    <n v="6.4385578703703703E-4"/>
  </r>
  <r>
    <x v="110"/>
    <x v="4"/>
    <n v="0.19916500000000001"/>
    <n v="0.15104777777777781"/>
    <n v="8.2985416666666667E-4"/>
    <n v="6.2936574074074088E-4"/>
  </r>
  <r>
    <x v="110"/>
    <x v="5"/>
    <n v="0.2286488888888889"/>
    <n v="0.1578647222222222"/>
    <n v="9.5270370370370376E-4"/>
    <n v="6.577696759259258E-4"/>
  </r>
  <r>
    <x v="110"/>
    <x v="6"/>
    <n v="10.07293916666667"/>
    <n v="4.1080167632849998"/>
    <n v="4.1970579861111128E-2"/>
    <n v="1.7116736513687499E-2"/>
  </r>
  <r>
    <x v="110"/>
    <x v="7"/>
    <n v="10.06560833333333"/>
    <n v="10.00278912698389"/>
    <n v="4.1940034722222207E-2"/>
    <n v="4.1678288029099543E-2"/>
  </r>
  <r>
    <x v="110"/>
    <x v="8"/>
    <n v="10.04328527777778"/>
    <n v="10.002639191919171"/>
    <n v="4.1847021990740751E-2"/>
    <n v="4.1677663299663215E-2"/>
  </r>
  <r>
    <x v="110"/>
    <x v="9"/>
    <n v="10.04281277777778"/>
    <n v="9.9177898989897226"/>
    <n v="4.1845053240740747E-2"/>
    <n v="4.1324124579123843E-2"/>
  </r>
  <r>
    <x v="110"/>
    <x v="10"/>
    <n v="10.047849166666669"/>
    <n v="9.9882942361111109"/>
    <n v="4.1866038194444455E-2"/>
    <n v="4.1617892650462958E-2"/>
  </r>
  <r>
    <x v="110"/>
    <x v="11"/>
    <n v="4.3019444444444446"/>
    <n v="3.7425000000000002"/>
    <n v="1.7924768518518517E-2"/>
    <n v="1.5593750000000002E-2"/>
  </r>
  <r>
    <x v="111"/>
    <x v="0"/>
    <n v="3.0977725"/>
    <n v="2.9979385732322221"/>
    <n v="1.2907385416666667E-2"/>
    <n v="1.2491410721800926E-2"/>
  </r>
  <r>
    <x v="111"/>
    <x v="1"/>
    <n v="3.3299325"/>
    <n v="2.8921842916666671"/>
    <n v="1.3874718750000001E-2"/>
    <n v="1.2050767881944447E-2"/>
  </r>
  <r>
    <x v="111"/>
    <x v="2"/>
    <n v="3.0475211111111111"/>
    <n v="2.799123082010555"/>
    <n v="1.269800462962963E-2"/>
    <n v="1.1663012841710646E-2"/>
  </r>
  <r>
    <x v="111"/>
    <x v="3"/>
    <n v="3.1318383333333339"/>
    <n v="2.9236548472222221"/>
    <n v="1.3049326388888892E-2"/>
    <n v="1.218189519675926E-2"/>
  </r>
  <r>
    <x v="111"/>
    <x v="4"/>
    <n v="4.9523358333333336"/>
    <n v="3.2363562638888892"/>
    <n v="2.0634732638888889E-2"/>
    <n v="1.3484817766203706E-2"/>
  </r>
  <r>
    <x v="111"/>
    <x v="5"/>
    <n v="4.8282961111111113"/>
    <n v="4.1932136243386111"/>
    <n v="2.0117900462962964E-2"/>
    <n v="1.7471723434744211E-2"/>
  </r>
  <r>
    <x v="111"/>
    <x v="6"/>
    <n v="5.0439613888888886"/>
    <n v="4.4734990579708329"/>
    <n v="2.1016505787037038E-2"/>
    <n v="1.8639579408211805E-2"/>
  </r>
  <r>
    <x v="111"/>
    <x v="7"/>
    <n v="5.1849986111111113"/>
    <n v="4.8986488492061113"/>
    <n v="2.160416087962963E-2"/>
    <n v="2.0411036871692132E-2"/>
  </r>
  <r>
    <x v="111"/>
    <x v="8"/>
    <n v="4.9038588888888892"/>
    <n v="4.673951123737222"/>
    <n v="2.0432745370370372E-2"/>
    <n v="1.9474796348905091E-2"/>
  </r>
  <r>
    <x v="111"/>
    <x v="9"/>
    <n v="5.2166113888888894"/>
    <n v="4.7459298989897221"/>
    <n v="2.1735880787037042E-2"/>
    <n v="1.9774707912457175E-2"/>
  </r>
  <r>
    <x v="111"/>
    <x v="10"/>
    <n v="5.1353038888888891"/>
    <n v="4.89753025"/>
    <n v="2.1397099537037039E-2"/>
    <n v="2.0406376041666667E-2"/>
  </r>
  <r>
    <x v="111"/>
    <x v="11"/>
    <n v="3.9894444444444446"/>
    <n v="3.5611111111111109"/>
    <n v="1.6622685185185185E-2"/>
    <n v="1.4837962962962963E-2"/>
  </r>
  <r>
    <x v="112"/>
    <x v="0"/>
    <n v="3.623842777777778"/>
    <n v="2.576024356060556"/>
    <n v="1.5099344907407409E-2"/>
    <n v="1.0733434816918984E-2"/>
  </r>
  <r>
    <x v="112"/>
    <x v="1"/>
    <n v="3.0990655555555562"/>
    <n v="2.2095351944444439"/>
    <n v="1.2912773148148151E-2"/>
    <n v="9.2063966435185166E-3"/>
  </r>
  <r>
    <x v="112"/>
    <x v="2"/>
    <n v="7.6975591666666663"/>
    <n v="2.4656373677247219"/>
    <n v="3.2073163194444441E-2"/>
    <n v="1.0273489032186341E-2"/>
  </r>
  <r>
    <x v="112"/>
    <x v="3"/>
    <n v="3.9963322222222222"/>
    <n v="2.578681722222222"/>
    <n v="1.6651384259259258E-2"/>
    <n v="1.0744507175925925E-2"/>
  </r>
  <r>
    <x v="112"/>
    <x v="4"/>
    <n v="5.4788772222222226"/>
    <n v="3.1958598611111109"/>
    <n v="2.2828655092592593E-2"/>
    <n v="1.331608275462963E-2"/>
  </r>
  <r>
    <x v="112"/>
    <x v="5"/>
    <n v="6.4290119444444436"/>
    <n v="2.022216319444444"/>
    <n v="2.6787549768518517E-2"/>
    <n v="8.4259013310185159E-3"/>
  </r>
  <r>
    <x v="112"/>
    <x v="6"/>
    <n v="2.8881702777777778"/>
    <n v="1.825963115941944"/>
    <n v="1.2034042824074075E-2"/>
    <n v="7.6081796497581003E-3"/>
  </r>
  <r>
    <x v="112"/>
    <x v="7"/>
    <n v="2.5252750000000002"/>
    <n v="1.823495621693056"/>
    <n v="1.0521979166666667E-2"/>
    <n v="7.5978984237210665E-3"/>
  </r>
  <r>
    <x v="112"/>
    <x v="8"/>
    <n v="2.578183333333333"/>
    <n v="1.9481401767675"/>
    <n v="1.0742430555555555E-2"/>
    <n v="8.1172507365312504E-3"/>
  </r>
  <r>
    <x v="112"/>
    <x v="9"/>
    <n v="2.0057980555555561"/>
    <n v="1.518366401515"/>
    <n v="8.3574918981481495E-3"/>
    <n v="6.326526672979167E-3"/>
  </r>
  <r>
    <x v="112"/>
    <x v="10"/>
    <n v="2.4219955555555561"/>
    <n v="1.579192972222222"/>
    <n v="1.009164814814815E-2"/>
    <n v="6.5799707175925913E-3"/>
  </r>
  <r>
    <x v="112"/>
    <x v="11"/>
    <n v="3.5622222222222222"/>
    <n v="1.9786111111111111"/>
    <n v="1.4842592592592593E-2"/>
    <n v="8.2442129629629619E-3"/>
  </r>
  <r>
    <x v="113"/>
    <x v="0"/>
    <n v="2.1067297222222221"/>
    <n v="0.6240343055555555"/>
    <n v="8.7780405092592589E-3"/>
    <n v="2.6001429398148147E-3"/>
  </r>
  <r>
    <x v="113"/>
    <x v="1"/>
    <n v="1.218158333333333"/>
    <n v="0.43188797222222219"/>
    <n v="5.075659722222221E-3"/>
    <n v="1.7995332175925925E-3"/>
  </r>
  <r>
    <x v="113"/>
    <x v="2"/>
    <n v="1.969973611111111"/>
    <n v="0.34164900793638892"/>
    <n v="8.2082233796296287E-3"/>
    <n v="1.4235375330682871E-3"/>
  </r>
  <r>
    <x v="113"/>
    <x v="3"/>
    <n v="1.5159377777777781"/>
    <n v="0.32918695833333328"/>
    <n v="6.3164074074074086E-3"/>
    <n v="1.3716123263888887E-3"/>
  </r>
  <r>
    <x v="113"/>
    <x v="4"/>
    <n v="6.6139975"/>
    <n v="0.85829126388888888"/>
    <n v="2.7558322916666666E-2"/>
    <n v="3.5762135995370367E-3"/>
  </r>
  <r>
    <x v="113"/>
    <x v="5"/>
    <n v="1.514139166666667"/>
    <n v="0.61880164021138884"/>
    <n v="6.308913194444446E-3"/>
    <n v="2.5783401675474535E-3"/>
  </r>
  <r>
    <x v="113"/>
    <x v="6"/>
    <n v="4.1245424999999996"/>
    <n v="1.0762020893719439"/>
    <n v="1.7185593749999999E-2"/>
    <n v="4.4841753723831E-3"/>
  </r>
  <r>
    <x v="113"/>
    <x v="7"/>
    <n v="6.8964944444444436"/>
    <n v="1.200095304232778"/>
    <n v="2.8735393518518514E-2"/>
    <n v="5.0003971009699088E-3"/>
  </r>
  <r>
    <x v="113"/>
    <x v="8"/>
    <n v="3.6338369444444441"/>
    <n v="1.0505724873736111"/>
    <n v="1.5140987268518516E-2"/>
    <n v="4.3773853640567129E-3"/>
  </r>
  <r>
    <x v="113"/>
    <x v="9"/>
    <n v="3.405709166666667"/>
    <n v="1.1826886489897219"/>
    <n v="1.4190454861111113E-2"/>
    <n v="4.9278693707905082E-3"/>
  </r>
  <r>
    <x v="113"/>
    <x v="10"/>
    <n v="3.3867702777777779"/>
    <n v="1.1708972499999999"/>
    <n v="1.4111542824074076E-2"/>
    <n v="4.878738541666666E-3"/>
  </r>
  <r>
    <x v="113"/>
    <x v="11"/>
    <n v="3.0322222222222224"/>
    <n v="0.74055555555555552"/>
    <n v="1.263425925925926E-2"/>
    <n v="3.0856481481481481E-3"/>
  </r>
  <r>
    <x v="114"/>
    <x v="6"/>
    <n v="9.7828347222222227"/>
    <n v="3.4315200631311109"/>
    <n v="4.0761811342592595E-2"/>
    <n v="1.4298000263046296E-2"/>
  </r>
  <r>
    <x v="114"/>
    <x v="7"/>
    <n v="10.821420833333329"/>
    <n v="1.661328783068611"/>
    <n v="4.5089253472222202E-2"/>
    <n v="6.922203262785879E-3"/>
  </r>
  <r>
    <x v="114"/>
    <x v="8"/>
    <n v="3.2591722222222219"/>
    <n v="1.0847371717169449"/>
    <n v="1.3579884259259259E-2"/>
    <n v="4.5197382154872701E-3"/>
  </r>
  <r>
    <x v="114"/>
    <x v="9"/>
    <n v="1.5466983333333331"/>
    <n v="0.85078982323222219"/>
    <n v="6.4445763888888877E-3"/>
    <n v="3.544957596800926E-3"/>
  </r>
  <r>
    <x v="114"/>
    <x v="10"/>
    <n v="10.673224166666669"/>
    <n v="1.854987305555555"/>
    <n v="4.4471767361111116E-2"/>
    <n v="7.7291137731481455E-3"/>
  </r>
  <r>
    <x v="114"/>
    <x v="11"/>
    <n v="6.0141666666666671"/>
    <n v="1.4808333333333332"/>
    <n v="2.5059027777777781E-2"/>
    <n v="6.1701388888888882E-3"/>
  </r>
  <r>
    <x v="115"/>
    <x v="0"/>
    <n v="3.1597425000000001"/>
    <n v="1.5210658695649999"/>
    <n v="1.3165593750000001E-2"/>
    <n v="6.3377744565208324E-3"/>
  </r>
  <r>
    <x v="115"/>
    <x v="1"/>
    <n v="3.0572463888888892"/>
    <n v="1.665943763888889"/>
    <n v="1.2738526620370371E-2"/>
    <n v="6.9414323495370382E-3"/>
  </r>
  <r>
    <x v="115"/>
    <x v="2"/>
    <n v="2.7214594444444451"/>
    <n v="1.688572354497222"/>
    <n v="1.1339414351851854E-2"/>
    <n v="7.0357181437384246E-3"/>
  </r>
  <r>
    <x v="115"/>
    <x v="3"/>
    <n v="2.9399822222222221"/>
    <n v="1.474321414141389"/>
    <n v="1.2249925925925926E-2"/>
    <n v="6.1430058922557875E-3"/>
  </r>
  <r>
    <x v="115"/>
    <x v="4"/>
    <n v="3.211903611111111"/>
    <n v="1.458718181818055"/>
    <n v="1.3382931712962962E-2"/>
    <n v="6.0779924242418959E-3"/>
  </r>
  <r>
    <x v="115"/>
    <x v="5"/>
    <n v="2.4997813888888891"/>
    <n v="1.4468619708994439"/>
    <n v="1.0415755787037038E-2"/>
    <n v="6.0285915454143498E-3"/>
  </r>
  <r>
    <x v="115"/>
    <x v="6"/>
    <n v="5.0438527777777784"/>
    <n v="1.7412448309177779"/>
    <n v="2.1016053240740743E-2"/>
    <n v="7.2551867954907421E-3"/>
  </r>
  <r>
    <x v="115"/>
    <x v="7"/>
    <n v="2.332697222222222"/>
    <n v="1.479181560846389"/>
    <n v="9.7195717592592577E-3"/>
    <n v="6.1632565035266212E-3"/>
  </r>
  <r>
    <x v="115"/>
    <x v="8"/>
    <n v="2.2362852777777782"/>
    <n v="1.5232339772725001"/>
    <n v="9.3178553240740748E-3"/>
    <n v="6.3468082386354168E-3"/>
  </r>
  <r>
    <x v="115"/>
    <x v="9"/>
    <n v="3.287831666666666"/>
    <n v="1.459990398550556"/>
    <n v="1.369929861111111E-2"/>
    <n v="6.0832933272939836E-3"/>
  </r>
  <r>
    <x v="115"/>
    <x v="10"/>
    <n v="3.1203805555555562"/>
    <n v="1.5627475"/>
    <n v="1.3001585648148151E-2"/>
    <n v="6.5114479166666663E-3"/>
  </r>
  <r>
    <x v="115"/>
    <x v="11"/>
    <n v="2.8011111111111111"/>
    <n v="1.418611111111111"/>
    <n v="1.1671296296296296E-2"/>
    <n v="5.9108796296296296E-3"/>
  </r>
  <r>
    <x v="116"/>
    <x v="0"/>
    <n v="15.95948416666667"/>
    <n v="15.45549976010083"/>
    <n v="6.6497850694444458E-2"/>
    <n v="6.4397915667086789E-2"/>
  </r>
  <r>
    <x v="116"/>
    <x v="1"/>
    <n v="15.953008333333329"/>
    <n v="15.914662986111111"/>
    <n v="6.6470868055555535E-2"/>
    <n v="6.6311095775462958E-2"/>
  </r>
  <r>
    <x v="116"/>
    <x v="11"/>
    <n v="10.637499999999999"/>
    <n v="10.456944444444444"/>
    <n v="4.4322916666666663E-2"/>
    <n v="4.3570601851851853E-2"/>
  </r>
  <r>
    <x v="117"/>
    <x v="4"/>
    <n v="28.62556027777778"/>
    <n v="25.860003333333339"/>
    <n v="0.11927316782407409"/>
    <n v="0.1077500138888889"/>
  </r>
  <r>
    <x v="117"/>
    <x v="11"/>
    <n v="14.313055555555556"/>
    <n v="12.930277777777778"/>
    <n v="5.9637731481481486E-2"/>
    <n v="5.3876157407407414E-2"/>
  </r>
  <r>
    <x v="118"/>
    <x v="0"/>
    <n v="1.7209675"/>
    <n v="1.090082171716944"/>
    <n v="7.1706979166666664E-3"/>
    <n v="4.5420090488206E-3"/>
  </r>
  <r>
    <x v="118"/>
    <x v="1"/>
    <n v="1.1929713888888891"/>
    <n v="0.79404944444444447"/>
    <n v="4.970714120370371E-3"/>
    <n v="3.308539351851852E-3"/>
  </r>
  <r>
    <x v="118"/>
    <x v="2"/>
    <n v="1.4229055555555561"/>
    <n v="1.048029378306667"/>
    <n v="5.9287731481481509E-3"/>
    <n v="4.3667890762777795E-3"/>
  </r>
  <r>
    <x v="118"/>
    <x v="3"/>
    <n v="2.2105922222222221"/>
    <n v="1.3368172638888891"/>
    <n v="9.2108009259259261E-3"/>
    <n v="5.5700719328703715E-3"/>
  </r>
  <r>
    <x v="118"/>
    <x v="4"/>
    <n v="3.3225905555555562"/>
    <n v="1.271619222222222"/>
    <n v="1.3844127314814818E-2"/>
    <n v="5.2984134259259248E-3"/>
  </r>
  <r>
    <x v="118"/>
    <x v="5"/>
    <n v="4.9205002777777782"/>
    <n v="2.1813401322749999"/>
    <n v="2.0502084490740743E-2"/>
    <n v="9.0889172178124991E-3"/>
  </r>
  <r>
    <x v="118"/>
    <x v="6"/>
    <n v="1.0717888888888889"/>
    <n v="0.85687143719805559"/>
    <n v="4.4657870370370372E-3"/>
    <n v="3.570297654991898E-3"/>
  </r>
  <r>
    <x v="118"/>
    <x v="7"/>
    <n v="5.476726666666667"/>
    <n v="1.426237076719445"/>
    <n v="2.2819694444444445E-2"/>
    <n v="5.9426544863310201E-3"/>
  </r>
  <r>
    <x v="118"/>
    <x v="8"/>
    <n v="1.7226397222222221"/>
    <n v="1.405343661616111"/>
    <n v="7.1776655092592586E-3"/>
    <n v="5.8555985900671298E-3"/>
  </r>
  <r>
    <x v="118"/>
    <x v="9"/>
    <n v="2.0998897222222221"/>
    <n v="1.607193169191667"/>
    <n v="8.7495405092592581E-3"/>
    <n v="6.6966382049652787E-3"/>
  </r>
  <r>
    <x v="118"/>
    <x v="10"/>
    <n v="2.5548483333333332"/>
    <n v="1.412075027777778"/>
    <n v="1.0645201388888888E-2"/>
    <n v="5.8836459490740753E-3"/>
  </r>
  <r>
    <x v="118"/>
    <x v="11"/>
    <n v="2.3097222222222222"/>
    <n v="1.2025000000000001"/>
    <n v="9.6238425925925918E-3"/>
    <n v="5.0104166666666674E-3"/>
  </r>
  <r>
    <x v="119"/>
    <x v="0"/>
    <n v="7.9462155555555558"/>
    <n v="4.2719887373736114"/>
    <n v="3.3109231481481483E-2"/>
    <n v="1.7799953072390049E-2"/>
  </r>
  <r>
    <x v="119"/>
    <x v="1"/>
    <n v="2.0615755555555562"/>
    <n v="0.72883505555555561"/>
    <n v="8.5898981481481503E-3"/>
    <n v="3.0368127314814816E-3"/>
  </r>
  <r>
    <x v="119"/>
    <x v="2"/>
    <n v="2.208755"/>
    <n v="0.96082773809499999"/>
    <n v="9.203145833333334E-3"/>
    <n v="4.0034489087291672E-3"/>
  </r>
  <r>
    <x v="119"/>
    <x v="3"/>
    <n v="3.1871236111111112"/>
    <n v="1.0026378888888889"/>
    <n v="1.3279681712962963E-2"/>
    <n v="4.1776578703703708E-3"/>
  </r>
  <r>
    <x v="119"/>
    <x v="4"/>
    <n v="1.899421666666667"/>
    <n v="0.75304630555555552"/>
    <n v="7.914256944444446E-3"/>
    <n v="3.137692939814815E-3"/>
  </r>
  <r>
    <x v="119"/>
    <x v="5"/>
    <n v="1.3918936111111111"/>
    <n v="0.52731444444444442"/>
    <n v="5.799556712962963E-3"/>
    <n v="2.1971435185185184E-3"/>
  </r>
  <r>
    <x v="119"/>
    <x v="6"/>
    <n v="1.5364858333333331"/>
    <n v="0.64342187198055556"/>
    <n v="6.4020243055555549E-3"/>
    <n v="2.680924466585648E-3"/>
  </r>
  <r>
    <x v="119"/>
    <x v="7"/>
    <n v="3.1634375000000001"/>
    <n v="1.2397419047616669"/>
    <n v="1.3180989583333335E-2"/>
    <n v="5.1655912698402784E-3"/>
  </r>
  <r>
    <x v="119"/>
    <x v="8"/>
    <n v="1.921877222222222"/>
    <n v="0.87565133838361109"/>
    <n v="8.0078217592592579E-3"/>
    <n v="3.6485472432650459E-3"/>
  </r>
  <r>
    <x v="119"/>
    <x v="9"/>
    <n v="1.6870597222222219"/>
    <n v="0.64739190656555556"/>
    <n v="7.0294155092592578E-3"/>
    <n v="2.6974662773564819E-3"/>
  </r>
  <r>
    <x v="119"/>
    <x v="10"/>
    <n v="0.65883861111111108"/>
    <n v="0.41130380555555562"/>
    <n v="2.7451608796296295E-3"/>
    <n v="1.7137658564814818E-3"/>
  </r>
  <r>
    <x v="119"/>
    <x v="11"/>
    <n v="2.3052777777777775"/>
    <n v="1.0052777777777779"/>
    <n v="9.6053240740740734E-3"/>
    <n v="4.1886574074074083E-3"/>
  </r>
  <r>
    <x v="120"/>
    <x v="0"/>
    <n v="2.6011461111111109"/>
    <n v="0.58802599206333328"/>
    <n v="1.0838108796296297E-2"/>
    <n v="2.4501083002638887E-3"/>
  </r>
  <r>
    <x v="120"/>
    <x v="1"/>
    <n v="0.53003888888888884"/>
    <n v="0.25037673611111111"/>
    <n v="2.2084953703703702E-3"/>
    <n v="1.0432364004629628E-3"/>
  </r>
  <r>
    <x v="120"/>
    <x v="2"/>
    <n v="0.70933694444444439"/>
    <n v="0.2583686507936111"/>
    <n v="2.955570601851852E-3"/>
    <n v="1.0765360449733795E-3"/>
  </r>
  <r>
    <x v="120"/>
    <x v="4"/>
    <n v="0.13139833333333331"/>
    <n v="0.13139833333333331"/>
    <n v="5.4749305555555551E-4"/>
    <n v="5.4749305555555551E-4"/>
  </r>
  <r>
    <x v="120"/>
    <x v="5"/>
    <n v="0.74312111111111112"/>
    <n v="0.32261361111111109"/>
    <n v="3.0963379629629626E-3"/>
    <n v="1.3442233796296295E-3"/>
  </r>
  <r>
    <x v="120"/>
    <x v="6"/>
    <n v="6.0939147222222223"/>
    <n v="4.3234867735041664"/>
    <n v="2.5391311342592593E-2"/>
    <n v="1.8014528222934027E-2"/>
  </r>
  <r>
    <x v="120"/>
    <x v="7"/>
    <n v="6.1116066666666669"/>
    <n v="5.7720007142855554"/>
    <n v="2.5465027777777777E-2"/>
    <n v="2.4050002976189814E-2"/>
  </r>
  <r>
    <x v="120"/>
    <x v="8"/>
    <n v="6.097917777777778"/>
    <n v="3.117133320706944"/>
    <n v="2.5407990740740741E-2"/>
    <n v="1.29880555029456E-2"/>
  </r>
  <r>
    <x v="120"/>
    <x v="9"/>
    <n v="2.1926511111111111"/>
    <n v="1.8141825"/>
    <n v="9.1360462962962966E-3"/>
    <n v="7.5590937499999998E-3"/>
  </r>
  <r>
    <x v="120"/>
    <x v="10"/>
    <n v="2.1512250000000002"/>
    <n v="2.073366111111111"/>
    <n v="8.9634375000000009E-3"/>
    <n v="8.6390254629629629E-3"/>
  </r>
  <r>
    <x v="120"/>
    <x v="11"/>
    <n v="2.4874999999999998"/>
    <n v="1.6955555555555555"/>
    <n v="1.0364583333333332E-2"/>
    <n v="7.0648148148148146E-3"/>
  </r>
  <r>
    <x v="121"/>
    <x v="0"/>
    <n v="3.201388888888889E-2"/>
    <n v="3.1803194444444453E-2"/>
    <n v="1.3339120370370371E-4"/>
    <n v="1.3251331018518522E-4"/>
  </r>
  <r>
    <x v="121"/>
    <x v="1"/>
    <n v="3.2023055555555548E-2"/>
    <n v="3.0633750000000001E-2"/>
    <n v="1.3342939814814812E-4"/>
    <n v="1.2764062500000001E-4"/>
  </r>
  <r>
    <x v="121"/>
    <x v="2"/>
    <n v="3.342888888888889E-2"/>
    <n v="3.1083055555555551E-2"/>
    <n v="1.3928703703703705E-4"/>
    <n v="1.2951273148148145E-4"/>
  </r>
  <r>
    <x v="121"/>
    <x v="3"/>
    <n v="3.5525000000000001E-2"/>
    <n v="3.3048611111111112E-2"/>
    <n v="1.4802083333333334E-4"/>
    <n v="1.377025462962963E-4"/>
  </r>
  <r>
    <x v="121"/>
    <x v="4"/>
    <n v="11.122765555555549"/>
    <n v="3.752391296296111"/>
    <n v="4.6344856481481456E-2"/>
    <n v="1.5634963734567128E-2"/>
  </r>
  <r>
    <x v="121"/>
    <x v="5"/>
    <n v="2.9166666666666671E-2"/>
    <n v="2.7313333333333328E-2"/>
    <n v="1.215277777777778E-4"/>
    <n v="1.1380555555555554E-4"/>
  </r>
  <r>
    <x v="121"/>
    <x v="6"/>
    <n v="3.19925E-2"/>
    <n v="2.7864814814722218E-2"/>
    <n v="1.3330208333333334E-4"/>
    <n v="1.1610339506134258E-4"/>
  </r>
  <r>
    <x v="121"/>
    <x v="7"/>
    <n v="0.27657611111111108"/>
    <n v="0.1025426666666667"/>
    <n v="1.1524004629629629E-3"/>
    <n v="4.2726111111111121E-4"/>
  </r>
  <r>
    <x v="121"/>
    <x v="8"/>
    <n v="3.0856388888888892E-2"/>
    <n v="2.9995694444444439E-2"/>
    <n v="1.2856828703703704E-4"/>
    <n v="1.2498206018518517E-4"/>
  </r>
  <r>
    <x v="121"/>
    <x v="9"/>
    <n v="3.1313055555555552E-2"/>
    <n v="3.0356527777777781E-2"/>
    <n v="1.3047106481481479E-4"/>
    <n v="1.2648553240740743E-4"/>
  </r>
  <r>
    <x v="121"/>
    <x v="10"/>
    <n v="10.672506388888889"/>
    <n v="3.577419166666667"/>
    <n v="4.4468776620370375E-2"/>
    <n v="1.4905913194444446E-2"/>
  </r>
  <r>
    <x v="121"/>
    <x v="11"/>
    <n v="1.8608333333333333"/>
    <n v="0.63972222222222219"/>
    <n v="7.7534722222222215E-3"/>
    <n v="2.6655092592592594E-3"/>
  </r>
  <r>
    <x v="122"/>
    <x v="0"/>
    <n v="1.401788055555556"/>
    <n v="0.26015458333333341"/>
    <n v="5.840783564814816E-3"/>
    <n v="1.0839774305555559E-3"/>
  </r>
  <r>
    <x v="122"/>
    <x v="1"/>
    <n v="3.634638888888889"/>
    <n v="0.64633351851833332"/>
    <n v="1.5144328703703705E-2"/>
    <n v="2.6930563271597222E-3"/>
  </r>
  <r>
    <x v="122"/>
    <x v="2"/>
    <n v="6.1573222222222226"/>
    <n v="0.95280838888888886"/>
    <n v="2.565550925925926E-2"/>
    <n v="3.9700349537037036E-3"/>
  </r>
  <r>
    <x v="122"/>
    <x v="3"/>
    <n v="5.3948"/>
    <n v="1.4945494097222221"/>
    <n v="2.2478333333333333E-2"/>
    <n v="6.2272892071759253E-3"/>
  </r>
  <r>
    <x v="122"/>
    <x v="4"/>
    <n v="1.5001558333333329"/>
    <n v="0.26404337962944452"/>
    <n v="6.2506493055555536E-3"/>
    <n v="1.1001807484560188E-3"/>
  </r>
  <r>
    <x v="122"/>
    <x v="5"/>
    <n v="6.3850000000000001E-3"/>
    <n v="6.3850000000000001E-3"/>
    <n v="2.6604166666666665E-5"/>
    <n v="2.6604166666666665E-5"/>
  </r>
  <r>
    <x v="122"/>
    <x v="6"/>
    <n v="0.75038972222222222"/>
    <n v="0.21715819444444451"/>
    <n v="3.1266238425925927E-3"/>
    <n v="9.0482581018518549E-4"/>
  </r>
  <r>
    <x v="122"/>
    <x v="7"/>
    <n v="0.47365916666666669"/>
    <n v="8.8987716049166665E-2"/>
    <n v="1.9735798611111113E-3"/>
    <n v="3.7078215020486114E-4"/>
  </r>
  <r>
    <x v="122"/>
    <x v="8"/>
    <n v="3.1678611111111109E-2"/>
    <n v="1.9780972222222221E-2"/>
    <n v="1.3199421296296296E-4"/>
    <n v="8.2420717592592593E-5"/>
  </r>
  <r>
    <x v="122"/>
    <x v="9"/>
    <n v="0.53401583333333336"/>
    <n v="0.18123263888888891"/>
    <n v="2.2250659722222225E-3"/>
    <n v="7.5513599537037042E-4"/>
  </r>
  <r>
    <x v="122"/>
    <x v="10"/>
    <n v="2.3013580555555562"/>
    <n v="0.56020074074055559"/>
    <n v="9.5889918981481512E-3"/>
    <n v="2.3341697530856482E-3"/>
  </r>
  <r>
    <x v="122"/>
    <x v="11"/>
    <n v="1.848888888888889"/>
    <n v="0.39111111111111108"/>
    <n v="7.7037037037037048E-3"/>
    <n v="1.6296296296296295E-3"/>
  </r>
  <r>
    <x v="123"/>
    <x v="5"/>
    <n v="9.6907499999999994E-2"/>
    <n v="9.6907499999999994E-2"/>
    <n v="4.0378125000000001E-4"/>
    <n v="4.0378125000000001E-4"/>
  </r>
  <r>
    <x v="123"/>
    <x v="6"/>
    <n v="1.257290833333333"/>
    <n v="0.51631769841249997"/>
    <n v="5.2387118055555537E-3"/>
    <n v="2.1513237433854163E-3"/>
  </r>
  <r>
    <x v="123"/>
    <x v="7"/>
    <n v="2.5106572222222221"/>
    <n v="0.62071100000000001"/>
    <n v="1.046107175925926E-2"/>
    <n v="2.5862958333333335E-3"/>
  </r>
  <r>
    <x v="123"/>
    <x v="9"/>
    <n v="5.7602630555555558"/>
    <n v="1.7368697916666671"/>
    <n v="2.4001096064814816E-2"/>
    <n v="7.2369574652777794E-3"/>
  </r>
  <r>
    <x v="123"/>
    <x v="10"/>
    <n v="12.11283888888889"/>
    <n v="10.35243155555556"/>
    <n v="5.0470162037037046E-2"/>
    <n v="4.3135131481481494E-2"/>
  </r>
  <r>
    <x v="123"/>
    <x v="11"/>
    <n v="3.6230555555555553"/>
    <n v="2.2205555555555554"/>
    <n v="1.5096064814814814E-2"/>
    <n v="9.2523148148148139E-3"/>
  </r>
  <r>
    <x v="124"/>
    <x v="0"/>
    <n v="1.558523055555556"/>
    <n v="1.5217679861111111"/>
    <n v="6.4938460648148169E-3"/>
    <n v="6.3406999421296295E-3"/>
  </r>
  <r>
    <x v="124"/>
    <x v="1"/>
    <n v="1.5523222222222219"/>
    <n v="1.473997291666667"/>
    <n v="6.4680092592592575E-3"/>
    <n v="6.1416553819444468E-3"/>
  </r>
  <r>
    <x v="124"/>
    <x v="2"/>
    <n v="1.7237813888888891"/>
    <n v="1.4317876190475001"/>
    <n v="7.1824224537037048E-3"/>
    <n v="5.9657817460312505E-3"/>
  </r>
  <r>
    <x v="124"/>
    <x v="3"/>
    <n v="2.2126066666666668"/>
    <n v="1.540369125"/>
    <n v="9.2191944444444448E-3"/>
    <n v="6.4182046875000008E-3"/>
  </r>
  <r>
    <x v="124"/>
    <x v="4"/>
    <n v="1.569440833333333"/>
    <n v="1.3563241388888889"/>
    <n v="6.5393368055555534E-3"/>
    <n v="5.6513505787037033E-3"/>
  </r>
  <r>
    <x v="124"/>
    <x v="5"/>
    <n v="2.248600555555555"/>
    <n v="1.5030152645499999"/>
    <n v="9.3691689814814783E-3"/>
    <n v="6.2625636022916667E-3"/>
  </r>
  <r>
    <x v="124"/>
    <x v="6"/>
    <n v="1.5422186111111109"/>
    <n v="1.509005712560278"/>
    <n v="6.4259108796296286E-3"/>
    <n v="6.2875238023344911E-3"/>
  </r>
  <r>
    <x v="124"/>
    <x v="7"/>
    <n v="1.555613611111111"/>
    <n v="1.50822026455"/>
    <n v="6.4817233796296289E-3"/>
    <n v="6.2842511022916667E-3"/>
  </r>
  <r>
    <x v="124"/>
    <x v="8"/>
    <n v="1.547450833333333"/>
    <n v="1.516840012626111"/>
    <n v="6.4477118055555546E-3"/>
    <n v="6.3201667192754633E-3"/>
  </r>
  <r>
    <x v="124"/>
    <x v="9"/>
    <n v="1.555851944444445"/>
    <n v="1.439888648989722"/>
    <n v="6.4827164351851868E-3"/>
    <n v="5.9995360374571751E-3"/>
  </r>
  <r>
    <x v="124"/>
    <x v="10"/>
    <n v="1.5405733333333329"/>
    <n v="1.467635375"/>
    <n v="6.4190555555555537E-3"/>
    <n v="6.1151473958333327E-3"/>
  </r>
  <r>
    <x v="124"/>
    <x v="11"/>
    <n v="1.5508333333333333"/>
    <n v="1.3558333333333332"/>
    <n v="6.4618055555555548E-3"/>
    <n v="5.6493055555555559E-3"/>
  </r>
  <r>
    <x v="125"/>
    <x v="0"/>
    <n v="1.325414166666667"/>
    <n v="0.79227593434333332"/>
    <n v="5.522559027777779E-3"/>
    <n v="3.3011497264305556E-3"/>
  </r>
  <r>
    <x v="125"/>
    <x v="1"/>
    <n v="1.7848277777777779"/>
    <n v="0.79737909722222222"/>
    <n v="7.4367824074074084E-3"/>
    <n v="3.3224129050925927E-3"/>
  </r>
  <r>
    <x v="125"/>
    <x v="2"/>
    <n v="0.9457444444444445"/>
    <n v="0.82660961640194441"/>
    <n v="3.9406018518518523E-3"/>
    <n v="3.4442067350081017E-3"/>
  </r>
  <r>
    <x v="125"/>
    <x v="3"/>
    <n v="1.075533888888889"/>
    <n v="0.90362752777777777"/>
    <n v="4.4813912037037044E-3"/>
    <n v="3.7651146990740742E-3"/>
  </r>
  <r>
    <x v="125"/>
    <x v="4"/>
    <n v="1.1090288888888891"/>
    <n v="0.90081702380944439"/>
    <n v="4.6209537037037044E-3"/>
    <n v="3.7534042658726851E-3"/>
  </r>
  <r>
    <x v="125"/>
    <x v="5"/>
    <n v="2.0566769444444439"/>
    <n v="0.92434850529083334"/>
    <n v="8.5694872685185153E-3"/>
    <n v="3.851452105378472E-3"/>
  </r>
  <r>
    <x v="125"/>
    <x v="6"/>
    <n v="1.184025277777778"/>
    <n v="0.94022322463749997"/>
    <n v="4.9334386574074081E-3"/>
    <n v="3.9175967693229168E-3"/>
  </r>
  <r>
    <x v="125"/>
    <x v="7"/>
    <n v="1.3304297222222221"/>
    <n v="0.97321466931194445"/>
    <n v="5.5434571759259256E-3"/>
    <n v="4.0550611221331018E-3"/>
  </r>
  <r>
    <x v="125"/>
    <x v="8"/>
    <n v="1.125453055555556"/>
    <n v="0.89608401515138891"/>
    <n v="4.6893877314814836E-3"/>
    <n v="3.7336833964641204E-3"/>
  </r>
  <r>
    <x v="125"/>
    <x v="9"/>
    <n v="2.533778055555556"/>
    <n v="1.2728954589369439"/>
    <n v="1.0557408564814817E-2"/>
    <n v="5.3037310789039336E-3"/>
  </r>
  <r>
    <x v="125"/>
    <x v="10"/>
    <n v="1.4156383333333331"/>
    <n v="1.0885244027777781"/>
    <n v="5.8984930555555544E-3"/>
    <n v="4.5355183449074087E-3"/>
  </r>
  <r>
    <x v="125"/>
    <x v="11"/>
    <n v="1.3238888888888889"/>
    <n v="0.85972222222222228"/>
    <n v="5.5162037037037037E-3"/>
    <n v="3.5821759259259262E-3"/>
  </r>
  <r>
    <x v="126"/>
    <x v="6"/>
    <n v="0.34531583333333332"/>
    <n v="0.1439692592591667"/>
    <n v="1.4388159722222222E-3"/>
    <n v="5.9987191357986126E-4"/>
  </r>
  <r>
    <x v="126"/>
    <x v="7"/>
    <n v="0.50005972222222217"/>
    <n v="0.1824560317458333"/>
    <n v="2.0835821759259258E-3"/>
    <n v="7.6023346560763873E-4"/>
  </r>
  <r>
    <x v="126"/>
    <x v="8"/>
    <n v="4.1143566666666667"/>
    <n v="1.461712517361111"/>
    <n v="1.7143152777777778E-2"/>
    <n v="6.0904688223379624E-3"/>
  </r>
  <r>
    <x v="126"/>
    <x v="9"/>
    <n v="4.5513674999999996"/>
    <n v="2.2014380116958332"/>
    <n v="1.8964031249999999E-2"/>
    <n v="9.1726583820659711E-3"/>
  </r>
  <r>
    <x v="126"/>
    <x v="10"/>
    <n v="4.8427194444444446"/>
    <n v="1.8839898472222221"/>
    <n v="2.0177997685185186E-2"/>
    <n v="7.8499576967592591E-3"/>
  </r>
  <r>
    <x v="126"/>
    <x v="11"/>
    <n v="2.3925000000000001"/>
    <n v="0.97916666666666663"/>
    <n v="9.9687500000000002E-3"/>
    <n v="4.0798611111111114E-3"/>
  </r>
  <r>
    <x v="127"/>
    <x v="0"/>
    <n v="3.2847575"/>
    <n v="0.33421885100999998"/>
    <n v="1.3686489583333334E-2"/>
    <n v="1.3925785458749999E-3"/>
  </r>
  <r>
    <x v="127"/>
    <x v="1"/>
    <n v="7.7825155555555554"/>
    <n v="1.238367805555556"/>
    <n v="3.2427148148148149E-2"/>
    <n v="5.1598658564814834E-3"/>
  </r>
  <r>
    <x v="127"/>
    <x v="2"/>
    <n v="0.83189999999999997"/>
    <n v="0.51460370370361108"/>
    <n v="3.4662500000000001E-3"/>
    <n v="2.1441820987650462E-3"/>
  </r>
  <r>
    <x v="127"/>
    <x v="3"/>
    <n v="0.2354397222222222"/>
    <n v="0.2155323333333333"/>
    <n v="9.8099884259259256E-4"/>
    <n v="8.9805138888888884E-4"/>
  </r>
  <r>
    <x v="127"/>
    <x v="4"/>
    <n v="0.24572416666666669"/>
    <n v="0.1369440972222222"/>
    <n v="1.0238506944444446E-3"/>
    <n v="5.7060040509259249E-4"/>
  </r>
  <r>
    <x v="127"/>
    <x v="5"/>
    <n v="0.18906305555555561"/>
    <n v="0.1708710555555556"/>
    <n v="7.8776273148148173E-4"/>
    <n v="7.1196273148148163E-4"/>
  </r>
  <r>
    <x v="127"/>
    <x v="6"/>
    <n v="0.1781722222222222"/>
    <n v="0.16849710144916669"/>
    <n v="7.4238425925925915E-4"/>
    <n v="7.0207125603819452E-4"/>
  </r>
  <r>
    <x v="127"/>
    <x v="7"/>
    <n v="0.47441055555555561"/>
    <n v="0.18920674603166671"/>
    <n v="1.9767106481481484E-3"/>
    <n v="7.8836144179861127E-4"/>
  </r>
  <r>
    <x v="127"/>
    <x v="8"/>
    <n v="0.1783044444444444"/>
    <n v="0.1707409848483333"/>
    <n v="7.4293518518518502E-4"/>
    <n v="7.1142077020138871E-4"/>
  </r>
  <r>
    <x v="127"/>
    <x v="9"/>
    <n v="0.32388333333333341"/>
    <n v="0.18194426767666669"/>
    <n v="1.349513888888889E-3"/>
    <n v="7.581011153194446E-4"/>
  </r>
  <r>
    <x v="127"/>
    <x v="10"/>
    <n v="0.18146222222222219"/>
    <n v="0.1806483333333333"/>
    <n v="7.5609259259259249E-4"/>
    <n v="7.5270138888888869E-4"/>
  </r>
  <r>
    <x v="127"/>
    <x v="11"/>
    <n v="1.1588888888888889"/>
    <n v="0.29194444444444445"/>
    <n v="4.828703703703704E-3"/>
    <n v="1.2164351851851852E-3"/>
  </r>
  <r>
    <x v="128"/>
    <x v="9"/>
    <n v="0.24305750000000001"/>
    <n v="0.14598152777777779"/>
    <n v="1.0127395833333334E-3"/>
    <n v="6.0825636574074081E-4"/>
  </r>
  <r>
    <x v="128"/>
    <x v="10"/>
    <n v="13.421779722222221"/>
    <n v="9.3991901666666671"/>
    <n v="5.592408217592592E-2"/>
    <n v="3.9163292361111109E-2"/>
  </r>
  <r>
    <x v="128"/>
    <x v="11"/>
    <n v="4.5550000000000006"/>
    <n v="3.1819444444444445"/>
    <n v="1.8979166666666668E-2"/>
    <n v="1.3258101851851853E-2"/>
  </r>
  <r>
    <x v="129"/>
    <x v="2"/>
    <n v="1.5346272222222219"/>
    <n v="0.56578796296277778"/>
    <n v="6.3942800925925912E-3"/>
    <n v="2.3574498456782407E-3"/>
  </r>
  <r>
    <x v="129"/>
    <x v="3"/>
    <n v="10.821739722222221"/>
    <n v="5.7151548611111114"/>
    <n v="4.5090582175925924E-2"/>
    <n v="2.3813145254629631E-2"/>
  </r>
  <r>
    <x v="129"/>
    <x v="4"/>
    <n v="0.13276944444444441"/>
    <n v="9.4929563491944438E-2"/>
    <n v="5.5320601851851841E-4"/>
    <n v="3.9553984788310187E-4"/>
  </r>
  <r>
    <x v="129"/>
    <x v="5"/>
    <n v="0.36123972222222223"/>
    <n v="0.199875"/>
    <n v="1.5051655092592593E-3"/>
    <n v="8.3281249999999989E-4"/>
  </r>
  <r>
    <x v="129"/>
    <x v="7"/>
    <n v="0.14960916666666671"/>
    <n v="0.11474685185166671"/>
    <n v="6.2337152777777792E-4"/>
    <n v="4.7811188271527791E-4"/>
  </r>
  <r>
    <x v="129"/>
    <x v="10"/>
    <n v="0.29907194444444452"/>
    <n v="0.22380902777777781"/>
    <n v="1.2461331018518522E-3"/>
    <n v="9.3253761574074083E-4"/>
  </r>
  <r>
    <x v="129"/>
    <x v="11"/>
    <n v="1.9"/>
    <n v="0.98777777777777775"/>
    <n v="7.9166666666666673E-3"/>
    <n v="4.1157407407407401E-3"/>
  </r>
  <r>
    <x v="130"/>
    <x v="0"/>
    <n v="3.2793102777777778"/>
    <n v="1.8585847979797221"/>
    <n v="1.3663792824074074E-2"/>
    <n v="7.744103324915509E-3"/>
  </r>
  <r>
    <x v="130"/>
    <x v="1"/>
    <n v="3.501608333333333"/>
    <n v="1.831117888888889"/>
    <n v="1.4590034722222221E-2"/>
    <n v="7.629657870370371E-3"/>
  </r>
  <r>
    <x v="130"/>
    <x v="2"/>
    <n v="4.4327019444444442"/>
    <n v="1.1109985185183331"/>
    <n v="1.8469591435185184E-2"/>
    <n v="4.629160493826388E-3"/>
  </r>
  <r>
    <x v="130"/>
    <x v="3"/>
    <n v="2.0073536111111112"/>
    <n v="0.41761555555555557"/>
    <n v="8.3639733796296301E-3"/>
    <n v="1.7400648148148149E-3"/>
  </r>
  <r>
    <x v="130"/>
    <x v="11"/>
    <n v="2.6444444444444444"/>
    <n v="1.0438888888888889"/>
    <n v="1.1018518518518518E-2"/>
    <n v="4.3495370370370372E-3"/>
  </r>
  <r>
    <x v="131"/>
    <x v="1"/>
    <n v="2.1230852777777778"/>
    <n v="0.94769878472222224"/>
    <n v="8.8461886574074076E-3"/>
    <n v="3.9487449363425926E-3"/>
  </r>
  <r>
    <x v="131"/>
    <x v="2"/>
    <n v="2.1591999999999998"/>
    <n v="0.84839247354472225"/>
    <n v="8.996666666666665E-3"/>
    <n v="3.5349686397696759E-3"/>
  </r>
  <r>
    <x v="131"/>
    <x v="3"/>
    <n v="4.0510719444444447"/>
    <n v="1.1585420833333331"/>
    <n v="1.6879466435185186E-2"/>
    <n v="4.8272586805555547E-3"/>
  </r>
  <r>
    <x v="131"/>
    <x v="4"/>
    <n v="0.80455861111111115"/>
    <n v="0.41015046783611109"/>
    <n v="3.3523275462962964E-3"/>
    <n v="1.7089602826504628E-3"/>
  </r>
  <r>
    <x v="131"/>
    <x v="5"/>
    <n v="0.60826277777777782"/>
    <n v="0.24934466931194441"/>
    <n v="2.5344282407407412E-3"/>
    <n v="1.0389361221331017E-3"/>
  </r>
  <r>
    <x v="131"/>
    <x v="6"/>
    <n v="0.31740249999999998"/>
    <n v="0.19616614734277779"/>
    <n v="1.3225104166666665E-3"/>
    <n v="8.173589472615741E-4"/>
  </r>
  <r>
    <x v="131"/>
    <x v="7"/>
    <n v="0.27378805555555558"/>
    <n v="0.20833067460305549"/>
    <n v="1.140783564814815E-3"/>
    <n v="8.6804447751273118E-4"/>
  </r>
  <r>
    <x v="131"/>
    <x v="8"/>
    <n v="0.88964138888888888"/>
    <n v="0.25134472222222221"/>
    <n v="3.7068391203703703E-3"/>
    <n v="1.0472696759259259E-3"/>
  </r>
  <r>
    <x v="131"/>
    <x v="9"/>
    <n v="0.61681416666666666"/>
    <n v="0.23821319444444439"/>
    <n v="2.5700590277777779E-3"/>
    <n v="9.9255497685185167E-4"/>
  </r>
  <r>
    <x v="131"/>
    <x v="10"/>
    <n v="0.2634313888888889"/>
    <n v="0.20703325"/>
    <n v="1.0976307870370369E-3"/>
    <n v="8.626385416666667E-4"/>
  </r>
  <r>
    <x v="131"/>
    <x v="11"/>
    <n v="1.1008333333333333"/>
    <n v="0.42888888888888893"/>
    <n v="4.5868055555555558E-3"/>
    <n v="1.7870370370370373E-3"/>
  </r>
  <r>
    <x v="132"/>
    <x v="0"/>
    <n v="0.2605352777777778"/>
    <n v="0.23241624999999999"/>
    <n v="1.0855636574074075E-3"/>
    <n v="9.6840104166666656E-4"/>
  </r>
  <r>
    <x v="132"/>
    <x v="1"/>
    <n v="0.13939166666666669"/>
    <n v="0.1318438888888889"/>
    <n v="5.8079861111111125E-4"/>
    <n v="5.493495370370371E-4"/>
  </r>
  <r>
    <x v="132"/>
    <x v="2"/>
    <n v="0.1692852777777778"/>
    <n v="0.1602454166666667"/>
    <n v="7.0535532407407407E-4"/>
    <n v="6.676892361111112E-4"/>
  </r>
  <r>
    <x v="132"/>
    <x v="3"/>
    <n v="0.24629444444444451"/>
    <n v="0.23246055555555559"/>
    <n v="1.0262268518518522E-3"/>
    <n v="9.6858564814814821E-4"/>
  </r>
  <r>
    <x v="132"/>
    <x v="4"/>
    <n v="0.18796305555555559"/>
    <n v="0.13092703703694439"/>
    <n v="7.831793981481483E-4"/>
    <n v="5.4552932098726823E-4"/>
  </r>
  <r>
    <x v="132"/>
    <x v="5"/>
    <n v="0.1084313888888889"/>
    <n v="0.1084313888888889"/>
    <n v="4.5179745370370377E-4"/>
    <n v="4.5179745370370377E-4"/>
  </r>
  <r>
    <x v="132"/>
    <x v="6"/>
    <n v="4.5673083333333331"/>
    <n v="1.6546883333333331"/>
    <n v="1.9030451388888887E-2"/>
    <n v="6.8945347222222212E-3"/>
  </r>
  <r>
    <x v="132"/>
    <x v="7"/>
    <n v="0.87666861111111116"/>
    <n v="0.37235166666666669"/>
    <n v="3.65278587962963E-3"/>
    <n v="1.5514652777777777E-3"/>
  </r>
  <r>
    <x v="132"/>
    <x v="8"/>
    <n v="1.699039722222222"/>
    <n v="0.93875694444444446"/>
    <n v="7.0793321759259247E-3"/>
    <n v="3.911487268518519E-3"/>
  </r>
  <r>
    <x v="132"/>
    <x v="9"/>
    <n v="2.5626666666666669"/>
    <n v="1.4820577777777779"/>
    <n v="1.0677777777777779E-2"/>
    <n v="6.1752407407407416E-3"/>
  </r>
  <r>
    <x v="132"/>
    <x v="10"/>
    <n v="0.92737861111111108"/>
    <n v="0.58428986111111114"/>
    <n v="3.8640775462962964E-3"/>
    <n v="2.434541087962963E-3"/>
  </r>
  <r>
    <x v="132"/>
    <x v="11"/>
    <n v="0.97888888888888892"/>
    <n v="0.50249999999999995"/>
    <n v="4.0787037037037033E-3"/>
    <n v="2.0937499999999997E-3"/>
  </r>
  <r>
    <x v="133"/>
    <x v="0"/>
    <n v="0.81414249999999999"/>
    <n v="0.45791492424222219"/>
    <n v="3.3922604166666663E-3"/>
    <n v="1.907978851009259E-3"/>
  </r>
  <r>
    <x v="133"/>
    <x v="1"/>
    <n v="0.73426388888888894"/>
    <n v="0.47429351388888891"/>
    <n v="3.0594328703703703E-3"/>
    <n v="1.9762229745370371E-3"/>
  </r>
  <r>
    <x v="133"/>
    <x v="2"/>
    <n v="0.72152777777777777"/>
    <n v="0.4753936243386111"/>
    <n v="3.0063657407407404E-3"/>
    <n v="1.9808067680775463E-3"/>
  </r>
  <r>
    <x v="133"/>
    <x v="3"/>
    <n v="2.077034166666667"/>
    <n v="0.565749375"/>
    <n v="8.654309027777779E-3"/>
    <n v="2.3572890624999998E-3"/>
  </r>
  <r>
    <x v="133"/>
    <x v="4"/>
    <n v="0.84683249999999999"/>
    <n v="0.44330656944444452"/>
    <n v="3.5284687499999999E-3"/>
    <n v="1.8471107060185187E-3"/>
  </r>
  <r>
    <x v="133"/>
    <x v="5"/>
    <n v="1.4370341666666671"/>
    <n v="0.47917129166666672"/>
    <n v="5.987642361111112E-3"/>
    <n v="1.9965470486111112E-3"/>
  </r>
  <r>
    <x v="133"/>
    <x v="6"/>
    <n v="0.83144444444444443"/>
    <n v="0.44999431159416658"/>
    <n v="3.4643518518518517E-3"/>
    <n v="1.8749762983090274E-3"/>
  </r>
  <r>
    <x v="133"/>
    <x v="7"/>
    <n v="0.62208055555555553"/>
    <n v="0.3418630026452778"/>
    <n v="2.5920023148148148E-3"/>
    <n v="1.4244291776886575E-3"/>
  </r>
  <r>
    <x v="133"/>
    <x v="8"/>
    <n v="0.55784999999999996"/>
    <n v="0.36738231060583332"/>
    <n v="2.3243749999999996E-3"/>
    <n v="1.5307596275243055E-3"/>
  </r>
  <r>
    <x v="133"/>
    <x v="9"/>
    <n v="0.85242305555555553"/>
    <n v="0.57086337121194441"/>
    <n v="3.5517627314814813E-3"/>
    <n v="2.3785973800497687E-3"/>
  </r>
  <r>
    <x v="133"/>
    <x v="10"/>
    <n v="0.97654166666666664"/>
    <n v="0.50648870833333337"/>
    <n v="4.0689236111111108E-3"/>
    <n v="2.1103696180555559E-3"/>
  </r>
  <r>
    <x v="133"/>
    <x v="11"/>
    <n v="0.87277777777777776"/>
    <n v="0.42777777777777781"/>
    <n v="3.6365740740740738E-3"/>
    <n v="1.7824074074074077E-3"/>
  </r>
  <r>
    <x v="134"/>
    <x v="1"/>
    <n v="1.8425E-2"/>
    <n v="1.8425E-2"/>
    <n v="7.6770833333333327E-5"/>
    <n v="7.6770833333333327E-5"/>
  </r>
  <r>
    <x v="134"/>
    <x v="2"/>
    <n v="0.85352666666666666"/>
    <n v="0.25484065476166667"/>
    <n v="3.5563611111111108E-3"/>
    <n v="1.0618360615069445E-3"/>
  </r>
  <r>
    <x v="134"/>
    <x v="3"/>
    <n v="3.3270922222222219"/>
    <n v="1.4132484027777781"/>
    <n v="1.3862884259259259E-2"/>
    <n v="5.8885350115740753E-3"/>
  </r>
  <r>
    <x v="134"/>
    <x v="4"/>
    <n v="3.050871388888889"/>
    <n v="1.596639083333333"/>
    <n v="1.2711964120370371E-2"/>
    <n v="6.6526628472222205E-3"/>
  </r>
  <r>
    <x v="134"/>
    <x v="5"/>
    <n v="1.1039166666666671"/>
    <n v="0.63648527777777775"/>
    <n v="4.5996527777777798E-3"/>
    <n v="2.6520219907407404E-3"/>
  </r>
  <r>
    <x v="134"/>
    <x v="6"/>
    <n v="0.40705305555555549"/>
    <n v="0.39221527777777782"/>
    <n v="1.6960543981481479E-3"/>
    <n v="1.6342303240740742E-3"/>
  </r>
  <r>
    <x v="134"/>
    <x v="7"/>
    <n v="0.42582861111111109"/>
    <n v="0.34935388888888891"/>
    <n v="1.7742858796296293E-3"/>
    <n v="1.4556412037037038E-3"/>
  </r>
  <r>
    <x v="134"/>
    <x v="8"/>
    <n v="0.71941416666666669"/>
    <n v="0.48015868055555561"/>
    <n v="2.9975590277777782E-3"/>
    <n v="2.000661168981482E-3"/>
  </r>
  <r>
    <x v="134"/>
    <x v="9"/>
    <n v="0.50445722222222222"/>
    <n v="0.36617450000000001"/>
    <n v="2.1019050925925927E-3"/>
    <n v="1.5257270833333334E-3"/>
  </r>
  <r>
    <x v="134"/>
    <x v="11"/>
    <n v="1.0411111111111111"/>
    <n v="0.55083333333333329"/>
    <n v="4.3379629629629627E-3"/>
    <n v="2.2951388888888887E-3"/>
  </r>
  <r>
    <x v="135"/>
    <x v="3"/>
    <n v="7.8666666666666663"/>
    <n v="7.8666666666666663"/>
    <n v="3.2777777777777774E-2"/>
    <n v="3.2777777777777774E-2"/>
  </r>
  <r>
    <x v="135"/>
    <x v="8"/>
    <n v="1.716666666666667"/>
    <n v="1.716666666666667"/>
    <n v="7.1527777777777787E-3"/>
    <n v="7.1527777777777787E-3"/>
  </r>
  <r>
    <x v="135"/>
    <x v="11"/>
    <n v="3.1944444444444442"/>
    <n v="3.1944444444444442"/>
    <n v="1.3310185185185184E-2"/>
    <n v="1.3310185185185184E-2"/>
  </r>
  <r>
    <x v="136"/>
    <x v="0"/>
    <n v="1.0945952777777781"/>
    <n v="0.33830184027777782"/>
    <n v="4.5608136574074093E-3"/>
    <n v="1.4095910011574075E-3"/>
  </r>
  <r>
    <x v="136"/>
    <x v="1"/>
    <n v="0.25032166666666672"/>
    <n v="0.25032166666666672"/>
    <n v="1.0430069444444447E-3"/>
    <n v="1.0430069444444447E-3"/>
  </r>
  <r>
    <x v="136"/>
    <x v="2"/>
    <n v="1.1881313888888889"/>
    <n v="0.69664591269833331"/>
    <n v="4.9505474537037035E-3"/>
    <n v="2.9026913029097223E-3"/>
  </r>
  <r>
    <x v="136"/>
    <x v="3"/>
    <n v="0.47980416666666659"/>
    <n v="0.26833578282805548"/>
    <n v="1.9991840277777772E-3"/>
    <n v="1.1180657617835645E-3"/>
  </r>
  <r>
    <x v="136"/>
    <x v="4"/>
    <n v="0.61528166666666662"/>
    <n v="0.31191681818166672"/>
    <n v="2.5636736111111108E-3"/>
    <n v="1.2996534090902779E-3"/>
  </r>
  <r>
    <x v="136"/>
    <x v="5"/>
    <n v="0.50527250000000001"/>
    <n v="0.32056716666666668"/>
    <n v="2.1053020833333336E-3"/>
    <n v="1.3356965277777778E-3"/>
  </r>
  <r>
    <x v="136"/>
    <x v="6"/>
    <n v="0.46561472222222222"/>
    <n v="0.34221125000000002"/>
    <n v="1.9400613425925924E-3"/>
    <n v="1.4258802083333335E-3"/>
  </r>
  <r>
    <x v="136"/>
    <x v="7"/>
    <n v="1.1409019444444439"/>
    <n v="0.65584164529888889"/>
    <n v="4.7537581018518493E-3"/>
    <n v="2.7326735220787033E-3"/>
  </r>
  <r>
    <x v="136"/>
    <x v="9"/>
    <n v="3.0357455555555561"/>
    <n v="0.87531144841249997"/>
    <n v="1.2648939814814818E-2"/>
    <n v="3.6471310350520828E-3"/>
  </r>
  <r>
    <x v="136"/>
    <x v="10"/>
    <n v="0.48130222222222219"/>
    <n v="0.34475856481472222"/>
    <n v="2.0054259259259257E-3"/>
    <n v="1.4364940200613425E-3"/>
  </r>
  <r>
    <x v="136"/>
    <x v="11"/>
    <n v="0.84166666666666667"/>
    <n v="0.40055555555555561"/>
    <n v="3.5069444444444445E-3"/>
    <n v="1.6689814814814816E-3"/>
  </r>
  <r>
    <x v="137"/>
    <x v="0"/>
    <n v="0.45629361111111111"/>
    <n v="0.1507273472222222"/>
    <n v="1.9012233796296297E-3"/>
    <n v="6.2803061342592585E-4"/>
  </r>
  <r>
    <x v="137"/>
    <x v="1"/>
    <n v="0.88017722222222228"/>
    <n v="0.16796413580222219"/>
    <n v="3.6674050925925932E-3"/>
    <n v="6.9985056584259252E-4"/>
  </r>
  <r>
    <x v="137"/>
    <x v="2"/>
    <n v="1.219169722222222"/>
    <n v="0.31731433333333331"/>
    <n v="5.0798738425925916E-3"/>
    <n v="1.3221430555555554E-3"/>
  </r>
  <r>
    <x v="137"/>
    <x v="3"/>
    <n v="3.242515"/>
    <n v="0.38472286111111109"/>
    <n v="1.3510479166666667E-2"/>
    <n v="1.6030119212962961E-3"/>
  </r>
  <r>
    <x v="137"/>
    <x v="4"/>
    <n v="0.38821861111111111"/>
    <n v="0.10256964285694441"/>
    <n v="1.6175775462962964E-3"/>
    <n v="4.2737351190393503E-4"/>
  </r>
  <r>
    <x v="137"/>
    <x v="5"/>
    <n v="0.68124611111111111"/>
    <n v="0.1734097777777778"/>
    <n v="2.8385254629629628E-3"/>
    <n v="7.225407407407408E-4"/>
  </r>
  <r>
    <x v="137"/>
    <x v="6"/>
    <n v="0.35508861111111112"/>
    <n v="9.1202512077222228E-2"/>
    <n v="1.4795358796296295E-3"/>
    <n v="3.8001046698842592E-4"/>
  </r>
  <r>
    <x v="137"/>
    <x v="7"/>
    <n v="0.11418972222222221"/>
    <n v="4.3679583333333327E-2"/>
    <n v="4.7579050925925919E-4"/>
    <n v="1.8199826388888888E-4"/>
  </r>
  <r>
    <x v="137"/>
    <x v="8"/>
    <n v="4.9933333333333343E-2"/>
    <n v="4.0712790403888893E-2"/>
    <n v="2.0805555555555559E-4"/>
    <n v="1.6963662668287037E-4"/>
  </r>
  <r>
    <x v="137"/>
    <x v="9"/>
    <n v="0.68669000000000002"/>
    <n v="7.5153391812777776E-2"/>
    <n v="2.8612083333333337E-3"/>
    <n v="3.1313913255324072E-4"/>
  </r>
  <r>
    <x v="137"/>
    <x v="11"/>
    <n v="0.73416666666666663"/>
    <n v="0.14083333333333331"/>
    <n v="3.0590277777777773E-3"/>
    <n v="5.8680555555555547E-4"/>
  </r>
  <r>
    <x v="138"/>
    <x v="2"/>
    <n v="3.5972222222222221E-3"/>
    <n v="3.5972222222222221E-3"/>
    <n v="1.4988425925925925E-5"/>
    <n v="1.4988425925925925E-5"/>
  </r>
  <r>
    <x v="138"/>
    <x v="4"/>
    <n v="0.3441002777777778"/>
    <n v="0.15688949999999999"/>
    <n v="1.4337511574074077E-3"/>
    <n v="6.5370624999999997E-4"/>
  </r>
  <r>
    <x v="138"/>
    <x v="5"/>
    <n v="0.43783499999999997"/>
    <n v="0.43783499999999997"/>
    <n v="1.8243124999999998E-3"/>
    <n v="1.8243124999999998E-3"/>
  </r>
  <r>
    <x v="138"/>
    <x v="6"/>
    <n v="2.223196666666666"/>
    <n v="0.43522090909083327"/>
    <n v="9.2633194444444421E-3"/>
    <n v="1.8134204545451388E-3"/>
  </r>
  <r>
    <x v="138"/>
    <x v="7"/>
    <n v="0.69135138888888892"/>
    <n v="0.29271571428555548"/>
    <n v="2.880630787037037E-3"/>
    <n v="1.2196488095231478E-3"/>
  </r>
  <r>
    <x v="138"/>
    <x v="8"/>
    <n v="0.67071472222222217"/>
    <n v="0.30125842592583341"/>
    <n v="2.7946446759259257E-3"/>
    <n v="1.2552434413576391E-3"/>
  </r>
  <r>
    <x v="138"/>
    <x v="9"/>
    <n v="0.13691861111111109"/>
    <n v="0.13388703703694441"/>
    <n v="5.7049421296296286E-4"/>
    <n v="5.5786265432060172E-4"/>
  </r>
  <r>
    <x v="138"/>
    <x v="10"/>
    <n v="3.1898713888888892"/>
    <n v="1.798226527777778"/>
    <n v="1.3291130787037038E-2"/>
    <n v="7.4926105324074092E-3"/>
  </r>
  <r>
    <x v="138"/>
    <x v="11"/>
    <n v="0.85555555555555562"/>
    <n v="0.39555555555555555"/>
    <n v="3.5648148148148154E-3"/>
    <n v="1.6481481481481479E-3"/>
  </r>
  <r>
    <x v="139"/>
    <x v="0"/>
    <n v="1.595121944444444"/>
    <n v="0.32127170634916669"/>
    <n v="6.6463414351851831E-3"/>
    <n v="1.3386321097881946E-3"/>
  </r>
  <r>
    <x v="139"/>
    <x v="1"/>
    <n v="0.45941500000000002"/>
    <n v="0.24072931944444451"/>
    <n v="1.9142291666666667E-3"/>
    <n v="1.0030388310185189E-3"/>
  </r>
  <r>
    <x v="139"/>
    <x v="2"/>
    <n v="0.48474083333333329"/>
    <n v="0.2191467460316667"/>
    <n v="2.0197534722222218E-3"/>
    <n v="9.1311144179861135E-4"/>
  </r>
  <r>
    <x v="139"/>
    <x v="3"/>
    <n v="0.79065555555555556"/>
    <n v="0.2542160277777778"/>
    <n v="3.2943981481481483E-3"/>
    <n v="1.0592334490740743E-3"/>
  </r>
  <r>
    <x v="139"/>
    <x v="4"/>
    <n v="0.43170555555555562"/>
    <n v="0.24852245833333331"/>
    <n v="1.7987731481481483E-3"/>
    <n v="1.0355102430555554E-3"/>
  </r>
  <r>
    <x v="139"/>
    <x v="5"/>
    <n v="0.31562861111111112"/>
    <n v="0.27188308201055561"/>
    <n v="1.315119212962963E-3"/>
    <n v="1.1328461750439818E-3"/>
  </r>
  <r>
    <x v="139"/>
    <x v="6"/>
    <n v="1.1027361111111109"/>
    <n v="0.34038724637666667"/>
    <n v="4.5947337962962955E-3"/>
    <n v="1.4182801932361112E-3"/>
  </r>
  <r>
    <x v="139"/>
    <x v="7"/>
    <n v="0.53964777777777773"/>
    <n v="0.32315505291000002"/>
    <n v="2.248532407407407E-3"/>
    <n v="1.3464793871250001E-3"/>
  </r>
  <r>
    <x v="139"/>
    <x v="8"/>
    <n v="0.27721861111111112"/>
    <n v="0.21538053030277779"/>
    <n v="1.1550775462962964E-3"/>
    <n v="8.9741887626157413E-4"/>
  </r>
  <r>
    <x v="139"/>
    <x v="9"/>
    <n v="0.8281655555555556"/>
    <n v="0.25702338383833329"/>
    <n v="3.4506898148148149E-3"/>
    <n v="1.0709307659930553E-3"/>
  </r>
  <r>
    <x v="139"/>
    <x v="10"/>
    <n v="0.78102416666666663"/>
    <n v="0.297018375"/>
    <n v="3.254267361111111E-3"/>
    <n v="1.2375765625000001E-3"/>
  </r>
  <r>
    <x v="139"/>
    <x v="11"/>
    <n v="0.63388888888888884"/>
    <n v="0.24916666666666665"/>
    <n v="2.6412037037037033E-3"/>
    <n v="1.0381944444444442E-3"/>
  </r>
  <r>
    <x v="140"/>
    <x v="0"/>
    <n v="0.77043361111111108"/>
    <n v="0.40043079545444438"/>
    <n v="3.2101400462962964E-3"/>
    <n v="1.6684616477268515E-3"/>
  </r>
  <r>
    <x v="140"/>
    <x v="1"/>
    <n v="0.94880249999999999"/>
    <n v="0.43070098611111107"/>
    <n v="3.9533437500000003E-3"/>
    <n v="1.7945874421296294E-3"/>
  </r>
  <r>
    <x v="140"/>
    <x v="2"/>
    <n v="0.70325388888888885"/>
    <n v="0.41848161375638893"/>
    <n v="2.9302245370370367E-3"/>
    <n v="1.7436733906516205E-3"/>
  </r>
  <r>
    <x v="140"/>
    <x v="3"/>
    <n v="1.1744183333333329"/>
    <n v="0.39439058333333332"/>
    <n v="4.89340972222222E-3"/>
    <n v="1.6432940972222222E-3"/>
  </r>
  <r>
    <x v="140"/>
    <x v="4"/>
    <n v="1.2777063888888891"/>
    <n v="0.33828919444444439"/>
    <n v="5.3237766203703711E-3"/>
    <n v="1.4095383101851849E-3"/>
  </r>
  <r>
    <x v="140"/>
    <x v="5"/>
    <n v="0.36626722222222219"/>
    <n v="5.1576388888888887E-2"/>
    <n v="1.5261134259259258E-3"/>
    <n v="2.1490162037037037E-4"/>
  </r>
  <r>
    <x v="140"/>
    <x v="6"/>
    <n v="0.27205111111111108"/>
    <n v="3.5940096618333327E-2"/>
    <n v="1.1335462962962961E-3"/>
    <n v="1.4975040257638885E-4"/>
  </r>
  <r>
    <x v="140"/>
    <x v="7"/>
    <n v="0.38042333333333328"/>
    <n v="7.2915780423055562E-2"/>
    <n v="1.5850972222222221E-3"/>
    <n v="3.0381575176273152E-4"/>
  </r>
  <r>
    <x v="140"/>
    <x v="8"/>
    <n v="0.1622916666666667"/>
    <n v="2.4279267676666671E-2"/>
    <n v="6.7621527777777786E-4"/>
    <n v="1.0116361531944447E-4"/>
  </r>
  <r>
    <x v="140"/>
    <x v="9"/>
    <n v="0.47524861111111111"/>
    <n v="8.8708041666666668E-2"/>
    <n v="1.9802025462962963E-3"/>
    <n v="3.6961684027777777E-4"/>
  </r>
  <r>
    <x v="140"/>
    <x v="10"/>
    <n v="0.20753750000000001"/>
    <n v="5.7006488095000002E-2"/>
    <n v="8.6473958333333335E-4"/>
    <n v="2.3752703372916667E-4"/>
  </r>
  <r>
    <x v="140"/>
    <x v="11"/>
    <n v="0.56166666666666676"/>
    <n v="0.19277777777777777"/>
    <n v="2.3402777777777784E-3"/>
    <n v="8.0324074074074065E-4"/>
  </r>
  <r>
    <x v="141"/>
    <x v="0"/>
    <n v="0.45946500000000001"/>
    <n v="0.29804323232305557"/>
    <n v="1.9144375000000001E-3"/>
    <n v="1.2418468013460648E-3"/>
  </r>
  <r>
    <x v="141"/>
    <x v="1"/>
    <n v="0.52147861111111116"/>
    <n v="0.31962030555555548"/>
    <n v="2.1728275462962964E-3"/>
    <n v="1.3317512731481479E-3"/>
  </r>
  <r>
    <x v="141"/>
    <x v="2"/>
    <n v="0.52640555555555557"/>
    <n v="0.32665079365055549"/>
    <n v="2.1933564814814815E-3"/>
    <n v="1.3610449735439812E-3"/>
  </r>
  <r>
    <x v="141"/>
    <x v="3"/>
    <n v="1.4455786111111111"/>
    <n v="0.42436163888888889"/>
    <n v="6.0232442129629629E-3"/>
    <n v="1.7681734953703704E-3"/>
  </r>
  <r>
    <x v="141"/>
    <x v="4"/>
    <n v="0.98416138888888893"/>
    <n v="0.35128455555555549"/>
    <n v="4.1006724537037036E-3"/>
    <n v="1.4636856481481479E-3"/>
  </r>
  <r>
    <x v="141"/>
    <x v="5"/>
    <n v="0.3976527777777778"/>
    <n v="0.26552760582000001"/>
    <n v="1.6568865740740743E-3"/>
    <n v="1.10636502425E-3"/>
  </r>
  <r>
    <x v="141"/>
    <x v="6"/>
    <n v="0.4230936111111111"/>
    <n v="0.24845725845388891"/>
    <n v="1.7628900462962963E-3"/>
    <n v="1.0352385768912038E-3"/>
  </r>
  <r>
    <x v="141"/>
    <x v="7"/>
    <n v="0.85401666666666665"/>
    <n v="0.29667927248666659"/>
    <n v="3.558402777777778E-3"/>
    <n v="1.2361636353611109E-3"/>
  </r>
  <r>
    <x v="141"/>
    <x v="8"/>
    <n v="0.37506"/>
    <n v="0.27846679292916671"/>
    <n v="1.5627499999999999E-3"/>
    <n v="1.1602783038715278E-3"/>
  </r>
  <r>
    <x v="141"/>
    <x v="9"/>
    <n v="0.4317563888888889"/>
    <n v="0.25202818181805547"/>
    <n v="1.7989849537037037E-3"/>
    <n v="1.0501174242418978E-3"/>
  </r>
  <r>
    <x v="141"/>
    <x v="10"/>
    <n v="0.2729611111111111"/>
    <n v="0.21669369444444439"/>
    <n v="1.137337962962963E-3"/>
    <n v="9.0289039351851839E-4"/>
  </r>
  <r>
    <x v="141"/>
    <x v="11"/>
    <n v="0.55777777777777782"/>
    <n v="0.27333333333333332"/>
    <n v="2.3240740740740743E-3"/>
    <n v="1.1388888888888887E-3"/>
  </r>
  <r>
    <x v="142"/>
    <x v="2"/>
    <n v="5.6333333333333337"/>
    <n v="5.6333333333333337"/>
    <n v="2.3472222222222224E-2"/>
    <n v="2.3472222222222224E-2"/>
  </r>
  <r>
    <x v="142"/>
    <x v="4"/>
    <n v="0.26666666666666672"/>
    <n v="0.26666666666666672"/>
    <n v="1.1111111111111113E-3"/>
    <n v="1.1111111111111113E-3"/>
  </r>
  <r>
    <x v="142"/>
    <x v="6"/>
    <n v="0"/>
    <n v="0"/>
    <n v="0"/>
    <n v="0"/>
  </r>
  <r>
    <x v="142"/>
    <x v="11"/>
    <n v="1.4750000000000001"/>
    <n v="1.4750000000000001"/>
    <n v="6.1458333333333339E-3"/>
    <n v="6.1458333333333339E-3"/>
  </r>
  <r>
    <x v="143"/>
    <x v="2"/>
    <n v="2.0014680555555562"/>
    <n v="1.018209027777778"/>
    <n v="8.3394502314814833E-3"/>
    <n v="4.2425376157407416E-3"/>
  </r>
  <r>
    <x v="143"/>
    <x v="4"/>
    <n v="9.7382222222222217E-2"/>
    <n v="9.7382222222222217E-2"/>
    <n v="4.0575925925925919E-4"/>
    <n v="4.0575925925925919E-4"/>
  </r>
  <r>
    <x v="143"/>
    <x v="5"/>
    <n v="2.5134138888888891"/>
    <n v="1.2762676388888889"/>
    <n v="1.0472557870370372E-2"/>
    <n v="5.3177818287037035E-3"/>
  </r>
  <r>
    <x v="143"/>
    <x v="7"/>
    <n v="0.10872416666666671"/>
    <n v="0.10872416666666671"/>
    <n v="4.5301736111111129E-4"/>
    <n v="4.5301736111111129E-4"/>
  </r>
  <r>
    <x v="143"/>
    <x v="8"/>
    <n v="1.0958769444444449"/>
    <n v="0.56815694444444442"/>
    <n v="4.566153935185187E-3"/>
    <n v="2.3673206018518518E-3"/>
  </r>
  <r>
    <x v="143"/>
    <x v="11"/>
    <n v="0.96972222222222215"/>
    <n v="0.5116666666666666"/>
    <n v="4.0405092592592584E-3"/>
    <n v="2.1319444444444441E-3"/>
  </r>
  <r>
    <x v="144"/>
    <x v="0"/>
    <n v="1.055217222222222"/>
    <n v="0.88587537878777778"/>
    <n v="4.3967384259259246E-3"/>
    <n v="3.6911474116157407E-3"/>
  </r>
  <r>
    <x v="144"/>
    <x v="1"/>
    <n v="1.0207474999999999"/>
    <n v="0.92904538888888888"/>
    <n v="4.2531145833333327E-3"/>
    <n v="3.8710224537037035E-3"/>
  </r>
  <r>
    <x v="144"/>
    <x v="2"/>
    <n v="0.95587833333333339"/>
    <n v="0.2349673544972222"/>
    <n v="3.982826388888889E-3"/>
    <n v="9.7903064373842572E-4"/>
  </r>
  <r>
    <x v="144"/>
    <x v="3"/>
    <n v="0.19958999999999999"/>
    <n v="8.2440236111111106E-2"/>
    <n v="8.316249999999999E-4"/>
    <n v="3.4350098379629627E-4"/>
  </r>
  <r>
    <x v="144"/>
    <x v="4"/>
    <n v="0.2432047222222222"/>
    <n v="0.1063959259258333"/>
    <n v="1.0133530092592592E-3"/>
    <n v="4.4331635802430537E-4"/>
  </r>
  <r>
    <x v="144"/>
    <x v="5"/>
    <n v="0.26247055555555548"/>
    <n v="0.10865372222222219"/>
    <n v="1.0936273148148144E-3"/>
    <n v="4.5272384259259247E-4"/>
  </r>
  <r>
    <x v="144"/>
    <x v="6"/>
    <n v="0.53165083333333329"/>
    <n v="0.19074774154583329"/>
    <n v="2.2152118055555553E-3"/>
    <n v="7.9478225644097204E-4"/>
  </r>
  <r>
    <x v="144"/>
    <x v="7"/>
    <n v="0.31241777777777779"/>
    <n v="0.15844398148138891"/>
    <n v="1.3017407407407407E-3"/>
    <n v="6.6018325617245386E-4"/>
  </r>
  <r>
    <x v="144"/>
    <x v="8"/>
    <n v="0.23207722222222221"/>
    <n v="0.1485417297977778"/>
    <n v="9.6698842592592583E-4"/>
    <n v="6.1892387415740755E-4"/>
  </r>
  <r>
    <x v="144"/>
    <x v="9"/>
    <n v="0.58696694444444442"/>
    <n v="0.23759873737361109"/>
    <n v="2.4456956018518517E-3"/>
    <n v="9.8999473905671286E-4"/>
  </r>
  <r>
    <x v="144"/>
    <x v="10"/>
    <n v="0.25486027777777781"/>
    <n v="0.1882230138888889"/>
    <n v="1.0619178240740743E-3"/>
    <n v="7.8426255787037043E-4"/>
  </r>
  <r>
    <x v="144"/>
    <x v="11"/>
    <n v="0.47138888888888891"/>
    <n v="0.27277777777777779"/>
    <n v="1.9641203703703704E-3"/>
    <n v="1.1365740740740741E-3"/>
  </r>
  <r>
    <x v="145"/>
    <x v="2"/>
    <n v="0.66911833333333337"/>
    <n v="0.66911833333333337"/>
    <n v="2.7879930555555557E-3"/>
    <n v="2.7879930555555557E-3"/>
  </r>
  <r>
    <x v="145"/>
    <x v="4"/>
    <n v="0.63833694444444444"/>
    <n v="0.22487765432083329"/>
    <n v="2.6597372685185187E-3"/>
    <n v="9.3699022633680527E-4"/>
  </r>
  <r>
    <x v="145"/>
    <x v="5"/>
    <n v="0.74785250000000003"/>
    <n v="0.31329708333333328"/>
    <n v="3.1160520833333331E-3"/>
    <n v="1.3054045138888887E-3"/>
  </r>
  <r>
    <x v="145"/>
    <x v="7"/>
    <n v="0.30239611111111109"/>
    <n v="0.30239611111111109"/>
    <n v="1.2599837962962962E-3"/>
    <n v="1.2599837962962962E-3"/>
  </r>
  <r>
    <x v="145"/>
    <x v="8"/>
    <n v="0.85352888888888889"/>
    <n v="0.32148690476166669"/>
    <n v="3.5563703703703708E-3"/>
    <n v="1.3395287698402779E-3"/>
  </r>
  <r>
    <x v="145"/>
    <x v="9"/>
    <n v="1.2165349999999999"/>
    <n v="0.64493231481472224"/>
    <n v="5.0688958333333332E-3"/>
    <n v="2.687217978394676E-3"/>
  </r>
  <r>
    <x v="145"/>
    <x v="10"/>
    <n v="1.1019686111111111"/>
    <n v="0.52753398148138886"/>
    <n v="4.5915358796296294E-3"/>
    <n v="2.1980582561724536E-3"/>
  </r>
  <r>
    <x v="145"/>
    <x v="11"/>
    <n v="0.69138888888888894"/>
    <n v="0.37555555555555559"/>
    <n v="2.8807870370370372E-3"/>
    <n v="1.5648148148148149E-3"/>
  </r>
  <r>
    <x v="146"/>
    <x v="0"/>
    <n v="0.24433722222222221"/>
    <n v="0.22105498737361109"/>
    <n v="1.0180717592592591E-3"/>
    <n v="9.2106244739004629E-4"/>
  </r>
  <r>
    <x v="146"/>
    <x v="1"/>
    <n v="0.30556666666666671"/>
    <n v="0.23219375"/>
    <n v="1.2731944444444446E-3"/>
    <n v="9.6747395833333332E-4"/>
  </r>
  <r>
    <x v="146"/>
    <x v="2"/>
    <n v="0.46587222222222219"/>
    <n v="0.23837707671944439"/>
    <n v="1.941134259259259E-3"/>
    <n v="9.9323781966435148E-4"/>
  </r>
  <r>
    <x v="146"/>
    <x v="3"/>
    <n v="0.26765"/>
    <n v="0.21804579166666671"/>
    <n v="1.1152083333333333E-3"/>
    <n v="9.0852413194444459E-4"/>
  </r>
  <r>
    <x v="146"/>
    <x v="4"/>
    <n v="0.45781861111111111"/>
    <n v="0.3018825277777778"/>
    <n v="1.9075775462962963E-3"/>
    <n v="1.2578438657407408E-3"/>
  </r>
  <r>
    <x v="146"/>
    <x v="5"/>
    <n v="0.42961749999999999"/>
    <n v="0.40653395502638889"/>
    <n v="1.7900729166666666E-3"/>
    <n v="1.6938914792766204E-3"/>
  </r>
  <r>
    <x v="146"/>
    <x v="6"/>
    <n v="0.42964583333333328"/>
    <n v="0.40094594202888889"/>
    <n v="1.7901909722222219E-3"/>
    <n v="1.670608091787037E-3"/>
  </r>
  <r>
    <x v="146"/>
    <x v="7"/>
    <n v="0.82033055555555556"/>
    <n v="0.44924058201055561"/>
    <n v="3.4180439814814815E-3"/>
    <n v="1.8718357583773152E-3"/>
  </r>
  <r>
    <x v="146"/>
    <x v="8"/>
    <n v="0.53878666666666664"/>
    <n v="0.44837458333333341"/>
    <n v="2.2449444444444444E-3"/>
    <n v="1.8682274305555559E-3"/>
  </r>
  <r>
    <x v="146"/>
    <x v="9"/>
    <n v="0.52896194444444444"/>
    <n v="0.47243886363611109"/>
    <n v="2.204008101851852E-3"/>
    <n v="1.968495265150463E-3"/>
  </r>
  <r>
    <x v="146"/>
    <x v="10"/>
    <n v="0.54990111111111106"/>
    <n v="0.50297515277777782"/>
    <n v="2.2912546296296296E-3"/>
    <n v="2.095729803240741E-3"/>
  </r>
  <r>
    <x v="146"/>
    <x v="11"/>
    <n v="0.42"/>
    <n v="0.32444444444444442"/>
    <n v="1.7499999999999998E-3"/>
    <n v="1.3518518518518517E-3"/>
  </r>
  <r>
    <x v="147"/>
    <x v="8"/>
    <n v="1.0110861111111109"/>
    <n v="0.61584370370361108"/>
    <n v="4.2128587962962953E-3"/>
    <n v="2.5660154320983797E-3"/>
  </r>
  <r>
    <x v="147"/>
    <x v="9"/>
    <n v="1.066849722222222"/>
    <n v="0.29906953703694439"/>
    <n v="4.4452071759259254E-3"/>
    <n v="1.2461230709872684E-3"/>
  </r>
  <r>
    <x v="147"/>
    <x v="10"/>
    <n v="2.0683122222222221"/>
    <n v="0.98281116666666668"/>
    <n v="8.617967592592592E-3"/>
    <n v="4.0950465277777778E-3"/>
  </r>
  <r>
    <x v="147"/>
    <x v="11"/>
    <n v="1.0366666666666666"/>
    <n v="0.47444444444444439"/>
    <n v="4.3194444444444443E-3"/>
    <n v="1.9768518518518516E-3"/>
  </r>
  <r>
    <x v="148"/>
    <x v="0"/>
    <n v="0.15939722222222219"/>
    <n v="0.1393398015872222"/>
    <n v="6.6415509259259249E-4"/>
    <n v="5.8058250661342586E-4"/>
  </r>
  <r>
    <x v="148"/>
    <x v="1"/>
    <n v="0.15278611111111109"/>
    <n v="0.14185463888888891"/>
    <n v="6.3660879629629625E-4"/>
    <n v="5.9106099537037046E-4"/>
  </r>
  <r>
    <x v="148"/>
    <x v="2"/>
    <n v="0.3960252777777778"/>
    <n v="0.1490291005288889"/>
    <n v="1.650105324074074E-3"/>
    <n v="6.209545855370371E-4"/>
  </r>
  <r>
    <x v="148"/>
    <x v="3"/>
    <n v="0.16617777777777781"/>
    <n v="0.14738097222222221"/>
    <n v="6.9240740740740753E-4"/>
    <n v="6.1408738425925921E-4"/>
  </r>
  <r>
    <x v="148"/>
    <x v="4"/>
    <n v="0.15701027777777779"/>
    <n v="9.1612905982777784E-2"/>
    <n v="6.5420949074074079E-4"/>
    <n v="3.8172044159490745E-4"/>
  </r>
  <r>
    <x v="148"/>
    <x v="5"/>
    <n v="1.59236"/>
    <n v="0.2139118915341667"/>
    <n v="6.6348333333333329E-3"/>
    <n v="8.9129954805902787E-4"/>
  </r>
  <r>
    <x v="148"/>
    <x v="6"/>
    <n v="0.30955027777777783"/>
    <n v="0.1428335869563889"/>
    <n v="1.2897928240740743E-3"/>
    <n v="5.9513994565162044E-4"/>
  </r>
  <r>
    <x v="148"/>
    <x v="7"/>
    <n v="0.15983166666666671"/>
    <n v="0.14501427248666671"/>
    <n v="6.6596527777777791E-4"/>
    <n v="6.0422613536111134E-4"/>
  </r>
  <r>
    <x v="148"/>
    <x v="8"/>
    <n v="0.30755083333333327"/>
    <n v="0.1519900378786111"/>
    <n v="1.2814618055555554E-3"/>
    <n v="6.3329182449421283E-4"/>
  </r>
  <r>
    <x v="148"/>
    <x v="9"/>
    <n v="0.32222499999999998"/>
    <n v="0.15608547979777779"/>
    <n v="1.3426041666666666E-3"/>
    <n v="6.5035616582407414E-4"/>
  </r>
  <r>
    <x v="148"/>
    <x v="10"/>
    <n v="0.29265194444444442"/>
    <n v="0.15944087500000001"/>
    <n v="1.2193831018518517E-3"/>
    <n v="6.6433697916666676E-4"/>
  </r>
  <r>
    <x v="148"/>
    <x v="11"/>
    <n v="0.3347222222222222"/>
    <n v="0.13666666666666666"/>
    <n v="1.3946759259259259E-3"/>
    <n v="5.6944444444444436E-4"/>
  </r>
  <r>
    <x v="149"/>
    <x v="0"/>
    <n v="0.1671897222222222"/>
    <n v="0.10264041666666671"/>
    <n v="6.9662384259259243E-4"/>
    <n v="4.2766840277777795E-4"/>
  </r>
  <r>
    <x v="149"/>
    <x v="1"/>
    <n v="0.1667491666666667"/>
    <n v="9.0949930555555558E-2"/>
    <n v="6.947881944444446E-4"/>
    <n v="3.7895804398148147E-4"/>
  </r>
  <r>
    <x v="149"/>
    <x v="2"/>
    <n v="0.22187305555555559"/>
    <n v="0.11700147222222219"/>
    <n v="9.2447106481481493E-4"/>
    <n v="4.8750613425925911E-4"/>
  </r>
  <r>
    <x v="149"/>
    <x v="3"/>
    <n v="0.1942291666666667"/>
    <n v="0.1003440873013889"/>
    <n v="8.0928819444444462E-4"/>
    <n v="4.1810036375578707E-4"/>
  </r>
  <r>
    <x v="149"/>
    <x v="4"/>
    <n v="0.2626425"/>
    <n v="0.1021749603172222"/>
    <n v="1.09434375E-3"/>
    <n v="4.2572900132175918E-4"/>
  </r>
  <r>
    <x v="149"/>
    <x v="5"/>
    <n v="0.20426555555555559"/>
    <n v="0.12051217171694439"/>
    <n v="8.5110648148148166E-4"/>
    <n v="5.0213404882060164E-4"/>
  </r>
  <r>
    <x v="149"/>
    <x v="6"/>
    <n v="0.60338138888888893"/>
    <n v="0.1595093803416667"/>
    <n v="2.5140891203703705E-3"/>
    <n v="6.6462241809027791E-4"/>
  </r>
  <r>
    <x v="149"/>
    <x v="7"/>
    <n v="0.40241777777777782"/>
    <n v="0.19322938596472219"/>
    <n v="1.6767407407407408E-3"/>
    <n v="8.0512244151967588E-4"/>
  </r>
  <r>
    <x v="149"/>
    <x v="8"/>
    <n v="0.20580694444444439"/>
    <n v="0.1389592735041667"/>
    <n v="8.5752893518518502E-4"/>
    <n v="5.7899697293402796E-4"/>
  </r>
  <r>
    <x v="149"/>
    <x v="9"/>
    <n v="0.88986583333333336"/>
    <n v="0.20693245833333329"/>
    <n v="3.7077743055555557E-3"/>
    <n v="8.6221857638888865E-4"/>
  </r>
  <r>
    <x v="149"/>
    <x v="10"/>
    <n v="0.37710388888888891"/>
    <n v="0.15828713675194439"/>
    <n v="1.5712662037037038E-3"/>
    <n v="6.5952973646643499E-4"/>
  </r>
  <r>
    <x v="149"/>
    <x v="11"/>
    <n v="0.30805555555555558"/>
    <n v="0.12444444444444444"/>
    <n v="1.2835648148148149E-3"/>
    <n v="5.1851851851851853E-4"/>
  </r>
  <r>
    <x v="150"/>
    <x v="2"/>
    <n v="5.1089722222222217E-2"/>
    <n v="3.4998611111111112E-2"/>
    <n v="2.1287384259259255E-4"/>
    <n v="1.458275462962963E-4"/>
  </r>
  <r>
    <x v="150"/>
    <x v="3"/>
    <n v="0.28285444444444452"/>
    <n v="0.28285444444444452"/>
    <n v="1.1785601851851855E-3"/>
    <n v="1.1785601851851855E-3"/>
  </r>
  <r>
    <x v="150"/>
    <x v="4"/>
    <n v="3.2576388888888892"/>
    <n v="1.344773993055556"/>
    <n v="1.3573495370370371E-2"/>
    <n v="5.6032249710648166E-3"/>
  </r>
  <r>
    <x v="150"/>
    <x v="5"/>
    <n v="3.7326111111111109E-2"/>
    <n v="2.816444444444444E-2"/>
    <n v="1.5552546296296297E-4"/>
    <n v="1.1735185185185183E-4"/>
  </r>
  <r>
    <x v="150"/>
    <x v="11"/>
    <n v="0.72583333333333333"/>
    <n v="0.33833333333333332"/>
    <n v="3.0243055555555557E-3"/>
    <n v="1.4097222222222221E-3"/>
  </r>
  <r>
    <x v="151"/>
    <x v="2"/>
    <n v="0.35746333333333341"/>
    <n v="0.18057752136749999"/>
    <n v="1.4894305555555557E-3"/>
    <n v="7.5240633903124997E-4"/>
  </r>
  <r>
    <x v="151"/>
    <x v="3"/>
    <n v="0.35043083333333341"/>
    <n v="0.15696068055555559"/>
    <n v="1.4601284722222227E-3"/>
    <n v="6.5400283564814833E-4"/>
  </r>
  <r>
    <x v="151"/>
    <x v="4"/>
    <n v="0.19094083333333331"/>
    <n v="0.1270492638888889"/>
    <n v="7.9558680555555546E-4"/>
    <n v="5.2937193287037041E-4"/>
  </r>
  <r>
    <x v="151"/>
    <x v="5"/>
    <n v="0.18420555555555559"/>
    <n v="0.13528812500000001"/>
    <n v="7.6752314814814825E-4"/>
    <n v="5.6370052083333337E-4"/>
  </r>
  <r>
    <x v="151"/>
    <x v="6"/>
    <n v="0.1681766666666667"/>
    <n v="0.12578632850222221"/>
    <n v="7.0073611111111118E-4"/>
    <n v="5.2410970209259254E-4"/>
  </r>
  <r>
    <x v="151"/>
    <x v="7"/>
    <n v="0.26274750000000002"/>
    <n v="0.1344424867722222"/>
    <n v="1.0947812500000001E-3"/>
    <n v="5.6017702821759246E-4"/>
  </r>
  <r>
    <x v="151"/>
    <x v="8"/>
    <n v="0.50224250000000004"/>
    <n v="0.14410751543194439"/>
    <n v="2.0926770833333335E-3"/>
    <n v="6.0044798096643497E-4"/>
  </r>
  <r>
    <x v="151"/>
    <x v="9"/>
    <n v="1.1073433333333329"/>
    <n v="0.4609928373013889"/>
    <n v="4.6139305555555543E-3"/>
    <n v="1.9208034887557872E-3"/>
  </r>
  <r>
    <x v="151"/>
    <x v="10"/>
    <n v="0.39607305555555561"/>
    <n v="0.19578955555555561"/>
    <n v="1.6503043981481484E-3"/>
    <n v="8.1578981481481504E-4"/>
  </r>
  <r>
    <x v="151"/>
    <x v="11"/>
    <n v="0.35222222222222221"/>
    <n v="0.16611111111111113"/>
    <n v="1.4675925925925926E-3"/>
    <n v="6.9212962962962967E-4"/>
  </r>
  <r>
    <x v="152"/>
    <x v="0"/>
    <n v="1.7120236111111109"/>
    <n v="1.616963989898889"/>
    <n v="7.1334317129629621E-3"/>
    <n v="6.737349957912038E-3"/>
  </r>
  <r>
    <x v="152"/>
    <x v="1"/>
    <n v="1.6644833333333331"/>
    <n v="1.081405138888889"/>
    <n v="6.9353472222222212E-3"/>
    <n v="4.5058547453703706E-3"/>
  </r>
  <r>
    <x v="152"/>
    <x v="11"/>
    <n v="1.1255555555555554"/>
    <n v="0.8997222222222222"/>
    <n v="4.6898148148148142E-3"/>
    <n v="3.7488425925925922E-3"/>
  </r>
  <r>
    <x v="153"/>
    <x v="9"/>
    <n v="1.064345277777778"/>
    <n v="0.48071625000000001"/>
    <n v="4.4347719907407417E-3"/>
    <n v="2.002984375E-3"/>
  </r>
  <r>
    <x v="153"/>
    <x v="10"/>
    <n v="2.0008238888888892"/>
    <n v="0.65403500000000003"/>
    <n v="8.3367662037037039E-3"/>
    <n v="2.7251458333333333E-3"/>
  </r>
  <r>
    <x v="153"/>
    <x v="11"/>
    <n v="1.0219444444444445"/>
    <n v="0.3783333333333333"/>
    <n v="4.2581018518518523E-3"/>
    <n v="1.5763888888888887E-3"/>
  </r>
  <r>
    <x v="154"/>
    <x v="2"/>
    <n v="2.9507222222222219E-2"/>
    <n v="2.1250000000000002E-2"/>
    <n v="1.2294675925925925E-4"/>
    <n v="8.8541666666666673E-5"/>
  </r>
  <r>
    <x v="154"/>
    <x v="3"/>
    <n v="0.31088777777777782"/>
    <n v="0.31088777777777782"/>
    <n v="1.2953657407407408E-3"/>
    <n v="1.2953657407407408E-3"/>
  </r>
  <r>
    <x v="154"/>
    <x v="4"/>
    <n v="2.3113388888888888"/>
    <n v="0.86110263888888894"/>
    <n v="9.6305787037037037E-3"/>
    <n v="3.5879276620370375E-3"/>
  </r>
  <r>
    <x v="154"/>
    <x v="5"/>
    <n v="2.537611111111111E-2"/>
    <n v="2.4648750000000001E-2"/>
    <n v="1.057337962962963E-4"/>
    <n v="1.02703125E-4"/>
  </r>
  <r>
    <x v="154"/>
    <x v="11"/>
    <n v="0.53555555555555556"/>
    <n v="0.24361111111111111"/>
    <n v="2.2314814814814814E-3"/>
    <n v="1.0150462962962962E-3"/>
  </r>
  <r>
    <x v="155"/>
    <x v="0"/>
    <n v="1.199146111111111"/>
    <n v="0.40528769841250001"/>
    <n v="4.9964421296296293E-3"/>
    <n v="1.6886987433854166E-3"/>
  </r>
  <r>
    <x v="155"/>
    <x v="1"/>
    <n v="1.3853500000000001"/>
    <n v="0.85759444444444444"/>
    <n v="5.7722916666666678E-3"/>
    <n v="3.573310185185185E-3"/>
  </r>
  <r>
    <x v="155"/>
    <x v="11"/>
    <n v="0.86166666666666669"/>
    <n v="0.4211111111111111"/>
    <n v="3.5902777777777777E-3"/>
    <n v="1.7546296296296296E-3"/>
  </r>
  <r>
    <x v="156"/>
    <x v="0"/>
    <n v="0.76061749999999995"/>
    <n v="0.76061749999999995"/>
    <n v="3.1692395833333334E-3"/>
    <n v="3.1692395833333334E-3"/>
  </r>
  <r>
    <x v="156"/>
    <x v="1"/>
    <n v="0.27143972222222218"/>
    <n v="0.27143972222222218"/>
    <n v="1.1309988425925925E-3"/>
    <n v="1.1309988425925925E-3"/>
  </r>
  <r>
    <x v="156"/>
    <x v="2"/>
    <n v="0.16262055555555549"/>
    <n v="0.16262055555555549"/>
    <n v="6.7758564814814797E-4"/>
    <n v="6.7758564814814797E-4"/>
  </r>
  <r>
    <x v="156"/>
    <x v="3"/>
    <n v="0.1152916666666667"/>
    <n v="0.1152916666666667"/>
    <n v="4.8038194444444457E-4"/>
    <n v="4.8038194444444457E-4"/>
  </r>
  <r>
    <x v="156"/>
    <x v="4"/>
    <n v="0.18765194444444441"/>
    <n v="0.11981166666666671"/>
    <n v="7.8188310185185175E-4"/>
    <n v="4.99215277777778E-4"/>
  </r>
  <r>
    <x v="156"/>
    <x v="5"/>
    <n v="0.1546241666666667"/>
    <n v="0.1546241666666667"/>
    <n v="6.4426736111111119E-4"/>
    <n v="6.4426736111111119E-4"/>
  </r>
  <r>
    <x v="156"/>
    <x v="6"/>
    <n v="0.13196944444444439"/>
    <n v="0.13196944444444439"/>
    <n v="5.4987268518518493E-4"/>
    <n v="5.4987268518518493E-4"/>
  </r>
  <r>
    <x v="156"/>
    <x v="7"/>
    <n v="0.25225944444444443"/>
    <n v="0.18231666666666671"/>
    <n v="1.0510810185185185E-3"/>
    <n v="7.5965277777777793E-4"/>
  </r>
  <r>
    <x v="156"/>
    <x v="8"/>
    <n v="0.1630861111111111"/>
    <n v="0.1630861111111111"/>
    <n v="6.7952546296296294E-4"/>
    <n v="6.7952546296296294E-4"/>
  </r>
  <r>
    <x v="156"/>
    <x v="9"/>
    <n v="0.1205972222222222"/>
    <n v="0.1205972222222222"/>
    <n v="5.0248842592592587E-4"/>
    <n v="5.0248842592592587E-4"/>
  </r>
  <r>
    <x v="156"/>
    <x v="10"/>
    <n v="0.2463572222222222"/>
    <n v="0.2463572222222222"/>
    <n v="1.0264884259259257E-3"/>
    <n v="1.0264884259259257E-3"/>
  </r>
  <r>
    <x v="156"/>
    <x v="11"/>
    <n v="0.21388888888888891"/>
    <n v="0.20250000000000001"/>
    <n v="8.9120370370370384E-4"/>
    <n v="8.4374999999999999E-4"/>
  </r>
  <r>
    <x v="157"/>
    <x v="0"/>
    <n v="6.3791944444444443E-2"/>
    <n v="4.5732916666666658E-2"/>
    <n v="2.6579976851851851E-4"/>
    <n v="1.9055381944444439E-4"/>
  </r>
  <r>
    <x v="157"/>
    <x v="1"/>
    <n v="0.24172638888888889"/>
    <n v="0.11652712962944441"/>
    <n v="1.0071932870370371E-3"/>
    <n v="4.8552970678935166E-4"/>
  </r>
  <r>
    <x v="157"/>
    <x v="2"/>
    <n v="0.84576722222222223"/>
    <n v="0.26501956349194439"/>
    <n v="3.5240300925925925E-3"/>
    <n v="1.1042481812164348E-3"/>
  </r>
  <r>
    <x v="157"/>
    <x v="3"/>
    <n v="9.6581388888888883E-2"/>
    <n v="7.925083333333334E-2"/>
    <n v="4.0242245370370367E-4"/>
    <n v="3.302118055555556E-4"/>
  </r>
  <r>
    <x v="157"/>
    <x v="4"/>
    <n v="0.2242247222222222"/>
    <n v="8.6706076388888886E-2"/>
    <n v="9.3426967592592574E-4"/>
    <n v="3.6127531828703701E-4"/>
  </r>
  <r>
    <x v="157"/>
    <x v="5"/>
    <n v="9.3396944444444449E-2"/>
    <n v="4.3323368055555547E-2"/>
    <n v="3.8915393518518525E-4"/>
    <n v="1.8051403356481477E-4"/>
  </r>
  <r>
    <x v="157"/>
    <x v="6"/>
    <n v="5.7884444444444447E-2"/>
    <n v="4.4577499999999999E-2"/>
    <n v="2.4118518518518521E-4"/>
    <n v="1.8573958333333333E-4"/>
  </r>
  <r>
    <x v="157"/>
    <x v="7"/>
    <n v="5.7124166666666663E-2"/>
    <n v="4.9979583333333327E-2"/>
    <n v="2.3801736111111107E-4"/>
    <n v="2.0824826388888887E-4"/>
  </r>
  <r>
    <x v="157"/>
    <x v="8"/>
    <n v="0.25770916666666671"/>
    <n v="0.1181926190475"/>
    <n v="1.0737881944444447E-3"/>
    <n v="4.9246924603125E-4"/>
  </r>
  <r>
    <x v="157"/>
    <x v="9"/>
    <n v="0.18256555555555559"/>
    <n v="8.9259236111111112E-2"/>
    <n v="7.6068981481481506E-4"/>
    <n v="3.7191348379629635E-4"/>
  </r>
  <r>
    <x v="157"/>
    <x v="10"/>
    <n v="2.5212222222222219E-2"/>
    <n v="2.5212222222222219E-2"/>
    <n v="1.0505092592592592E-4"/>
    <n v="1.0505092592592592E-4"/>
  </r>
  <r>
    <x v="157"/>
    <x v="11"/>
    <n v="0.17888888888888888"/>
    <n v="8.0555555555555547E-2"/>
    <n v="7.4537037037037031E-4"/>
    <n v="3.3564814814814812E-4"/>
  </r>
  <r>
    <x v="158"/>
    <x v="0"/>
    <n v="1.635076944444444"/>
    <n v="0.50562119444444442"/>
    <n v="6.8128206018518503E-3"/>
    <n v="2.1067549768518518E-3"/>
  </r>
  <r>
    <x v="158"/>
    <x v="1"/>
    <n v="0.18351944444444451"/>
    <n v="9.5632736111111116E-2"/>
    <n v="7.646643518518522E-4"/>
    <n v="3.9846973379629633E-4"/>
  </r>
  <r>
    <x v="158"/>
    <x v="2"/>
    <n v="0.18592027777777781"/>
    <n v="0.1063766975308333"/>
    <n v="7.7466782407407421E-4"/>
    <n v="4.4323623971180543E-4"/>
  </r>
  <r>
    <x v="158"/>
    <x v="11"/>
    <n v="0.50138888888888888"/>
    <n v="0.17694444444444446"/>
    <n v="2.0891203703703701E-3"/>
    <n v="7.3726851851851861E-4"/>
  </r>
  <r>
    <x v="159"/>
    <x v="0"/>
    <n v="5.5781666666666667E-2"/>
    <n v="4.8143017676666663E-2"/>
    <n v="2.3242361111111112E-4"/>
    <n v="2.0059590698611111E-4"/>
  </r>
  <r>
    <x v="159"/>
    <x v="1"/>
    <n v="5.076777777777778E-2"/>
    <n v="4.6546999999999998E-2"/>
    <n v="2.1153240740740743E-4"/>
    <n v="1.939458333333333E-4"/>
  </r>
  <r>
    <x v="159"/>
    <x v="2"/>
    <n v="0.14287111111111109"/>
    <n v="5.3020753968055563E-2"/>
    <n v="5.9529629629629613E-4"/>
    <n v="2.2091980820023151E-4"/>
  </r>
  <r>
    <x v="159"/>
    <x v="3"/>
    <n v="0.633525"/>
    <n v="0.11938975"/>
    <n v="2.6396875000000001E-3"/>
    <n v="4.9745729166666671E-4"/>
  </r>
  <r>
    <x v="159"/>
    <x v="4"/>
    <n v="6.6417500000000004E-2"/>
    <n v="6.0738055555555559E-2"/>
    <n v="2.7673958333333332E-4"/>
    <n v="2.5307523148148151E-4"/>
  </r>
  <r>
    <x v="159"/>
    <x v="5"/>
    <n v="0.12655111111111109"/>
    <n v="6.5669695766944439E-2"/>
    <n v="5.2729629629629622E-4"/>
    <n v="2.7362373236226851E-4"/>
  </r>
  <r>
    <x v="159"/>
    <x v="6"/>
    <n v="7.208055555555555E-2"/>
    <n v="5.8646521738888888E-2"/>
    <n v="3.0033564814814815E-4"/>
    <n v="2.4436050724537038E-4"/>
  </r>
  <r>
    <x v="159"/>
    <x v="7"/>
    <n v="0.29499555555555562"/>
    <n v="9.9750582010555561E-2"/>
    <n v="1.2291481481481485E-3"/>
    <n v="4.1562742504398152E-4"/>
  </r>
  <r>
    <x v="159"/>
    <x v="8"/>
    <n v="0.17756388888888891"/>
    <n v="9.4230416666666664E-2"/>
    <n v="7.3984953703703712E-4"/>
    <n v="3.9262673611111112E-4"/>
  </r>
  <r>
    <x v="159"/>
    <x v="9"/>
    <n v="0.10154638888888889"/>
    <n v="9.1138409090833331E-2"/>
    <n v="4.2310995370370376E-4"/>
    <n v="3.7974337121180553E-4"/>
  </r>
  <r>
    <x v="159"/>
    <x v="10"/>
    <n v="0.1016122222222222"/>
    <n v="9.4112361111111112E-2"/>
    <n v="4.233842592592592E-4"/>
    <n v="3.92134837962963E-4"/>
  </r>
  <r>
    <x v="159"/>
    <x v="11"/>
    <n v="0.1522222222222222"/>
    <n v="6.9444444444444448E-2"/>
    <n v="6.3425925925925922E-4"/>
    <n v="2.8935185185185189E-4"/>
  </r>
  <r>
    <x v="160"/>
    <x v="0"/>
    <n v="0.22896583333333331"/>
    <n v="4.764379629611111E-2"/>
    <n v="9.5402430555555551E-4"/>
    <n v="1.9851581790046295E-4"/>
  </r>
  <r>
    <x v="160"/>
    <x v="1"/>
    <n v="6.5795833333333331E-2"/>
    <n v="2.0882347222222219E-2"/>
    <n v="2.7414930555555553E-4"/>
    <n v="8.7009780092592567E-5"/>
  </r>
  <r>
    <x v="160"/>
    <x v="2"/>
    <n v="0.19532861111111111"/>
    <n v="4.4654656084444452E-2"/>
    <n v="8.1386921296296296E-4"/>
    <n v="1.8606106701851854E-4"/>
  </r>
  <r>
    <x v="160"/>
    <x v="3"/>
    <n v="4.6613055555555553E-2"/>
    <n v="1.926645833333333E-2"/>
    <n v="1.9422106481481482E-4"/>
    <n v="8.0276909722222211E-5"/>
  </r>
  <r>
    <x v="160"/>
    <x v="4"/>
    <n v="6.2819166666666662E-2"/>
    <n v="2.054954248361111E-2"/>
    <n v="2.6174652777777779E-4"/>
    <n v="8.5623093681712957E-5"/>
  </r>
  <r>
    <x v="160"/>
    <x v="5"/>
    <n v="0.1653613888888889"/>
    <n v="4.8899193121666663E-2"/>
    <n v="6.8900578703703713E-4"/>
    <n v="2.0374663800694443E-4"/>
  </r>
  <r>
    <x v="160"/>
    <x v="6"/>
    <n v="0.17413305555555561"/>
    <n v="2.577055555555556E-2"/>
    <n v="7.2555439814814835E-4"/>
    <n v="1.0737731481481483E-4"/>
  </r>
  <r>
    <x v="160"/>
    <x v="7"/>
    <n v="0.12358861111111109"/>
    <n v="4.1731153846111112E-2"/>
    <n v="5.1495254629629623E-4"/>
    <n v="1.7387980769212962E-4"/>
  </r>
  <r>
    <x v="160"/>
    <x v="8"/>
    <n v="0.16204111111111111"/>
    <n v="3.5082543859444447E-2"/>
    <n v="6.7517129629629622E-4"/>
    <n v="1.4617726608101851E-4"/>
  </r>
  <r>
    <x v="160"/>
    <x v="9"/>
    <n v="0.2103177777777778"/>
    <n v="2.982984848472222E-2"/>
    <n v="8.7632407407407418E-4"/>
    <n v="1.2429103535300924E-4"/>
  </r>
  <r>
    <x v="160"/>
    <x v="10"/>
    <n v="3.4388333333333333E-2"/>
    <n v="1.46250396825E-2"/>
    <n v="1.4328472222222222E-4"/>
    <n v="6.0937665343750007E-5"/>
  </r>
  <r>
    <x v="160"/>
    <x v="11"/>
    <n v="0.1225"/>
    <n v="2.9166666666666667E-2"/>
    <n v="5.1041666666666672E-4"/>
    <n v="1.2152777777777779E-4"/>
  </r>
  <r>
    <x v="161"/>
    <x v="0"/>
    <n v="0.1173563888888889"/>
    <n v="9.3593813131111106E-2"/>
    <n v="4.8898495370370372E-4"/>
    <n v="3.899742213796296E-4"/>
  </r>
  <r>
    <x v="161"/>
    <x v="1"/>
    <n v="0.1161972222222222"/>
    <n v="8.6326597222222218E-2"/>
    <n v="4.841550925925925E-4"/>
    <n v="3.5969415509259261E-4"/>
  </r>
  <r>
    <x v="161"/>
    <x v="2"/>
    <n v="0.11936472222222221"/>
    <n v="8.5611322751111107E-2"/>
    <n v="4.9735300925925912E-4"/>
    <n v="3.5671384479629627E-4"/>
  </r>
  <r>
    <x v="161"/>
    <x v="3"/>
    <n v="0.1526352777777778"/>
    <n v="9.1018402777777771E-2"/>
    <n v="6.3598032407407418E-4"/>
    <n v="3.7924334490740735E-4"/>
  </r>
  <r>
    <x v="161"/>
    <x v="4"/>
    <n v="0.12793055555555549"/>
    <n v="8.8648597222222222E-2"/>
    <n v="5.3304398148148124E-4"/>
    <n v="3.6936915509259261E-4"/>
  </r>
  <r>
    <x v="161"/>
    <x v="5"/>
    <n v="0.1053408333333333"/>
    <n v="7.7951333333333331E-2"/>
    <n v="4.389201388888887E-4"/>
    <n v="3.2479722222222222E-4"/>
  </r>
  <r>
    <x v="161"/>
    <x v="6"/>
    <n v="0.10247333333333331"/>
    <n v="7.4264456521666661E-2"/>
    <n v="4.2697222222222209E-4"/>
    <n v="3.0943523550694445E-4"/>
  </r>
  <r>
    <x v="161"/>
    <x v="7"/>
    <n v="0.1477158333333333"/>
    <n v="9.1819484126944448E-2"/>
    <n v="6.1548263888888872E-4"/>
    <n v="3.8258118386226857E-4"/>
  </r>
  <r>
    <x v="161"/>
    <x v="8"/>
    <n v="0.14611583333333331"/>
    <n v="0.1015070075755556"/>
    <n v="6.0881597222222207E-4"/>
    <n v="4.2294586489814836E-4"/>
  </r>
  <r>
    <x v="161"/>
    <x v="9"/>
    <n v="0.1565925"/>
    <n v="0.1128392171716667"/>
    <n v="6.5246874999999995E-4"/>
    <n v="4.701634048819446E-4"/>
  </r>
  <r>
    <x v="161"/>
    <x v="10"/>
    <n v="0.1446047222222222"/>
    <n v="0.11553470833333331"/>
    <n v="6.0251967592592584E-4"/>
    <n v="4.8139461805555547E-4"/>
  </r>
  <r>
    <x v="161"/>
    <x v="11"/>
    <n v="0.11972222222222223"/>
    <n v="8.4999999999999992E-2"/>
    <n v="4.9884259259259261E-4"/>
    <n v="3.5416666666666664E-4"/>
  </r>
  <r>
    <x v="162"/>
    <x v="8"/>
    <n v="1.3308074999999999"/>
    <n v="0.44943861111111111"/>
    <n v="5.5450312499999996E-3"/>
    <n v="1.8726608796296295E-3"/>
  </r>
  <r>
    <x v="162"/>
    <x v="11"/>
    <n v="0.66555555555555546"/>
    <n v="0.22472222222222221"/>
    <n v="2.7731481481481478E-3"/>
    <n v="9.3634259259259246E-4"/>
  </r>
  <r>
    <x v="163"/>
    <x v="0"/>
    <n v="0.11651833333333329"/>
    <n v="8.6805347222222218E-2"/>
    <n v="4.8549305555555542E-4"/>
    <n v="3.6168894675925924E-4"/>
  </r>
  <r>
    <x v="163"/>
    <x v="1"/>
    <n v="9.6663055555555558E-2"/>
    <n v="8.5739097222222227E-2"/>
    <n v="4.0276273148148154E-4"/>
    <n v="3.5724623842592595E-4"/>
  </r>
  <r>
    <x v="163"/>
    <x v="2"/>
    <n v="0.1153083333333333"/>
    <n v="9.4635648148055557E-2"/>
    <n v="4.8045138888888877E-4"/>
    <n v="3.9431520061689816E-4"/>
  </r>
  <r>
    <x v="163"/>
    <x v="3"/>
    <n v="8.0891666666666667E-2"/>
    <n v="7.8874351851666663E-2"/>
    <n v="3.370486111111111E-4"/>
    <n v="3.2864313271527778E-4"/>
  </r>
  <r>
    <x v="163"/>
    <x v="4"/>
    <n v="0.1160361111111111"/>
    <n v="9.492520833333333E-2"/>
    <n v="4.8348379629629625E-4"/>
    <n v="3.9552170138888889E-4"/>
  </r>
  <r>
    <x v="163"/>
    <x v="5"/>
    <n v="9.1393611111111106E-2"/>
    <n v="8.9487777777777777E-2"/>
    <n v="3.8080671296296295E-4"/>
    <n v="3.7286574074074072E-4"/>
  </r>
  <r>
    <x v="163"/>
    <x v="6"/>
    <n v="9.9508333333333338E-2"/>
    <n v="9.1248194444444444E-2"/>
    <n v="4.1461805555555561E-4"/>
    <n v="3.8020081018518519E-4"/>
  </r>
  <r>
    <x v="163"/>
    <x v="7"/>
    <n v="9.3095277777777777E-2"/>
    <n v="8.6136319444444442E-2"/>
    <n v="3.8789699074074074E-4"/>
    <n v="3.5890133101851854E-4"/>
  </r>
  <r>
    <x v="163"/>
    <x v="8"/>
    <n v="0.15937416666666671"/>
    <n v="9.7870092592499999E-2"/>
    <n v="6.6405902777777785E-4"/>
    <n v="4.0779205246874997E-4"/>
  </r>
  <r>
    <x v="163"/>
    <x v="9"/>
    <n v="9.1821111111111117E-2"/>
    <n v="8.7192638888888882E-2"/>
    <n v="3.8258796296296299E-4"/>
    <n v="3.6330266203703698E-4"/>
  </r>
  <r>
    <x v="163"/>
    <x v="10"/>
    <n v="0.1052027777777778"/>
    <n v="9.9713263888888889E-2"/>
    <n v="4.3834490740740748E-4"/>
    <n v="4.1547193287037035E-4"/>
  </r>
  <r>
    <x v="163"/>
    <x v="11"/>
    <n v="9.7222222222222224E-2"/>
    <n v="8.2777777777777783E-2"/>
    <n v="4.0509259259259258E-4"/>
    <n v="3.4490740740740743E-4"/>
  </r>
  <r>
    <x v="164"/>
    <x v="1"/>
    <n v="0.66666666666666663"/>
    <n v="0.66666666666666663"/>
    <n v="2.7777777777777779E-3"/>
    <n v="2.7777777777777779E-3"/>
  </r>
  <r>
    <x v="164"/>
    <x v="2"/>
    <n v="0.24359527777777781"/>
    <n v="0.24359527777777781"/>
    <n v="1.0149803240740742E-3"/>
    <n v="1.0149803240740742E-3"/>
  </r>
  <r>
    <x v="164"/>
    <x v="11"/>
    <n v="0.30361111111111111"/>
    <n v="0.30361111111111111"/>
    <n v="1.2650462962962962E-3"/>
    <n v="1.2650462962962962E-3"/>
  </r>
  <r>
    <x v="165"/>
    <x v="4"/>
    <n v="0.19035722222222221"/>
    <n v="0.19035722222222221"/>
    <n v="7.9315509259259259E-4"/>
    <n v="7.9315509259259259E-4"/>
  </r>
  <r>
    <x v="165"/>
    <x v="5"/>
    <n v="0.18830194444444451"/>
    <n v="0.10161398148138889"/>
    <n v="7.8459143518518548E-4"/>
    <n v="4.2339158950578703E-4"/>
  </r>
  <r>
    <x v="165"/>
    <x v="6"/>
    <n v="0.26523777777777779"/>
    <n v="0.18477287037027779"/>
    <n v="1.1051574074074073E-3"/>
    <n v="7.6988695987615741E-4"/>
  </r>
  <r>
    <x v="165"/>
    <x v="9"/>
    <n v="5.0209166666666673E-2"/>
    <n v="5.0209166666666673E-2"/>
    <n v="2.0920486111111115E-4"/>
    <n v="2.0920486111111115E-4"/>
  </r>
  <r>
    <x v="165"/>
    <x v="11"/>
    <n v="0.1388888888888889"/>
    <n v="0.10555555555555556"/>
    <n v="5.7870370370370378E-4"/>
    <n v="4.3981481481481481E-4"/>
  </r>
  <r>
    <x v="166"/>
    <x v="2"/>
    <n v="2.0771388888888891E-2"/>
    <n v="2.0771388888888891E-2"/>
    <n v="8.6547453703703713E-5"/>
    <n v="8.6547453703703713E-5"/>
  </r>
  <r>
    <x v="166"/>
    <x v="4"/>
    <n v="0.62724083333333336"/>
    <n v="0.20725058641972219"/>
    <n v="2.6135034722222224E-3"/>
    <n v="8.6354411008217585E-4"/>
  </r>
  <r>
    <x v="166"/>
    <x v="5"/>
    <n v="1.3662777777777781E-2"/>
    <n v="1.100675925916667E-2"/>
    <n v="5.6928240740740752E-5"/>
    <n v="4.5861496913194464E-5"/>
  </r>
  <r>
    <x v="166"/>
    <x v="11"/>
    <n v="0.16555555555555557"/>
    <n v="6.0000000000000005E-2"/>
    <n v="6.8981481481481487E-4"/>
    <n v="2.5000000000000001E-4"/>
  </r>
  <r>
    <x v="167"/>
    <x v="2"/>
    <n v="3.4293055555555563E-2"/>
    <n v="2.0710648148055559E-2"/>
    <n v="1.428877314814815E-4"/>
    <n v="8.6294367283564833E-5"/>
  </r>
  <r>
    <x v="167"/>
    <x v="3"/>
    <n v="4.0491666666666671E-3"/>
    <n v="4.0491666666666671E-3"/>
    <n v="1.6871527777777778E-5"/>
    <n v="1.6871527777777778E-5"/>
  </r>
  <r>
    <x v="167"/>
    <x v="4"/>
    <n v="0.32645138888888892"/>
    <n v="4.6611820987499997E-2"/>
    <n v="1.3602141203703704E-3"/>
    <n v="1.9421592078124996E-4"/>
  </r>
  <r>
    <x v="167"/>
    <x v="5"/>
    <n v="1.7645277777777781E-2"/>
    <n v="8.778222222222222E-3"/>
    <n v="7.3521990740740752E-5"/>
    <n v="3.6575925925925926E-5"/>
  </r>
  <r>
    <x v="167"/>
    <x v="6"/>
    <n v="9.1208333333333336E-2"/>
    <n v="2.5067314814722221E-2"/>
    <n v="3.800347222222222E-4"/>
    <n v="1.0444714506134259E-4"/>
  </r>
  <r>
    <x v="167"/>
    <x v="7"/>
    <n v="2.733194444444444E-2"/>
    <n v="1.169830065333333E-2"/>
    <n v="1.1388310185185183E-4"/>
    <n v="4.8742919388888882E-5"/>
  </r>
  <r>
    <x v="167"/>
    <x v="8"/>
    <n v="3.2440833333333342E-2"/>
    <n v="1.130222222222222E-2"/>
    <n v="1.3517013888888891E-4"/>
    <n v="4.7092592592592587E-5"/>
  </r>
  <r>
    <x v="167"/>
    <x v="9"/>
    <n v="6.0498333333333328E-2"/>
    <n v="1.8544236111111109E-2"/>
    <n v="2.5207638888888887E-4"/>
    <n v="7.7267650462962956E-5"/>
  </r>
  <r>
    <x v="167"/>
    <x v="10"/>
    <n v="3.321972222222222E-2"/>
    <n v="1.378608585833333E-2"/>
    <n v="1.3841550925925924E-4"/>
    <n v="5.7442024409722206E-5"/>
  </r>
  <r>
    <x v="167"/>
    <x v="11"/>
    <n v="6.277777777777778E-2"/>
    <n v="1.6111111111111111E-2"/>
    <n v="2.6157407407407406E-4"/>
    <n v="6.712962962962963E-5"/>
  </r>
  <r>
    <x v="168"/>
    <x v="1"/>
    <n v="5.3490833333333328E-2"/>
    <n v="5.3490833333333328E-2"/>
    <n v="2.2287847222222218E-4"/>
    <n v="2.2287847222222218E-4"/>
  </r>
  <r>
    <x v="168"/>
    <x v="5"/>
    <n v="0.27269055555555549"/>
    <n v="8.0800119047499994E-2"/>
    <n v="1.1362106481481479E-3"/>
    <n v="3.3666716269791663E-4"/>
  </r>
  <r>
    <x v="168"/>
    <x v="6"/>
    <n v="9.755277777777778E-2"/>
    <n v="5.1997023809444452E-2"/>
    <n v="4.0646990740740742E-4"/>
    <n v="2.1665426587268521E-4"/>
  </r>
  <r>
    <x v="168"/>
    <x v="7"/>
    <n v="9.1253888888888884E-2"/>
    <n v="5.1058125000000003E-2"/>
    <n v="3.8022453703703699E-4"/>
    <n v="2.1274218750000001E-4"/>
  </r>
  <r>
    <x v="168"/>
    <x v="8"/>
    <n v="4.9686388888888891E-2"/>
    <n v="3.2913055555555563E-2"/>
    <n v="2.0702662037037036E-4"/>
    <n v="1.3713773148148152E-4"/>
  </r>
  <r>
    <x v="168"/>
    <x v="9"/>
    <n v="1.6250000000000001E-2"/>
    <n v="1.545E-2"/>
    <n v="6.7708333333333344E-5"/>
    <n v="6.4374999999999993E-5"/>
  </r>
  <r>
    <x v="168"/>
    <x v="11"/>
    <n v="8.3055555555555563E-2"/>
    <n v="4.083333333333334E-2"/>
    <n v="3.4606481481481484E-4"/>
    <n v="1.7013888888888892E-4"/>
  </r>
  <r>
    <x v="169"/>
    <x v="1"/>
    <n v="1.6146111111111111E-2"/>
    <n v="1.6146111111111111E-2"/>
    <n v="6.7275462962962965E-5"/>
    <n v="6.7275462962962965E-5"/>
  </r>
  <r>
    <x v="169"/>
    <x v="2"/>
    <n v="2.3474999999999999E-2"/>
    <n v="2.3474999999999999E-2"/>
    <n v="9.7812499999999986E-5"/>
    <n v="9.7812499999999986E-5"/>
  </r>
  <r>
    <x v="169"/>
    <x v="4"/>
    <n v="8.9194444444444451E-3"/>
    <n v="8.9194444444444451E-3"/>
    <n v="3.7164351851851859E-5"/>
    <n v="3.7164351851851859E-5"/>
  </r>
  <r>
    <x v="169"/>
    <x v="6"/>
    <n v="7.417555555555555E-2"/>
    <n v="7.417555555555555E-2"/>
    <n v="3.090648148148148E-4"/>
    <n v="3.090648148148148E-4"/>
  </r>
  <r>
    <x v="169"/>
    <x v="7"/>
    <n v="0.37878916666666668"/>
    <n v="0.13905101851833329"/>
    <n v="1.5782881944444444E-3"/>
    <n v="5.7937924382638875E-4"/>
  </r>
  <r>
    <x v="169"/>
    <x v="9"/>
    <n v="8.2436111111111113E-3"/>
    <n v="8.2436111111111113E-3"/>
    <n v="3.4348379629629629E-5"/>
    <n v="3.4348379629629629E-5"/>
  </r>
  <r>
    <x v="169"/>
    <x v="11"/>
    <n v="7.3055555555555568E-2"/>
    <n v="3.8611111111111117E-2"/>
    <n v="3.043981481481482E-4"/>
    <n v="1.6087962962962966E-4"/>
  </r>
  <r>
    <x v="170"/>
    <x v="0"/>
    <n v="0.50472499999999998"/>
    <n v="0.50472499999999998"/>
    <n v="2.103020833333333E-3"/>
    <n v="2.103020833333333E-3"/>
  </r>
  <r>
    <x v="170"/>
    <x v="11"/>
    <n v="0.2525"/>
    <n v="0.2525"/>
    <n v="1.0520833333333335E-3"/>
    <n v="1.0520833333333335E-3"/>
  </r>
  <r>
    <x v="171"/>
    <x v="2"/>
    <n v="0.10538166666666671"/>
    <n v="0.10538166666666671"/>
    <n v="4.3909027777777799E-4"/>
    <n v="4.3909027777777799E-4"/>
  </r>
  <r>
    <x v="171"/>
    <x v="3"/>
    <n v="0.32221722222222221"/>
    <n v="0.16353736111111111"/>
    <n v="1.3425717592592593E-3"/>
    <n v="6.8140567129629627E-4"/>
  </r>
  <r>
    <x v="171"/>
    <x v="8"/>
    <n v="1.9375833333333332E-2"/>
    <n v="1.9375833333333332E-2"/>
    <n v="8.0732638888888881E-5"/>
    <n v="8.0732638888888881E-5"/>
  </r>
  <r>
    <x v="171"/>
    <x v="10"/>
    <n v="5.2555555555555558E-3"/>
    <n v="5.2555555555555558E-3"/>
    <n v="2.189814814814815E-5"/>
    <n v="2.189814814814815E-5"/>
  </r>
  <r>
    <x v="171"/>
    <x v="11"/>
    <n v="9.0555555555555556E-2"/>
    <n v="5.8888888888888886E-2"/>
    <n v="3.7731481481481486E-4"/>
    <n v="2.4537037037037035E-4"/>
  </r>
  <r>
    <x v="172"/>
    <x v="10"/>
    <n v="0.3883213888888889"/>
    <n v="0.23715194444444451"/>
    <n v="1.6180057870370369E-3"/>
    <n v="9.8813310185185224E-4"/>
  </r>
  <r>
    <x v="172"/>
    <x v="11"/>
    <n v="0.19416666666666668"/>
    <n v="0.1186111111111111"/>
    <n v="8.0902777777777787E-4"/>
    <n v="4.942129629629629E-4"/>
  </r>
  <r>
    <x v="173"/>
    <x v="6"/>
    <n v="0.2438663888888889"/>
    <n v="0.1497679166666667"/>
    <n v="1.0161099537037037E-3"/>
    <n v="6.2403298611111123E-4"/>
  </r>
  <r>
    <x v="173"/>
    <x v="7"/>
    <n v="0.1069258333333333"/>
    <n v="7.8895000000000007E-2"/>
    <n v="4.455243055555554E-4"/>
    <n v="3.2872916666666668E-4"/>
  </r>
  <r>
    <x v="173"/>
    <x v="10"/>
    <n v="3.2676666666666673E-2"/>
    <n v="3.2676666666666673E-2"/>
    <n v="1.3615277777777782E-4"/>
    <n v="1.3615277777777782E-4"/>
  </r>
  <r>
    <x v="173"/>
    <x v="11"/>
    <n v="9.6111111111111105E-2"/>
    <n v="6.5555555555555547E-2"/>
    <n v="4.0046296296296293E-4"/>
    <n v="2.7314814814814812E-4"/>
  </r>
  <r>
    <x v="174"/>
    <x v="9"/>
    <n v="0.33721861111111112"/>
    <n v="0.2050922222222222"/>
    <n v="1.4050775462962964E-3"/>
    <n v="8.5455092592592581E-4"/>
  </r>
  <r>
    <x v="174"/>
    <x v="11"/>
    <n v="0.16861111111111113"/>
    <n v="0.10277777777777779"/>
    <n v="7.0254629629629627E-4"/>
    <n v="4.2824074074074075E-4"/>
  </r>
  <r>
    <x v="175"/>
    <x v="0"/>
    <n v="2.3507222222222221E-2"/>
    <n v="1.5836982323055551E-2"/>
    <n v="9.7946759259259252E-5"/>
    <n v="6.5987426346064793E-5"/>
  </r>
  <r>
    <x v="175"/>
    <x v="1"/>
    <n v="5.0434166666666669E-2"/>
    <n v="1.7587152777777781E-2"/>
    <n v="2.1014236111111111E-4"/>
    <n v="7.3279803240740754E-5"/>
  </r>
  <r>
    <x v="175"/>
    <x v="2"/>
    <n v="1.788611111111111E-2"/>
    <n v="1.453170634916667E-2"/>
    <n v="7.4525462962962965E-5"/>
    <n v="6.0548776454861124E-5"/>
  </r>
  <r>
    <x v="175"/>
    <x v="3"/>
    <n v="2.1023333333333331E-2"/>
    <n v="1.468130555555556E-2"/>
    <n v="8.7597222222222213E-5"/>
    <n v="6.1172106481481499E-5"/>
  </r>
  <r>
    <x v="175"/>
    <x v="4"/>
    <n v="1.6111111111111111E-2"/>
    <n v="1.339229532138889E-2"/>
    <n v="6.712962962962963E-5"/>
    <n v="5.5801230505787035E-5"/>
  </r>
  <r>
    <x v="175"/>
    <x v="5"/>
    <n v="2.0659166666666669E-2"/>
    <n v="1.285339947083333E-2"/>
    <n v="8.6079861111111114E-5"/>
    <n v="5.3555831128472216E-5"/>
  </r>
  <r>
    <x v="175"/>
    <x v="6"/>
    <n v="1.345472222222222E-2"/>
    <n v="1.161100241527778E-2"/>
    <n v="5.6061342592592584E-5"/>
    <n v="4.8379176730324086E-5"/>
  </r>
  <r>
    <x v="175"/>
    <x v="7"/>
    <n v="9.4193611111111117E-2"/>
    <n v="1.563219576694444E-2"/>
    <n v="3.9247337962962961E-4"/>
    <n v="6.5134149028935165E-5"/>
  </r>
  <r>
    <x v="175"/>
    <x v="8"/>
    <n v="1.8461111111111109E-2"/>
    <n v="1.2646489898888891E-2"/>
    <n v="7.6921296296296286E-5"/>
    <n v="5.2693707912037047E-5"/>
  </r>
  <r>
    <x v="175"/>
    <x v="9"/>
    <n v="1.509722222222222E-2"/>
    <n v="1.264303030277778E-2"/>
    <n v="6.2905092592592578E-5"/>
    <n v="5.2679292928240747E-5"/>
  </r>
  <r>
    <x v="175"/>
    <x v="10"/>
    <n v="1.4548055555555561E-2"/>
    <n v="1.312056944444445E-2"/>
    <n v="6.0616898148148163E-5"/>
    <n v="5.4669039351851877E-5"/>
  </r>
  <r>
    <x v="175"/>
    <x v="11"/>
    <n v="2.5555555555555557E-2"/>
    <n v="1.3055555555555555E-2"/>
    <n v="1.0648148148148149E-4"/>
    <n v="5.4398148148148144E-5"/>
  </r>
  <r>
    <x v="176"/>
    <x v="1"/>
    <n v="0.15415361111111109"/>
    <n v="0.15415361111111109"/>
    <n v="6.423067129629629E-4"/>
    <n v="6.423067129629629E-4"/>
  </r>
  <r>
    <x v="176"/>
    <x v="5"/>
    <n v="0.05"/>
    <n v="0.05"/>
    <n v="2.0833333333333335E-4"/>
    <n v="2.0833333333333335E-4"/>
  </r>
  <r>
    <x v="176"/>
    <x v="11"/>
    <n v="6.805555555555555E-2"/>
    <n v="6.805555555555555E-2"/>
    <n v="2.8356481481481478E-4"/>
    <n v="2.8356481481481478E-4"/>
  </r>
  <r>
    <x v="177"/>
    <x v="4"/>
    <n v="0.15664805555555561"/>
    <n v="0.15664805555555561"/>
    <n v="6.5270023148148164E-4"/>
    <n v="6.5270023148148164E-4"/>
  </r>
  <r>
    <x v="177"/>
    <x v="6"/>
    <n v="0"/>
    <n v="0"/>
    <n v="0"/>
    <n v="0"/>
  </r>
  <r>
    <x v="177"/>
    <x v="11"/>
    <n v="5.2222222222222218E-2"/>
    <n v="5.2222222222222218E-2"/>
    <n v="2.1759259259259258E-4"/>
    <n v="2.1759259259259258E-4"/>
  </r>
  <r>
    <x v="178"/>
    <x v="6"/>
    <n v="0.15"/>
    <n v="0.15"/>
    <n v="6.2500000000000001E-4"/>
    <n v="6.2500000000000001E-4"/>
  </r>
  <r>
    <x v="178"/>
    <x v="11"/>
    <n v="7.4999999999999997E-2"/>
    <n v="7.4999999999999997E-2"/>
    <n v="3.1250000000000001E-4"/>
    <n v="3.1250000000000001E-4"/>
  </r>
  <r>
    <x v="179"/>
    <x v="2"/>
    <n v="3.5740833333333333E-2"/>
    <n v="3.5740833333333333E-2"/>
    <n v="1.4892013888888889E-4"/>
    <n v="1.4892013888888889E-4"/>
  </r>
  <r>
    <x v="179"/>
    <x v="5"/>
    <n v="1.881194444444444E-2"/>
    <n v="1.881194444444444E-2"/>
    <n v="7.8383101851851834E-5"/>
    <n v="7.8383101851851834E-5"/>
  </r>
  <r>
    <x v="179"/>
    <x v="7"/>
    <n v="2.4516666666666669E-2"/>
    <n v="2.4516666666666669E-2"/>
    <n v="1.0215277777777779E-4"/>
    <n v="1.0215277777777779E-4"/>
  </r>
  <r>
    <x v="179"/>
    <x v="9"/>
    <n v="4.0777500000000001E-2"/>
    <n v="3.5270277777777782E-2"/>
    <n v="1.6990625E-4"/>
    <n v="1.4695949074074077E-4"/>
  </r>
  <r>
    <x v="179"/>
    <x v="11"/>
    <n v="2.4166666666666666E-2"/>
    <n v="2.3055555555555555E-2"/>
    <n v="1.0069444444444445E-4"/>
    <n v="9.6064814814814816E-5"/>
  </r>
  <r>
    <x v="180"/>
    <x v="1"/>
    <n v="3.3333333333333333E-2"/>
    <n v="3.3333333333333333E-2"/>
    <n v="1.3888888888888889E-4"/>
    <n v="1.3888888888888889E-4"/>
  </r>
  <r>
    <x v="180"/>
    <x v="7"/>
    <n v="7.2498055555555552E-2"/>
    <n v="7.2498055555555552E-2"/>
    <n v="3.0207523148148145E-4"/>
    <n v="3.0207523148148145E-4"/>
  </r>
  <r>
    <x v="180"/>
    <x v="11"/>
    <n v="3.5277777777777776E-2"/>
    <n v="3.5277777777777776E-2"/>
    <n v="1.4699074074074075E-4"/>
    <n v="1.4699074074074075E-4"/>
  </r>
  <r>
    <x v="181"/>
    <x v="3"/>
    <n v="1.5508333333333331E-2"/>
    <n v="1.478E-2"/>
    <n v="6.4618055555555541E-5"/>
    <n v="6.158333333333333E-5"/>
  </r>
  <r>
    <x v="181"/>
    <x v="9"/>
    <n v="3.030194444444444E-2"/>
    <n v="3.030194444444444E-2"/>
    <n v="1.2625810185185182E-4"/>
    <n v="1.2625810185185182E-4"/>
  </r>
  <r>
    <x v="181"/>
    <x v="10"/>
    <n v="5.9221388888888893E-2"/>
    <n v="4.0824583333333331E-2"/>
    <n v="2.4675578703703703E-4"/>
    <n v="1.7010243055555553E-4"/>
  </r>
  <r>
    <x v="181"/>
    <x v="11"/>
    <n v="2.6388888888888889E-2"/>
    <n v="2.1666666666666667E-2"/>
    <n v="1.099537037037037E-4"/>
    <n v="9.0277777777777774E-5"/>
  </r>
  <r>
    <x v="182"/>
    <x v="2"/>
    <n v="6.6666666666666666E-2"/>
    <n v="6.6666666666666666E-2"/>
    <n v="2.7777777777777778E-4"/>
    <n v="2.7777777777777778E-4"/>
  </r>
  <r>
    <x v="182"/>
    <x v="11"/>
    <n v="3.3333333333333333E-2"/>
    <n v="3.3333333333333333E-2"/>
    <n v="1.3888888888888889E-4"/>
    <n v="1.3888888888888889E-4"/>
  </r>
  <r>
    <x v="183"/>
    <x v="9"/>
    <n v="5.6081388888888889E-2"/>
    <n v="5.6081388888888889E-2"/>
    <n v="2.3367245370370371E-4"/>
    <n v="2.3367245370370371E-4"/>
  </r>
  <r>
    <x v="183"/>
    <x v="11"/>
    <n v="2.8055555555555556E-2"/>
    <n v="2.8055555555555556E-2"/>
    <n v="1.1689814814814815E-4"/>
    <n v="1.1689814814814815E-4"/>
  </r>
  <r>
    <x v="184"/>
    <x v="5"/>
    <n v="3.8904722222222222E-2"/>
    <n v="3.8904722222222222E-2"/>
    <n v="1.6210300925925927E-4"/>
    <n v="1.6210300925925927E-4"/>
  </r>
  <r>
    <x v="184"/>
    <x v="6"/>
    <n v="1.666666666666667E-2"/>
    <n v="1.666666666666667E-2"/>
    <n v="6.9444444444444458E-5"/>
    <n v="6.9444444444444458E-5"/>
  </r>
  <r>
    <x v="184"/>
    <x v="11"/>
    <n v="1.8611111111111113E-2"/>
    <n v="1.8611111111111113E-2"/>
    <n v="7.7546296296296301E-5"/>
    <n v="7.7546296296296301E-5"/>
  </r>
  <r>
    <x v="185"/>
    <x v="0"/>
    <n v="8.1472222222222221E-4"/>
    <n v="8.1472222222222221E-4"/>
    <n v="3.3946759259259261E-6"/>
    <n v="3.3946759259259261E-6"/>
  </r>
  <r>
    <x v="185"/>
    <x v="1"/>
    <n v="0"/>
    <n v="0"/>
    <n v="0"/>
    <n v="0"/>
  </r>
  <r>
    <x v="185"/>
    <x v="4"/>
    <n v="1.666666666666667E-2"/>
    <n v="8.3333333333333332E-3"/>
    <n v="6.9444444444444458E-5"/>
    <n v="3.4722222222222222E-5"/>
  </r>
  <r>
    <x v="185"/>
    <x v="6"/>
    <n v="0"/>
    <n v="0"/>
    <n v="0"/>
    <n v="0"/>
  </r>
  <r>
    <x v="185"/>
    <x v="7"/>
    <n v="1.666666666666667E-2"/>
    <n v="1.666666666666667E-2"/>
    <n v="6.9444444444444458E-5"/>
    <n v="6.9444444444444458E-5"/>
  </r>
  <r>
    <x v="185"/>
    <x v="11"/>
    <n v="5.8333333333333327E-3"/>
    <n v="4.4444444444444444E-3"/>
    <n v="2.4305555555555554E-5"/>
    <n v="1.8518518518518518E-5"/>
  </r>
  <r>
    <x v="186"/>
    <x v="6"/>
    <n v="1.666666666666667E-2"/>
    <n v="8.3333333333333332E-3"/>
    <n v="6.9444444444444458E-5"/>
    <n v="3.4722222222222222E-5"/>
  </r>
  <r>
    <x v="186"/>
    <x v="8"/>
    <n v="1.666666666666667E-2"/>
    <n v="1.666666666666667E-2"/>
    <n v="6.9444444444444458E-5"/>
    <n v="6.9444444444444458E-5"/>
  </r>
  <r>
    <x v="186"/>
    <x v="11"/>
    <n v="1.111111111111111E-2"/>
    <n v="8.3333333333333332E-3"/>
    <n v="4.6296296296296287E-5"/>
    <n v="3.4722222222222222E-5"/>
  </r>
  <r>
    <x v="187"/>
    <x v="0"/>
    <n v="3.3333333333333333E-2"/>
    <n v="3.3333333333333333E-2"/>
    <n v="1.3888888888888889E-4"/>
    <n v="1.3888888888888889E-4"/>
  </r>
  <r>
    <x v="187"/>
    <x v="11"/>
    <n v="1.6666666666666666E-2"/>
    <n v="1.6666666666666666E-2"/>
    <n v="6.9444444444444444E-5"/>
    <n v="6.9444444444444444E-5"/>
  </r>
  <r>
    <x v="188"/>
    <x v="0"/>
    <n v="6.3277777777777777E-3"/>
    <n v="6.3277777777777777E-3"/>
    <n v="2.6365740740740741E-5"/>
    <n v="2.6365740740740741E-5"/>
  </r>
  <r>
    <x v="188"/>
    <x v="2"/>
    <n v="1.104083333333333E-2"/>
    <n v="1.104083333333333E-2"/>
    <n v="4.6003472222222208E-5"/>
    <n v="4.6003472222222208E-5"/>
  </r>
  <r>
    <x v="188"/>
    <x v="11"/>
    <n v="5.8333333333333327E-3"/>
    <n v="5.8333333333333327E-3"/>
    <n v="2.4305555555555554E-5"/>
    <n v="2.4305555555555554E-5"/>
  </r>
  <r>
    <x v="189"/>
    <x v="8"/>
    <n v="1.666666666666667E-2"/>
    <n v="1.666666666666667E-2"/>
    <n v="6.9444444444444458E-5"/>
    <n v="6.9444444444444458E-5"/>
  </r>
  <r>
    <x v="189"/>
    <x v="11"/>
    <n v="8.3333333333333332E-3"/>
    <n v="8.3333333333333332E-3"/>
    <n v="3.4722222222222222E-5"/>
    <n v="3.4722222222222222E-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n v="1000"/>
    <x v="0"/>
    <n v="155.12972222222223"/>
    <n v="137.15694444444443"/>
    <n v="0.64637384259259256"/>
    <n v="0.5714872685185185"/>
    <n v="8"/>
    <n v="7.7564861111111103"/>
  </r>
  <r>
    <n v="1000"/>
    <x v="1"/>
    <n v="168.40761277777781"/>
    <n v="124.3127455952381"/>
    <n v="0.70169838657407413"/>
    <n v="0.51796977331349214"/>
    <n v="9"/>
    <n v="8.42038063888889"/>
  </r>
  <r>
    <n v="1000"/>
    <x v="2"/>
    <n v="170.44148277777779"/>
    <n v="117.1995622023808"/>
    <n v="0.71017284490740751"/>
    <n v="0.48833150917658669"/>
    <n v="9"/>
    <n v="8.5220741388888896"/>
  </r>
  <r>
    <n v="1000"/>
    <x v="3"/>
    <n v="170.80081250000001"/>
    <n v="155.71005450000001"/>
    <n v="0.71167005208333334"/>
    <n v="0.64879189375000001"/>
    <n v="9"/>
    <n v="8.5400406249999996"/>
  </r>
  <r>
    <n v="1000"/>
    <x v="4"/>
    <n v="170.41265388888891"/>
    <n v="162.55184091666669"/>
    <n v="0.71005272453703716"/>
    <n v="0.6772993371527779"/>
    <n v="9"/>
    <n v="8.5206326944444459"/>
  </r>
  <r>
    <n v="1000"/>
    <x v="5"/>
    <n v="168.96931805555559"/>
    <n v="167.0940138888889"/>
    <n v="0.70403882523148165"/>
    <n v="0.69622505787037037"/>
    <n v="9"/>
    <n v="8.4484659027777802"/>
  </r>
  <r>
    <n v="1000"/>
    <x v="6"/>
    <n v="169.14663138888889"/>
    <n v="145.19360944444441"/>
    <n v="0.70477763078703715"/>
    <n v="0.60497337268518503"/>
    <n v="9"/>
    <n v="8.4573315694444453"/>
  </r>
  <r>
    <n v="1000"/>
    <x v="7"/>
    <n v="169.26977777777779"/>
    <n v="164.12907721014469"/>
    <n v="0.70529074074074083"/>
    <n v="0.68387115504226959"/>
    <n v="9"/>
    <n v="8.4634888888888895"/>
  </r>
  <r>
    <n v="1000"/>
    <x v="8"/>
    <n v="167.78578555555549"/>
    <n v="137.58714300925919"/>
    <n v="0.69910743981481449"/>
    <n v="0.57327976253858004"/>
    <n v="9"/>
    <n v="8.3892892777777739"/>
  </r>
  <r>
    <n v="1000"/>
    <x v="9"/>
    <n v="168.99513944444439"/>
    <n v="158.87889890151499"/>
    <n v="0.70414641435185166"/>
    <n v="0.66199541208964574"/>
    <n v="9"/>
    <n v="8.4497569722222199"/>
  </r>
  <r>
    <n v="1000"/>
    <x v="10"/>
    <n v="167.79297972222221"/>
    <n v="160.29596598484829"/>
    <n v="0.69913741550925923"/>
    <n v="0.66789985827020126"/>
    <n v="9"/>
    <n v="8.3896489861111103"/>
  </r>
  <r>
    <n v="1000"/>
    <x v="11"/>
    <n v="169.5329227777778"/>
    <n v="152.93026903439139"/>
    <n v="0.70638717824074082"/>
    <n v="0.63720945430996412"/>
    <n v="9"/>
    <n v="8.4766461388888903"/>
  </r>
  <r>
    <n v="1001"/>
    <x v="0"/>
    <n v="142.51749999999998"/>
    <n v="87.165833333333325"/>
    <n v="0.59382291666666653"/>
    <n v="0.36319097222222219"/>
    <n v="8"/>
    <n v="7.1258749999999988"/>
  </r>
  <r>
    <n v="1001"/>
    <x v="1"/>
    <n v="158.80018777777781"/>
    <n v="107.5939890782828"/>
    <n v="0.66166744907407427"/>
    <n v="0.44830828782617838"/>
    <n v="8"/>
    <n v="7.9400093888888907"/>
  </r>
  <r>
    <n v="1001"/>
    <x v="2"/>
    <n v="158.58475944444439"/>
    <n v="95.013529537036945"/>
    <n v="0.66076983101851827"/>
    <n v="0.39588970640432058"/>
    <n v="8"/>
    <n v="7.9292379722222197"/>
  </r>
  <r>
    <n v="1001"/>
    <x v="3"/>
    <n v="158.68968333333331"/>
    <n v="94.84001903381639"/>
    <n v="0.66120701388888881"/>
    <n v="0.39516674597423496"/>
    <n v="8"/>
    <n v="7.9344841666666657"/>
  </r>
  <r>
    <n v="1001"/>
    <x v="4"/>
    <n v="152.42732694444439"/>
    <n v="83.480213020833332"/>
    <n v="0.63511386226851829"/>
    <n v="0.34783422092013888"/>
    <n v="8"/>
    <n v="7.6213663472222191"/>
  </r>
  <r>
    <n v="1001"/>
    <x v="5"/>
    <n v="158.7581625"/>
    <n v="89.615817870370279"/>
    <n v="0.66149234374999999"/>
    <n v="0.37339924112654282"/>
    <n v="8"/>
    <n v="7.9379081249999999"/>
  </r>
  <r>
    <n v="1001"/>
    <x v="6"/>
    <n v="138.0421747222222"/>
    <n v="91.766906780302776"/>
    <n v="0.5751757280092592"/>
    <n v="0.38236211158459493"/>
    <n v="7"/>
    <n v="6.90210873611111"/>
  </r>
  <r>
    <n v="1001"/>
    <x v="7"/>
    <n v="158.77070611111111"/>
    <n v="94.825163511111114"/>
    <n v="0.66154460879629629"/>
    <n v="0.39510484796296302"/>
    <n v="8"/>
    <n v="7.9385353055555559"/>
  </r>
  <r>
    <n v="1001"/>
    <x v="8"/>
    <n v="158.65364638888889"/>
    <n v="88.617748584655828"/>
    <n v="0.66105685995370367"/>
    <n v="0.36924061910273265"/>
    <n v="8"/>
    <n v="7.932682319444444"/>
  </r>
  <r>
    <n v="1001"/>
    <x v="9"/>
    <n v="158.70751916666671"/>
    <n v="101.4612298309178"/>
    <n v="0.66128132986111132"/>
    <n v="0.42275512429549084"/>
    <n v="8"/>
    <n v="7.9353759583333359"/>
  </r>
  <r>
    <n v="1001"/>
    <x v="10"/>
    <n v="150.22289749999999"/>
    <n v="94.785689106280003"/>
    <n v="0.62592873958333328"/>
    <n v="0.39494037127616671"/>
    <n v="8"/>
    <n v="7.5111448749999994"/>
  </r>
  <r>
    <n v="1001"/>
    <x v="11"/>
    <n v="158.55138166666671"/>
    <n v="103.9886280687831"/>
    <n v="0.66063075694444462"/>
    <n v="0.43328595028659622"/>
    <n v="8"/>
    <n v="7.927569083333335"/>
  </r>
  <r>
    <n v="1002"/>
    <x v="0"/>
    <n v="94.443055555555546"/>
    <n v="54.94166666666667"/>
    <n v="0.39351273148148147"/>
    <n v="0.22892361111111112"/>
    <n v="5"/>
    <n v="4.7221527777777776"/>
  </r>
  <r>
    <n v="1002"/>
    <x v="1"/>
    <n v="39.415931388888893"/>
    <n v="26.688750012626109"/>
    <n v="0.16423304745370373"/>
    <n v="0.11120312505260878"/>
    <n v="2"/>
    <n v="1.9707965694444449"/>
  </r>
  <r>
    <n v="1002"/>
    <x v="2"/>
    <n v="39.411208611111107"/>
    <n v="24.174621547618891"/>
    <n v="0.16421336921296295"/>
    <n v="0.10072758978174538"/>
    <n v="2"/>
    <n v="1.9705604305555555"/>
  </r>
  <r>
    <n v="1002"/>
    <x v="3"/>
    <n v="118.1319441666667"/>
    <n v="60.417727013888893"/>
    <n v="0.49221643402777793"/>
    <n v="0.25174052922453705"/>
    <n v="6"/>
    <n v="5.9065972083333351"/>
  </r>
  <r>
    <n v="1002"/>
    <x v="4"/>
    <n v="109.8358158333333"/>
    <n v="63.834116147342783"/>
    <n v="0.45764923263888874"/>
    <n v="0.26597548394726162"/>
    <n v="6"/>
    <n v="5.4917907916666646"/>
  </r>
  <r>
    <n v="1002"/>
    <x v="5"/>
    <n v="118.15116583333329"/>
    <n v="73.766491611111107"/>
    <n v="0.49229652430555543"/>
    <n v="0.30736038171296293"/>
    <n v="6"/>
    <n v="5.9075582916666649"/>
  </r>
  <r>
    <n v="1002"/>
    <x v="6"/>
    <n v="118.1248658333333"/>
    <n v="66.902676969696941"/>
    <n v="0.4921869409722221"/>
    <n v="0.27876115404040391"/>
    <n v="6"/>
    <n v="5.906243291666665"/>
  </r>
  <r>
    <n v="1002"/>
    <x v="7"/>
    <n v="118.1024352777778"/>
    <n v="69.113413588888889"/>
    <n v="0.49209348032407418"/>
    <n v="0.28797255662037036"/>
    <n v="6"/>
    <n v="5.9051217638888902"/>
  </r>
  <r>
    <n v="1002"/>
    <x v="8"/>
    <n v="117.95055000000001"/>
    <n v="45.871661846404997"/>
    <n v="0.49146062500000004"/>
    <n v="0.19113192436002083"/>
    <n v="6"/>
    <n v="5.8975275000000007"/>
  </r>
  <r>
    <n v="1002"/>
    <x v="9"/>
    <n v="118.16755083333329"/>
    <n v="75.598000374396108"/>
    <n v="0.49236479513888876"/>
    <n v="0.31499166822665042"/>
    <n v="6"/>
    <n v="5.9083775416666651"/>
  </r>
  <r>
    <n v="1002"/>
    <x v="10"/>
    <n v="117.9735752777778"/>
    <n v="75.243865429292782"/>
    <n v="0.49155656365740752"/>
    <n v="0.31351610595538659"/>
    <n v="6"/>
    <n v="5.8986787638888902"/>
  </r>
  <r>
    <n v="1002"/>
    <x v="11"/>
    <n v="118.0483397222222"/>
    <n v="77.688353796296113"/>
    <n v="0.49186808217592581"/>
    <n v="0.32370147415123379"/>
    <n v="6"/>
    <n v="5.9024169861111098"/>
  </r>
  <r>
    <n v="1003"/>
    <x v="0"/>
    <n v="93.203888888888898"/>
    <n v="86.42861111111111"/>
    <n v="0.38834953703703706"/>
    <n v="0.36011921296296295"/>
    <n v="5"/>
    <n v="4.6601944444444445"/>
  </r>
  <r>
    <n v="1003"/>
    <x v="1"/>
    <n v="101.3035541666667"/>
    <n v="100.15134291666671"/>
    <n v="0.42209814236111126"/>
    <n v="0.41729726215277796"/>
    <n v="6"/>
    <n v="5.0651777083333354"/>
  </r>
  <r>
    <n v="1003"/>
    <x v="2"/>
    <n v="101.21274333333329"/>
    <n v="98.797288638888887"/>
    <n v="0.42171976388888871"/>
    <n v="0.41165536932870372"/>
    <n v="6"/>
    <n v="5.0606371666666643"/>
  </r>
  <r>
    <n v="1003"/>
    <x v="3"/>
    <n v="156.9540686111111"/>
    <n v="103.00734988095221"/>
    <n v="0.65397528587962961"/>
    <n v="0.42919729117063415"/>
    <n v="8"/>
    <n v="7.8477034305555549"/>
  </r>
  <r>
    <n v="1003"/>
    <x v="4"/>
    <n v="101.2865627777778"/>
    <n v="95.940678027777778"/>
    <n v="0.42202734490740751"/>
    <n v="0.39975282511574073"/>
    <n v="6"/>
    <n v="5.0643281388888903"/>
  </r>
  <r>
    <n v="1003"/>
    <x v="5"/>
    <n v="94.216383888888885"/>
    <n v="91.969636069444448"/>
    <n v="0.39256826620370372"/>
    <n v="0.38320681695601855"/>
    <n v="5"/>
    <n v="4.7108191944444444"/>
  </r>
  <r>
    <n v="1003"/>
    <x v="6"/>
    <n v="94.651109444444444"/>
    <n v="89.354969285714162"/>
    <n v="0.39437962268518517"/>
    <n v="0.37231237202380901"/>
    <n v="5"/>
    <n v="4.7325554722222218"/>
  </r>
  <r>
    <n v="1003"/>
    <x v="7"/>
    <n v="94.545019444444449"/>
    <n v="92.249587632849995"/>
    <n v="0.39393758101851856"/>
    <n v="0.38437328180354163"/>
    <n v="5"/>
    <n v="4.7272509722222225"/>
  </r>
  <r>
    <n v="1003"/>
    <x v="8"/>
    <n v="93.656360555555551"/>
    <n v="89.407241347222225"/>
    <n v="0.39023483564814815"/>
    <n v="0.37253017228009261"/>
    <n v="5"/>
    <n v="4.6828180277777776"/>
  </r>
  <r>
    <n v="1003"/>
    <x v="9"/>
    <n v="93.487307222222228"/>
    <n v="92.275081805555558"/>
    <n v="0.3895304467592593"/>
    <n v="0.38447950752314819"/>
    <n v="5"/>
    <n v="4.6743653611111116"/>
  </r>
  <r>
    <n v="1003"/>
    <x v="10"/>
    <n v="93.483871388888886"/>
    <n v="91.931845328282776"/>
    <n v="0.38951613078703701"/>
    <n v="0.38304935553451158"/>
    <n v="5"/>
    <n v="4.6741935694444443"/>
  </r>
  <r>
    <n v="1003"/>
    <x v="11"/>
    <n v="93.648365555555557"/>
    <n v="92.055977698412505"/>
    <n v="0.39020152314814815"/>
    <n v="0.38356657374338549"/>
    <n v="5"/>
    <n v="4.6824182777777779"/>
  </r>
  <r>
    <n v="1004"/>
    <x v="0"/>
    <n v="85.188333333333333"/>
    <n v="82.539166666666674"/>
    <n v="0.35495138888888889"/>
    <n v="0.34391319444444446"/>
    <n v="5"/>
    <n v="4.2594166666666666"/>
  </r>
  <r>
    <n v="1004"/>
    <x v="1"/>
    <n v="81.765438055555549"/>
    <n v="79.044674891304169"/>
    <n v="0.34068932523148149"/>
    <n v="0.32935281204710071"/>
    <n v="5"/>
    <n v="4.0882719027777776"/>
  </r>
  <r>
    <n v="1004"/>
    <x v="2"/>
    <n v="92.182698333333335"/>
    <n v="86.502541840277772"/>
    <n v="0.38409457638888894"/>
    <n v="0.36042725766782402"/>
    <n v="5"/>
    <n v="4.6091349166666671"/>
  </r>
  <r>
    <n v="1004"/>
    <x v="3"/>
    <n v="91.901456388888889"/>
    <n v="89.58977719696945"/>
    <n v="0.38292273495370371"/>
    <n v="0.37329073832070603"/>
    <n v="5"/>
    <n v="4.5950728194444448"/>
  </r>
  <r>
    <n v="1004"/>
    <x v="4"/>
    <n v="92.031467500000005"/>
    <n v="91.52950929166667"/>
    <n v="0.38346444791666667"/>
    <n v="0.38137295538194449"/>
    <n v="5"/>
    <n v="4.6015733750000001"/>
  </r>
  <r>
    <n v="1004"/>
    <x v="5"/>
    <n v="95.022206666666662"/>
    <n v="92.156567291666661"/>
    <n v="0.39592586111111111"/>
    <n v="0.38398569704861107"/>
    <n v="5"/>
    <n v="4.7511103333333331"/>
  </r>
  <r>
    <n v="1004"/>
    <x v="6"/>
    <n v="94.967797500000003"/>
    <n v="88.83982842592583"/>
    <n v="0.39569915625000002"/>
    <n v="0.37016595177469097"/>
    <n v="5"/>
    <n v="4.748389875"/>
  </r>
  <r>
    <n v="1004"/>
    <x v="7"/>
    <n v="95.031129444444446"/>
    <n v="93.688860362318607"/>
    <n v="0.39596303935185184"/>
    <n v="0.39037025150966081"/>
    <n v="5"/>
    <n v="4.7515564722222221"/>
  </r>
  <r>
    <n v="1004"/>
    <x v="8"/>
    <n v="94.806304166666663"/>
    <n v="92.224101041666671"/>
    <n v="0.39502626736111113"/>
    <n v="0.38426708767361112"/>
    <n v="5"/>
    <n v="4.7403152083333335"/>
  </r>
  <r>
    <n v="1004"/>
    <x v="9"/>
    <n v="94.89533055555556"/>
    <n v="92.979026628787778"/>
    <n v="0.3953972106481482"/>
    <n v="0.38741261095328244"/>
    <n v="5"/>
    <n v="4.7447665277777782"/>
  </r>
  <r>
    <n v="1004"/>
    <x v="10"/>
    <n v="94.836220277777784"/>
    <n v="91.956153017676669"/>
    <n v="0.39515091782407413"/>
    <n v="0.38315063757365281"/>
    <n v="5"/>
    <n v="4.7418110138888894"/>
  </r>
  <r>
    <n v="1004"/>
    <x v="11"/>
    <n v="94.81675361111111"/>
    <n v="91.956168756613607"/>
    <n v="0.39506980671296299"/>
    <n v="0.38315070315255673"/>
    <n v="5"/>
    <n v="4.7408376805555559"/>
  </r>
  <r>
    <n v="1005"/>
    <x v="0"/>
    <n v="77.057222222222222"/>
    <n v="65.518888888888881"/>
    <n v="0.32107175925925929"/>
    <n v="0.2729953703703703"/>
    <n v="4"/>
    <n v="3.8528611111111113"/>
  </r>
  <r>
    <n v="1005"/>
    <x v="1"/>
    <n v="75.112058611111109"/>
    <n v="68.209119256272217"/>
    <n v="0.31296691087962963"/>
    <n v="0.28420466356780089"/>
    <n v="4"/>
    <n v="3.7556029305555558"/>
  </r>
  <r>
    <n v="1005"/>
    <x v="2"/>
    <n v="70.645085277777781"/>
    <n v="68.032313323412495"/>
    <n v="0.29435452199074075"/>
    <n v="0.28346797218088543"/>
    <n v="4"/>
    <n v="3.532254263888889"/>
  </r>
  <r>
    <n v="1005"/>
    <x v="3"/>
    <n v="72.130192777777779"/>
    <n v="69.39120071684583"/>
    <n v="0.30054246990740741"/>
    <n v="0.28913000298685759"/>
    <n v="4"/>
    <n v="3.6065096388888889"/>
  </r>
  <r>
    <n v="1005"/>
    <x v="4"/>
    <n v="90.379694722222226"/>
    <n v="68.763724333333329"/>
    <n v="0.37658206134259259"/>
    <n v="0.28651551805555553"/>
    <n v="5"/>
    <n v="4.5189847361111113"/>
  </r>
  <r>
    <n v="1005"/>
    <x v="5"/>
    <n v="83.761349166666662"/>
    <n v="70.091024130824167"/>
    <n v="0.34900562152777775"/>
    <n v="0.29204593387843403"/>
    <n v="5"/>
    <n v="4.1880674583333333"/>
  </r>
  <r>
    <n v="1005"/>
    <x v="6"/>
    <n v="82.776835833333337"/>
    <n v="69.665758814814723"/>
    <n v="0.34490348263888887"/>
    <n v="0.29027399506172802"/>
    <n v="5"/>
    <n v="4.1388417916666667"/>
  </r>
  <r>
    <n v="1005"/>
    <x v="7"/>
    <n v="86.938279166666661"/>
    <n v="69.602720492831395"/>
    <n v="0.36224282986111112"/>
    <n v="0.29001133538679746"/>
    <n v="5"/>
    <n v="4.3469139583333334"/>
  </r>
  <r>
    <n v="1005"/>
    <x v="8"/>
    <n v="80.601804166666668"/>
    <n v="68.854828777777783"/>
    <n v="0.33584085069444441"/>
    <n v="0.2868951199074074"/>
    <n v="5"/>
    <n v="4.0300902083333332"/>
  </r>
  <r>
    <n v="1005"/>
    <x v="9"/>
    <n v="102.05035416666669"/>
    <n v="88.451237694444444"/>
    <n v="0.42520980902777789"/>
    <n v="0.36854682372685188"/>
    <n v="6"/>
    <n v="5.1025177083333348"/>
  </r>
  <r>
    <n v="1005"/>
    <x v="10"/>
    <n v="86.781750000000002"/>
    <n v="69.611319327956949"/>
    <n v="0.361590625"/>
    <n v="0.29004716386648727"/>
    <n v="5"/>
    <n v="4.3390874999999998"/>
  </r>
  <r>
    <n v="1005"/>
    <x v="11"/>
    <n v="93.508340000000004"/>
    <n v="75.552580842293892"/>
    <n v="0.38961808333333336"/>
    <n v="0.31480242017622456"/>
    <n v="5"/>
    <n v="4.6754170000000004"/>
  </r>
  <r>
    <n v="1006"/>
    <x v="0"/>
    <n v="74"/>
    <n v="56.5625"/>
    <n v="0.30833333333333335"/>
    <n v="0.23567708333333334"/>
    <n v="4"/>
    <n v="3.7"/>
  </r>
  <r>
    <n v="1006"/>
    <x v="1"/>
    <n v="106.01419638888891"/>
    <n v="73.06979089646444"/>
    <n v="0.44172581828703711"/>
    <n v="0.30445746206860186"/>
    <n v="6"/>
    <n v="5.3007098194444451"/>
  </r>
  <r>
    <n v="1006"/>
    <x v="2"/>
    <n v="74.219118611111114"/>
    <n v="58.556148430555552"/>
    <n v="0.30924632754629627"/>
    <n v="0.24398395179398147"/>
    <n v="4"/>
    <n v="3.7109559305555555"/>
  </r>
  <r>
    <n v="1006"/>
    <x v="3"/>
    <n v="71.924699722222229"/>
    <n v="54.774653637566111"/>
    <n v="0.2996862488425926"/>
    <n v="0.22822772348985879"/>
    <n v="4"/>
    <n v="3.5962349861111109"/>
  </r>
  <r>
    <n v="1006"/>
    <x v="4"/>
    <n v="67.863470555555551"/>
    <n v="56.083705375000001"/>
    <n v="0.28276446064814814"/>
    <n v="0.23368210572916667"/>
    <n v="4"/>
    <n v="3.3931735277777779"/>
  </r>
  <r>
    <n v="1006"/>
    <x v="5"/>
    <n v="75.072519722222225"/>
    <n v="55.765710236111111"/>
    <n v="0.31280216550925927"/>
    <n v="0.23235712598379629"/>
    <n v="4"/>
    <n v="3.7536259861111114"/>
  </r>
  <r>
    <n v="1006"/>
    <x v="6"/>
    <n v="81.756393333333335"/>
    <n v="55.447100119047498"/>
    <n v="0.34065163888888889"/>
    <n v="0.23102958382936456"/>
    <n v="5"/>
    <n v="4.0878196666666664"/>
  </r>
  <r>
    <n v="1006"/>
    <x v="7"/>
    <n v="92.814525833333335"/>
    <n v="69.993378804347785"/>
    <n v="0.38672719097222225"/>
    <n v="0.29163907835144909"/>
    <n v="5"/>
    <n v="4.6407262916666667"/>
  </r>
  <r>
    <n v="1006"/>
    <x v="8"/>
    <n v="86.109239166666669"/>
    <n v="62.08107001388889"/>
    <n v="0.35878849652777783"/>
    <n v="0.25867112505787038"/>
    <n v="5"/>
    <n v="4.3054619583333338"/>
  </r>
  <r>
    <n v="1006"/>
    <x v="9"/>
    <n v="75.905441944444448"/>
    <n v="64.763883737373618"/>
    <n v="0.31627267476851856"/>
    <n v="0.26984951557239006"/>
    <n v="4"/>
    <n v="3.7952720972222229"/>
  </r>
  <r>
    <n v="1006"/>
    <x v="10"/>
    <n v="80.35402666666667"/>
    <n v="65.193443106060556"/>
    <n v="0.33480844444444441"/>
    <n v="0.27163934627525232"/>
    <n v="5"/>
    <n v="4.0177013333333331"/>
  </r>
  <r>
    <n v="1006"/>
    <x v="11"/>
    <n v="75.96504916666666"/>
    <n v="63.020432592592499"/>
    <n v="0.31652103819444438"/>
    <n v="0.26258513580246873"/>
    <n v="4"/>
    <n v="3.7982524583333328"/>
  </r>
  <r>
    <n v="1007"/>
    <x v="0"/>
    <n v="71.719444444444449"/>
    <n v="43.018888888888888"/>
    <n v="0.29883101851851851"/>
    <n v="0.17924537037037036"/>
    <n v="4"/>
    <n v="3.5859722222222219"/>
  </r>
  <r>
    <n v="1007"/>
    <x v="1"/>
    <n v="73.859053611111108"/>
    <n v="38.810488295454448"/>
    <n v="0.30774605671296296"/>
    <n v="0.16171036789772686"/>
    <n v="4"/>
    <n v="3.6929526805555555"/>
  </r>
  <r>
    <n v="1007"/>
    <x v="2"/>
    <n v="77.861268055555556"/>
    <n v="36.705737638888891"/>
    <n v="0.32442195023148152"/>
    <n v="0.15294057349537038"/>
    <n v="4"/>
    <n v="3.893063402777778"/>
  </r>
  <r>
    <n v="1007"/>
    <x v="3"/>
    <n v="77.984767500000004"/>
    <n v="54.564669841269719"/>
    <n v="0.32493653125000005"/>
    <n v="0.22735279100529049"/>
    <n v="4"/>
    <n v="3.8992383750000004"/>
  </r>
  <r>
    <n v="1007"/>
    <x v="4"/>
    <n v="78.120606111111115"/>
    <n v="47.622126819444453"/>
    <n v="0.32550252546296299"/>
    <n v="0.1984255284143519"/>
    <n v="4"/>
    <n v="3.9060303055555559"/>
  </r>
  <r>
    <n v="1007"/>
    <x v="5"/>
    <n v="77.894376388888887"/>
    <n v="38.599063666666673"/>
    <n v="0.32455990162037035"/>
    <n v="0.16082943194444446"/>
    <n v="4"/>
    <n v="3.894718819444444"/>
  </r>
  <r>
    <n v="1007"/>
    <x v="6"/>
    <n v="78.154497222222219"/>
    <n v="49.341021970899448"/>
    <n v="0.32564373842592592"/>
    <n v="0.20558759154541437"/>
    <n v="4"/>
    <n v="3.9077248611111113"/>
  </r>
  <r>
    <n v="1007"/>
    <x v="7"/>
    <n v="78.359783055555553"/>
    <n v="50.066204480676113"/>
    <n v="0.32649909606481481"/>
    <n v="0.20860918533615047"/>
    <n v="4"/>
    <n v="3.9179891527777775"/>
  </r>
  <r>
    <n v="1007"/>
    <x v="8"/>
    <n v="80.075509722222222"/>
    <n v="50.776702402777779"/>
    <n v="0.33364795717592594"/>
    <n v="0.21156959334490741"/>
    <n v="5"/>
    <n v="4.0037754861111114"/>
  </r>
  <r>
    <n v="1007"/>
    <x v="9"/>
    <n v="78.703641111111111"/>
    <n v="42.766714633838333"/>
    <n v="0.32793183796296294"/>
    <n v="0.17819464430765972"/>
    <n v="4"/>
    <n v="3.935182055555555"/>
  </r>
  <r>
    <n v="1007"/>
    <x v="10"/>
    <n v="81.267107222222222"/>
    <n v="53.244878749999998"/>
    <n v="0.33861294675925929"/>
    <n v="0.22185366145833332"/>
    <n v="5"/>
    <n v="4.0633553611111113"/>
  </r>
  <r>
    <n v="1007"/>
    <x v="11"/>
    <n v="78.35205805555556"/>
    <n v="53.728770687830547"/>
    <n v="0.32646690856481481"/>
    <n v="0.2238698778659606"/>
    <n v="4"/>
    <n v="3.9176029027777775"/>
  </r>
  <r>
    <n v="1008"/>
    <x v="0"/>
    <n v="67.727777777777774"/>
    <n v="62.539166666666667"/>
    <n v="0.28219907407407407"/>
    <n v="0.26057986111111114"/>
    <n v="4"/>
    <n v="3.3863888888888889"/>
  </r>
  <r>
    <n v="1008"/>
    <x v="1"/>
    <n v="52.196644722222217"/>
    <n v="47.698393585858327"/>
    <n v="0.21748601967592593"/>
    <n v="0.198743306607743"/>
    <n v="3"/>
    <n v="2.609832236111111"/>
  </r>
  <r>
    <n v="1008"/>
    <x v="2"/>
    <n v="74.722402222222229"/>
    <n v="52.391836736111109"/>
    <n v="0.31134334259259261"/>
    <n v="0.21829931973379627"/>
    <n v="4"/>
    <n v="3.7361201111111111"/>
  </r>
  <r>
    <n v="1008"/>
    <x v="3"/>
    <n v="74.748474722222227"/>
    <n v="71.799876177248606"/>
    <n v="0.31145197800925928"/>
    <n v="0.29916615073853586"/>
    <n v="4"/>
    <n v="3.7374237361111113"/>
  </r>
  <r>
    <n v="1008"/>
    <x v="4"/>
    <n v="76.265236944444439"/>
    <n v="74.260420499999995"/>
    <n v="0.31777182060185183"/>
    <n v="0.30941841874999998"/>
    <n v="4"/>
    <n v="3.8132618472222219"/>
  </r>
  <r>
    <n v="1008"/>
    <x v="5"/>
    <n v="74.727109166666665"/>
    <n v="71.986747152777781"/>
    <n v="0.3113629548611111"/>
    <n v="0.29994477980324075"/>
    <n v="4"/>
    <n v="3.7363554583333332"/>
  </r>
  <r>
    <n v="1008"/>
    <x v="6"/>
    <n v="77.13457861111111"/>
    <n v="70.84306568783056"/>
    <n v="0.32139407754629629"/>
    <n v="0.29517944036596067"/>
    <n v="4"/>
    <n v="3.8567289305555557"/>
  </r>
  <r>
    <n v="1008"/>
    <x v="7"/>
    <n v="74.823826944444448"/>
    <n v="65.073076847825831"/>
    <n v="0.31176594560185183"/>
    <n v="0.27113782019927429"/>
    <n v="4"/>
    <n v="3.7411913472222222"/>
  </r>
  <r>
    <n v="1008"/>
    <x v="8"/>
    <n v="76.95531861111111"/>
    <n v="73.566270777777774"/>
    <n v="0.32064716087962963"/>
    <n v="0.30652612824074071"/>
    <n v="4"/>
    <n v="3.8477659305555556"/>
  </r>
  <r>
    <n v="1008"/>
    <x v="9"/>
    <n v="77.091165555555563"/>
    <n v="75.044400353535281"/>
    <n v="0.32121318981481484"/>
    <n v="0.31268500147306366"/>
    <n v="4"/>
    <n v="3.854558277777778"/>
  </r>
  <r>
    <n v="1008"/>
    <x v="10"/>
    <n v="76.972320833333328"/>
    <n v="73.837371982323049"/>
    <n v="0.32071800347222218"/>
    <n v="0.30765571659301272"/>
    <n v="4"/>
    <n v="3.8486160416666664"/>
  </r>
  <r>
    <n v="1008"/>
    <x v="11"/>
    <n v="77.093859444444448"/>
    <n v="73.966729259259168"/>
    <n v="0.32122441435185184"/>
    <n v="0.30819470524691323"/>
    <n v="4"/>
    <n v="3.8546929722222218"/>
  </r>
  <r>
    <n v="1009"/>
    <x v="0"/>
    <n v="64.530833333333334"/>
    <n v="62.020833333333336"/>
    <n v="0.26887847222222222"/>
    <n v="0.25842013888888887"/>
    <n v="4"/>
    <n v="3.2265416666666669"/>
  </r>
  <r>
    <n v="1009"/>
    <x v="1"/>
    <n v="74.04947833333334"/>
    <n v="73.234726351009996"/>
    <n v="0.30853949305555556"/>
    <n v="0.30514469312920833"/>
    <n v="4"/>
    <n v="3.7024739166666665"/>
  </r>
  <r>
    <n v="1009"/>
    <x v="2"/>
    <n v="74.366877500000001"/>
    <n v="72.525067250000006"/>
    <n v="0.30986198958333333"/>
    <n v="0.30218778020833337"/>
    <n v="4"/>
    <n v="3.718343875"/>
  </r>
  <r>
    <n v="1009"/>
    <x v="3"/>
    <n v="73.943981388888886"/>
    <n v="73.634685714285553"/>
    <n v="0.30809992245370371"/>
    <n v="0.30681119047618982"/>
    <n v="4"/>
    <n v="3.6971990694444443"/>
  </r>
  <r>
    <n v="1009"/>
    <x v="4"/>
    <n v="73.749863888888882"/>
    <n v="72.817544416666664"/>
    <n v="0.30729109953703698"/>
    <n v="0.30340643506944442"/>
    <n v="4"/>
    <n v="3.6874931944444436"/>
  </r>
  <r>
    <n v="1009"/>
    <x v="5"/>
    <n v="75.272288611111108"/>
    <n v="71.366954222222219"/>
    <n v="0.31363453587962958"/>
    <n v="0.29736230925925927"/>
    <n v="4"/>
    <n v="3.7636144305555552"/>
  </r>
  <r>
    <n v="1009"/>
    <x v="6"/>
    <n v="73.566736944444443"/>
    <n v="69.592795476190275"/>
    <n v="0.30652807060185183"/>
    <n v="0.28996998115079281"/>
    <n v="4"/>
    <n v="3.678336847222222"/>
  </r>
  <r>
    <n v="1009"/>
    <x v="7"/>
    <n v="73.794088055555562"/>
    <n v="72.927800326086938"/>
    <n v="0.30747536689814819"/>
    <n v="0.30386583469202894"/>
    <n v="4"/>
    <n v="3.6897044027777781"/>
  </r>
  <r>
    <n v="1009"/>
    <x v="8"/>
    <n v="36.587829722222217"/>
    <n v="35.608584333333333"/>
    <n v="0.15244929050925923"/>
    <n v="0.1483691013888889"/>
    <n v="2"/>
    <n v="1.8293914861111107"/>
  </r>
  <r>
    <n v="1009"/>
    <x v="9"/>
    <n v="73.024026944444444"/>
    <n v="72.775319457070552"/>
    <n v="0.30426677893518517"/>
    <n v="0.30323049773779398"/>
    <n v="4"/>
    <n v="3.651201347222222"/>
  </r>
  <r>
    <n v="1009"/>
    <x v="10"/>
    <n v="72.939110555555558"/>
    <n v="57.576365151514999"/>
    <n v="0.30391296064814816"/>
    <n v="0.23990152146464583"/>
    <n v="4"/>
    <n v="3.6469555277777781"/>
  </r>
  <r>
    <n v="1009"/>
    <x v="11"/>
    <n v="73.073526666666666"/>
    <n v="72.189957539682496"/>
    <n v="0.30447302777777779"/>
    <n v="0.30079148974867703"/>
    <n v="4"/>
    <n v="3.6536763333333333"/>
  </r>
  <r>
    <n v="1010"/>
    <x v="0"/>
    <n v="76.875"/>
    <n v="34.748888888888892"/>
    <n v="0.3203125"/>
    <n v="0.14478703703703705"/>
    <n v="4"/>
    <n v="3.84375"/>
  </r>
  <r>
    <n v="1010"/>
    <x v="1"/>
    <n v="89.767742222222225"/>
    <n v="36.339549065656392"/>
    <n v="0.37403225925925926"/>
    <n v="0.15141478777356829"/>
    <n v="5"/>
    <n v="4.4883871111111109"/>
  </r>
  <r>
    <n v="1010"/>
    <x v="2"/>
    <n v="103.13664"/>
    <n v="40.827277319444441"/>
    <n v="0.42973599999999995"/>
    <n v="0.17011365549768517"/>
    <n v="6"/>
    <n v="5.1568319999999996"/>
  </r>
  <r>
    <n v="1010"/>
    <x v="3"/>
    <n v="105.3802205555556"/>
    <n v="44.492949828042221"/>
    <n v="0.43908425231481502"/>
    <n v="0.18538729095017592"/>
    <n v="6"/>
    <n v="5.26901102777778"/>
  </r>
  <r>
    <n v="1010"/>
    <x v="4"/>
    <n v="101.4724466666667"/>
    <n v="50.012309013888888"/>
    <n v="0.42280186111111123"/>
    <n v="0.20838462089120369"/>
    <n v="6"/>
    <n v="5.0736223333333346"/>
  </r>
  <r>
    <n v="1010"/>
    <x v="5"/>
    <n v="121.75512999999999"/>
    <n v="60.803558111111109"/>
    <n v="0.50731304166666658"/>
    <n v="0.2533481587962963"/>
    <n v="7"/>
    <n v="6.0877564999999993"/>
  </r>
  <r>
    <n v="1010"/>
    <x v="6"/>
    <n v="86.954111944444449"/>
    <n v="40.260553847222219"/>
    <n v="0.36230879976851854"/>
    <n v="0.16775230769675922"/>
    <n v="5"/>
    <n v="4.3477055972222223"/>
  </r>
  <r>
    <n v="1010"/>
    <x v="7"/>
    <n v="53.752969444444453"/>
    <n v="26.581022983091671"/>
    <n v="0.22397070601851854"/>
    <n v="0.11075426242954862"/>
    <n v="3"/>
    <n v="2.6876484722222225"/>
  </r>
  <r>
    <n v="1010"/>
    <x v="9"/>
    <n v="19.608747777777779"/>
    <n v="4.5990921825394446"/>
    <n v="8.1703115740740753E-2"/>
    <n v="1.9162884093914354E-2"/>
    <n v="1"/>
    <n v="0.98043738888888909"/>
  </r>
  <r>
    <n v="1010"/>
    <x v="11"/>
    <n v="86.91979388888889"/>
    <n v="43.571278452380831"/>
    <n v="0.36216580787037039"/>
    <n v="0.18154699355158679"/>
    <n v="5"/>
    <n v="4.3459896944444445"/>
  </r>
  <r>
    <n v="1011"/>
    <x v="0"/>
    <n v="63.029722222222219"/>
    <n v="58.071111111111115"/>
    <n v="0.26262384259259258"/>
    <n v="0.24196296296296296"/>
    <n v="4"/>
    <n v="3.1514861111111108"/>
  </r>
  <r>
    <n v="1011"/>
    <x v="1"/>
    <n v="36.188634722222233"/>
    <n v="32.772934633838332"/>
    <n v="0.1507859780092593"/>
    <n v="0.13655389430765971"/>
    <n v="2"/>
    <n v="1.8094317361111116"/>
  </r>
  <r>
    <n v="1011"/>
    <x v="2"/>
    <n v="35.642509444444443"/>
    <n v="33.134930958333342"/>
    <n v="0.14851045601851851"/>
    <n v="0.13806221232638893"/>
    <n v="2"/>
    <n v="1.782125472222222"/>
  </r>
  <r>
    <n v="1011"/>
    <x v="3"/>
    <n v="35.79333611111111"/>
    <n v="32.171209232804173"/>
    <n v="0.14913890046296296"/>
    <n v="0.13404670513668407"/>
    <n v="2"/>
    <n v="1.7896668055555556"/>
  </r>
  <r>
    <n v="1011"/>
    <x v="4"/>
    <n v="35.870734166666672"/>
    <n v="33.963523986111113"/>
    <n v="0.14946139236111114"/>
    <n v="0.14151468327546299"/>
    <n v="2"/>
    <n v="1.7935367083333338"/>
  </r>
  <r>
    <n v="1011"/>
    <x v="5"/>
    <n v="35.872640833333342"/>
    <n v="32.127202569444442"/>
    <n v="0.1494693368055556"/>
    <n v="0.13386334403935185"/>
    <n v="2"/>
    <n v="1.7936320416666671"/>
  </r>
  <r>
    <n v="1011"/>
    <x v="6"/>
    <n v="75.196510555555562"/>
    <n v="48.674716917989173"/>
    <n v="0.31331879398148149"/>
    <n v="0.20281132049162154"/>
    <n v="4"/>
    <n v="3.7598255277777781"/>
  </r>
  <r>
    <n v="1011"/>
    <x v="7"/>
    <n v="104.0531252777778"/>
    <n v="97.109988417874163"/>
    <n v="0.43355468865740748"/>
    <n v="0.40462495174114238"/>
    <n v="6"/>
    <n v="5.2026562638888896"/>
  </r>
  <r>
    <n v="1011"/>
    <x v="8"/>
    <n v="99.191473888888893"/>
    <n v="97.025251999999995"/>
    <n v="0.4132978078703704"/>
    <n v="0.40427188333333336"/>
    <n v="5"/>
    <n v="4.9595736944444448"/>
  </r>
  <r>
    <n v="1011"/>
    <x v="9"/>
    <n v="99.977512777777775"/>
    <n v="96.8515538762625"/>
    <n v="0.41657296990740739"/>
    <n v="0.40354814115109372"/>
    <n v="5"/>
    <n v="4.9988756388888884"/>
  </r>
  <r>
    <n v="1011"/>
    <x v="10"/>
    <n v="99.244028333333333"/>
    <n v="96.579971780302785"/>
    <n v="0.41351678472222225"/>
    <n v="0.40241654908459495"/>
    <n v="5"/>
    <n v="4.9622014166666668"/>
  </r>
  <r>
    <n v="1011"/>
    <x v="11"/>
    <n v="99.325539722222217"/>
    <n v="96.441293835978612"/>
    <n v="0.41385641550925922"/>
    <n v="0.40183872431657752"/>
    <n v="5"/>
    <n v="4.9662769861111107"/>
  </r>
  <r>
    <n v="1012"/>
    <x v="0"/>
    <n v="59.862499999999997"/>
    <n v="45.845833333333331"/>
    <n v="0.24942708333333333"/>
    <n v="0.19102430555555552"/>
    <n v="3"/>
    <n v="2.993125"/>
  </r>
  <r>
    <n v="1012"/>
    <x v="1"/>
    <n v="40.002407499999997"/>
    <n v="37.583974785353327"/>
    <n v="0.16667669791666664"/>
    <n v="0.1565998949389722"/>
    <n v="3"/>
    <n v="2.0001203749999998"/>
  </r>
  <r>
    <n v="1012"/>
    <x v="2"/>
    <n v="40.661899166666657"/>
    <n v="35.337045814814722"/>
    <n v="0.16942457986111106"/>
    <n v="0.14723769089506134"/>
    <n v="3"/>
    <n v="2.0330949583333329"/>
  </r>
  <r>
    <n v="1012"/>
    <x v="3"/>
    <n v="40.821617500000002"/>
    <n v="37.365841243386107"/>
    <n v="0.17009007291666667"/>
    <n v="0.15569100518077544"/>
    <n v="3"/>
    <n v="2.041080875"/>
  </r>
  <r>
    <n v="1012"/>
    <x v="4"/>
    <n v="40.621624166666663"/>
    <n v="36.212668111111107"/>
    <n v="0.16925676736111109"/>
    <n v="0.1508861171296296"/>
    <n v="3"/>
    <n v="2.0310812083333332"/>
  </r>
  <r>
    <n v="1012"/>
    <x v="5"/>
    <n v="40.477013333333332"/>
    <n v="27.163125611111109"/>
    <n v="0.16865422222222223"/>
    <n v="0.11317969004629629"/>
    <n v="3"/>
    <n v="2.0238506666666667"/>
  </r>
  <r>
    <n v="1012"/>
    <x v="6"/>
    <n v="81.463948888888893"/>
    <n v="57.720755952380827"/>
    <n v="0.33943312037037038"/>
    <n v="0.2405031498015868"/>
    <n v="5"/>
    <n v="4.0731974444444443"/>
  </r>
  <r>
    <n v="1012"/>
    <x v="7"/>
    <n v="81.93911138888889"/>
    <n v="62.110772342994998"/>
    <n v="0.34141296412037042"/>
    <n v="0.25879488476247919"/>
    <n v="5"/>
    <n v="4.0969555694444448"/>
  </r>
  <r>
    <n v="1012"/>
    <x v="9"/>
    <n v="101.83727055555561"/>
    <n v="64.938066553030282"/>
    <n v="0.42432196064814837"/>
    <n v="0.27057527730429282"/>
    <n v="6"/>
    <n v="5.0918635277777806"/>
  </r>
  <r>
    <n v="1012"/>
    <x v="10"/>
    <n v="82.030845833333331"/>
    <n v="65.828545701058061"/>
    <n v="0.34179519097222216"/>
    <n v="0.27428560708774191"/>
    <n v="5"/>
    <n v="4.1015422916666662"/>
  </r>
  <r>
    <n v="1012"/>
    <x v="11"/>
    <n v="108.6303030555556"/>
    <n v="80.042063465608337"/>
    <n v="0.45262626273148165"/>
    <n v="0.33350859777336805"/>
    <n v="6"/>
    <n v="5.4315151527777799"/>
  </r>
  <r>
    <n v="1013"/>
    <x v="0"/>
    <n v="54.433055555555555"/>
    <n v="47.393055555555556"/>
    <n v="0.22680439814814815"/>
    <n v="0.1974710648148148"/>
    <n v="3"/>
    <n v="2.7216527777777779"/>
  </r>
  <r>
    <n v="1013"/>
    <x v="1"/>
    <n v="39.015078055555563"/>
    <n v="26.65105054292917"/>
    <n v="0.16256282523148149"/>
    <n v="0.11104604392887153"/>
    <n v="2"/>
    <n v="1.950753902777778"/>
  </r>
  <r>
    <n v="1013"/>
    <x v="2"/>
    <n v="34.442335833333331"/>
    <n v="19.12867005555556"/>
    <n v="0.14350973263888889"/>
    <n v="7.9702791898148162E-2"/>
    <n v="2"/>
    <n v="1.7221167916666666"/>
  </r>
  <r>
    <n v="1013"/>
    <x v="3"/>
    <n v="54.232177777777778"/>
    <n v="35.337412182539452"/>
    <n v="0.22596740740740739"/>
    <n v="0.14723921742724771"/>
    <n v="3"/>
    <n v="2.7116088888888887"/>
  </r>
  <r>
    <n v="1013"/>
    <x v="4"/>
    <n v="58.586298055555552"/>
    <n v="56.231455638888889"/>
    <n v="0.24410957523148147"/>
    <n v="0.2342977318287037"/>
    <n v="3"/>
    <n v="2.9293149027777776"/>
  </r>
  <r>
    <n v="1013"/>
    <x v="5"/>
    <n v="57.546518611111111"/>
    <n v="56.147109499999999"/>
    <n v="0.23977716087962964"/>
    <n v="0.23394628958333333"/>
    <n v="3"/>
    <n v="2.8773259305555556"/>
  </r>
  <r>
    <n v="1013"/>
    <x v="6"/>
    <n v="58.275823611111107"/>
    <n v="56.344614069444447"/>
    <n v="0.24281593171296292"/>
    <n v="0.23476922528935185"/>
    <n v="3"/>
    <n v="2.9137911805555552"/>
  </r>
  <r>
    <n v="1013"/>
    <x v="7"/>
    <n v="58.183954444444453"/>
    <n v="56.465456630434723"/>
    <n v="0.24243314351851855"/>
    <n v="0.23527273596014467"/>
    <n v="3"/>
    <n v="2.9091977222222227"/>
  </r>
  <r>
    <n v="1013"/>
    <x v="8"/>
    <n v="74.516986111111109"/>
    <n v="69.93678808333334"/>
    <n v="0.31048744212962959"/>
    <n v="0.29140328368055557"/>
    <n v="4"/>
    <n v="3.7258493055555553"/>
  </r>
  <r>
    <n v="1013"/>
    <x v="9"/>
    <n v="79.430764722222222"/>
    <n v="58.883036464646388"/>
    <n v="0.33096151967592591"/>
    <n v="0.24534598526935994"/>
    <n v="4"/>
    <n v="3.9715382361111109"/>
  </r>
  <r>
    <n v="1013"/>
    <x v="10"/>
    <n v="80.79214972222222"/>
    <n v="77.367302335858327"/>
    <n v="0.33663395717592587"/>
    <n v="0.32236375973274306"/>
    <n v="5"/>
    <n v="4.0396074861111106"/>
  </r>
  <r>
    <n v="1013"/>
    <x v="11"/>
    <n v="58.172609444444447"/>
    <n v="56.222450291005281"/>
    <n v="0.24238587268518519"/>
    <n v="0.23426020954585533"/>
    <n v="3"/>
    <n v="2.9086304722222223"/>
  </r>
  <r>
    <n v="1014"/>
    <x v="0"/>
    <n v="53.670555555555552"/>
    <n v="38.978055555555557"/>
    <n v="0.22362731481481479"/>
    <n v="0.16240856481481483"/>
    <n v="3"/>
    <n v="2.6835277777777775"/>
  </r>
  <r>
    <n v="1014"/>
    <x v="1"/>
    <n v="70.021980277777772"/>
    <n v="43.028260861111107"/>
    <n v="0.29175825115740739"/>
    <n v="0.17928442025462962"/>
    <n v="4"/>
    <n v="3.5010990138888887"/>
  </r>
  <r>
    <n v="1014"/>
    <x v="2"/>
    <n v="42.377189722222219"/>
    <n v="34.933065569444437"/>
    <n v="0.17657162384259259"/>
    <n v="0.14555443987268515"/>
    <n v="3"/>
    <n v="2.118859486111111"/>
  </r>
  <r>
    <n v="1014"/>
    <x v="3"/>
    <n v="41.376823333333327"/>
    <n v="29.840016812169171"/>
    <n v="0.17240343055555551"/>
    <n v="0.12433340338403821"/>
    <n v="3"/>
    <n v="2.0688411666666662"/>
  </r>
  <r>
    <n v="1014"/>
    <x v="4"/>
    <n v="33.265562222222222"/>
    <n v="22.30401480555556"/>
    <n v="0.13860650925925924"/>
    <n v="9.2933395023148166E-2"/>
    <n v="2"/>
    <n v="1.663278111111111"/>
  </r>
  <r>
    <n v="1014"/>
    <x v="5"/>
    <n v="31.873962500000001"/>
    <n v="22.959315930555551"/>
    <n v="0.13280817708333334"/>
    <n v="9.5663816377314803E-2"/>
    <n v="2"/>
    <n v="1.593698125"/>
  </r>
  <r>
    <n v="1014"/>
    <x v="6"/>
    <n v="41.65904472222222"/>
    <n v="30.162465648148061"/>
    <n v="0.17357935300925922"/>
    <n v="0.12567694020061693"/>
    <n v="3"/>
    <n v="2.0829522361111108"/>
  </r>
  <r>
    <n v="1014"/>
    <x v="7"/>
    <n v="41.493658611111108"/>
    <n v="31.069393466183332"/>
    <n v="0.17289024421296295"/>
    <n v="0.12945580610909721"/>
    <n v="3"/>
    <n v="2.0746829305555554"/>
  </r>
  <r>
    <n v="1014"/>
    <x v="8"/>
    <n v="173.30866138888891"/>
    <n v="134.71064274305559"/>
    <n v="0.72211942245370375"/>
    <n v="0.56129434476273155"/>
    <n v="9"/>
    <n v="8.665433069444445"/>
  </r>
  <r>
    <n v="1014"/>
    <x v="9"/>
    <n v="43.044552777777781"/>
    <n v="41.06294751262611"/>
    <n v="0.17935230324074078"/>
    <n v="0.17109561463594214"/>
    <n v="3"/>
    <n v="2.1522276388888892"/>
  </r>
  <r>
    <n v="1014"/>
    <x v="10"/>
    <n v="83.925570833333339"/>
    <n v="41.076941755050278"/>
    <n v="0.34968987847222222"/>
    <n v="0.17115392397937615"/>
    <n v="5"/>
    <n v="4.1962785416666666"/>
  </r>
  <r>
    <n v="1014"/>
    <x v="11"/>
    <n v="41.698929166666673"/>
    <n v="36.58780392857139"/>
    <n v="0.17374553819444447"/>
    <n v="0.15244918303571411"/>
    <n v="3"/>
    <n v="2.0849464583333335"/>
  </r>
  <r>
    <n v="1015"/>
    <x v="0"/>
    <n v="53.544999999999995"/>
    <n v="37.584166666666668"/>
    <n v="0.22310416666666666"/>
    <n v="0.15660069444444444"/>
    <n v="3"/>
    <n v="2.6772499999999999"/>
  </r>
  <r>
    <n v="1015"/>
    <x v="1"/>
    <n v="59.151770277777779"/>
    <n v="45.712546830808058"/>
    <n v="0.24646570949074076"/>
    <n v="0.1904689451283669"/>
    <n v="3"/>
    <n v="2.9575885138888891"/>
  </r>
  <r>
    <n v="1015"/>
    <x v="2"/>
    <n v="58.284448055555558"/>
    <n v="37.04309172979778"/>
    <n v="0.24285186689814817"/>
    <n v="0.15434621554082409"/>
    <n v="3"/>
    <n v="2.9142224027777779"/>
  </r>
  <r>
    <n v="1015"/>
    <x v="3"/>
    <n v="58.310546666666667"/>
    <n v="42.42903145502639"/>
    <n v="0.24296061111111111"/>
    <n v="0.17678763106260997"/>
    <n v="3"/>
    <n v="2.9155273333333334"/>
  </r>
  <r>
    <n v="1015"/>
    <x v="4"/>
    <n v="58.121072222222217"/>
    <n v="40.567899305555557"/>
    <n v="0.24217113425925926"/>
    <n v="0.16903291377314814"/>
    <n v="3"/>
    <n v="2.906053611111111"/>
  </r>
  <r>
    <n v="1015"/>
    <x v="5"/>
    <n v="58.487339166666658"/>
    <n v="38.6365913257575"/>
    <n v="0.24369724652777772"/>
    <n v="0.16098579719065625"/>
    <n v="3"/>
    <n v="2.9243669583333327"/>
  </r>
  <r>
    <n v="1015"/>
    <x v="6"/>
    <n v="58.251403888888888"/>
    <n v="42.051169947089733"/>
    <n v="0.24271418287037036"/>
    <n v="0.17521320811287389"/>
    <n v="3"/>
    <n v="2.9125701944444442"/>
  </r>
  <r>
    <n v="1015"/>
    <x v="7"/>
    <n v="58.211616666666657"/>
    <n v="40.925363285023892"/>
    <n v="0.24254840277777776"/>
    <n v="0.17052234702093286"/>
    <n v="3"/>
    <n v="2.910580833333333"/>
  </r>
  <r>
    <n v="1015"/>
    <x v="8"/>
    <n v="58.581470277777782"/>
    <n v="41.32196434722222"/>
    <n v="0.24408945949074076"/>
    <n v="0.17217485144675926"/>
    <n v="3"/>
    <n v="2.929073513888889"/>
  </r>
  <r>
    <n v="1015"/>
    <x v="9"/>
    <n v="58.378142500000003"/>
    <n v="41.940958484848331"/>
    <n v="0.24324226041666666"/>
    <n v="0.17475399368686806"/>
    <n v="3"/>
    <n v="2.918907125"/>
  </r>
  <r>
    <n v="1015"/>
    <x v="10"/>
    <n v="58.384717222222221"/>
    <n v="39.776474637681112"/>
    <n v="0.24326965509259257"/>
    <n v="0.16573531099033798"/>
    <n v="3"/>
    <n v="2.9192358611111109"/>
  </r>
  <r>
    <n v="1015"/>
    <x v="11"/>
    <n v="58.375913055555557"/>
    <n v="40.602625449735278"/>
    <n v="0.24323297106481481"/>
    <n v="0.16917760604056364"/>
    <n v="3"/>
    <n v="2.9187956527777779"/>
  </r>
  <r>
    <n v="1016"/>
    <x v="0"/>
    <n v="50.777222222222221"/>
    <n v="50.296388888888892"/>
    <n v="0.21157175925925928"/>
    <n v="0.20956828703703703"/>
    <n v="3"/>
    <n v="2.5388611111111112"/>
  </r>
  <r>
    <n v="1016"/>
    <x v="1"/>
    <n v="55.395222777777782"/>
    <n v="55.172670025252501"/>
    <n v="0.23081342824074078"/>
    <n v="0.22988612510521875"/>
    <n v="3"/>
    <n v="2.7697611388888892"/>
  </r>
  <r>
    <n v="1016"/>
    <x v="2"/>
    <n v="55.340200833333327"/>
    <n v="55.220658527777779"/>
    <n v="0.23058417013888888"/>
    <n v="0.23008607719907406"/>
    <n v="3"/>
    <n v="2.7670100416666665"/>
  </r>
  <r>
    <n v="1016"/>
    <x v="3"/>
    <n v="55.323778333333337"/>
    <n v="55.182553941798894"/>
    <n v="0.23051574305555556"/>
    <n v="0.22992730809082873"/>
    <n v="3"/>
    <n v="2.7661889166666667"/>
  </r>
  <r>
    <n v="1016"/>
    <x v="4"/>
    <n v="55.314829722222221"/>
    <n v="53.88499065277778"/>
    <n v="0.23047845717592594"/>
    <n v="0.2245207943865741"/>
    <n v="3"/>
    <n v="2.7657414861111111"/>
  </r>
  <r>
    <n v="1016"/>
    <x v="5"/>
    <n v="55.475513611111111"/>
    <n v="55.200725111111112"/>
    <n v="0.23114797337962964"/>
    <n v="0.23000302129629632"/>
    <n v="3"/>
    <n v="2.7737756805555556"/>
  </r>
  <r>
    <n v="1016"/>
    <x v="6"/>
    <n v="55.483274999999999"/>
    <n v="52.864437486772218"/>
    <n v="0.23118031250000001"/>
    <n v="0.22026848952821756"/>
    <n v="3"/>
    <n v="2.77416375"/>
  </r>
  <r>
    <n v="1016"/>
    <x v="7"/>
    <n v="55.445090833333332"/>
    <n v="55.372771316425002"/>
    <n v="0.23102121180555554"/>
    <n v="0.23071988048510417"/>
    <n v="3"/>
    <n v="2.7722545416666664"/>
  </r>
  <r>
    <n v="1016"/>
    <x v="8"/>
    <n v="55.385424166666667"/>
    <n v="55.236557249999997"/>
    <n v="0.23077260069444447"/>
    <n v="0.23015232187499998"/>
    <n v="3"/>
    <n v="2.7692712083333335"/>
  </r>
  <r>
    <n v="1016"/>
    <x v="9"/>
    <n v="55.369650277777779"/>
    <n v="55.249389507575557"/>
    <n v="0.2307068761574074"/>
    <n v="0.23020578961489815"/>
    <n v="3"/>
    <n v="2.7684825138888889"/>
  </r>
  <r>
    <n v="1016"/>
    <x v="10"/>
    <n v="55.392805277777782"/>
    <n v="54.883913838383613"/>
    <n v="0.23080335532407412"/>
    <n v="0.22868297432659837"/>
    <n v="3"/>
    <n v="2.7696402638888893"/>
  </r>
  <r>
    <n v="1016"/>
    <x v="11"/>
    <n v="55.399816388888887"/>
    <n v="55.286852010581953"/>
    <n v="0.23083256828703702"/>
    <n v="0.2303618833774248"/>
    <n v="3"/>
    <n v="2.7699908194444443"/>
  </r>
  <r>
    <n v="1017"/>
    <x v="0"/>
    <n v="49.330555555555556"/>
    <n v="32.954999999999998"/>
    <n v="0.20554398148148148"/>
    <n v="0.13731249999999998"/>
    <n v="3"/>
    <n v="2.4665277777777779"/>
  </r>
  <r>
    <n v="1017"/>
    <x v="1"/>
    <n v="129.123965"/>
    <n v="75.955080265151395"/>
    <n v="0.53801652083333329"/>
    <n v="0.31647950110479744"/>
    <n v="7"/>
    <n v="6.4561982499999999"/>
  </r>
  <r>
    <n v="1017"/>
    <x v="2"/>
    <n v="70.627466111111104"/>
    <n v="41.762704666666657"/>
    <n v="0.29428110879629626"/>
    <n v="0.17401126944444442"/>
    <n v="4"/>
    <n v="3.5313733055555554"/>
  </r>
  <r>
    <n v="1017"/>
    <x v="3"/>
    <n v="76.821850277777784"/>
    <n v="50.663637738094998"/>
    <n v="0.32009104282407413"/>
    <n v="0.21109849057539584"/>
    <n v="4"/>
    <n v="3.8410925138888894"/>
  </r>
  <r>
    <n v="1017"/>
    <x v="4"/>
    <n v="35.003466388888889"/>
    <n v="27.557838972222221"/>
    <n v="0.14584777662037038"/>
    <n v="0.11482432905092592"/>
    <n v="2"/>
    <n v="1.7501733194444444"/>
  </r>
  <r>
    <n v="1017"/>
    <x v="5"/>
    <n v="45.011857499999998"/>
    <n v="29.187371333333331"/>
    <n v="0.18754940624999997"/>
    <n v="0.1216140472222222"/>
    <n v="3"/>
    <n v="2.2505928749999997"/>
  </r>
  <r>
    <n v="1017"/>
    <x v="6"/>
    <n v="41.377958055555553"/>
    <n v="32.330761361111108"/>
    <n v="0.17240815856481481"/>
    <n v="0.13471150567129628"/>
    <n v="3"/>
    <n v="2.0688979027777776"/>
  </r>
  <r>
    <n v="1017"/>
    <x v="7"/>
    <n v="65.272211666666664"/>
    <n v="48.78477291062778"/>
    <n v="0.27196754861111111"/>
    <n v="0.20326988712761573"/>
    <n v="4"/>
    <n v="3.2636105833333335"/>
  </r>
  <r>
    <n v="1017"/>
    <x v="8"/>
    <n v="7.5822874999999996"/>
    <n v="2.5823758564813888"/>
    <n v="3.1592864583333331E-2"/>
    <n v="1.0759899402005786E-2"/>
    <n v="1"/>
    <n v="0.379114375"/>
  </r>
  <r>
    <n v="1017"/>
    <x v="9"/>
    <n v="37.806818888888891"/>
    <n v="26.538280176767501"/>
    <n v="0.15752841203703705"/>
    <n v="0.11057616740319792"/>
    <n v="2"/>
    <n v="1.8903409444444446"/>
  </r>
  <r>
    <n v="1017"/>
    <x v="10"/>
    <n v="17.575677222222222"/>
    <n v="12.270625921716951"/>
    <n v="7.3231988425925917E-2"/>
    <n v="5.1127608007153963E-2"/>
    <n v="1"/>
    <n v="0.87878386111111095"/>
  </r>
  <r>
    <n v="1017"/>
    <x v="11"/>
    <n v="65.763087499999997"/>
    <n v="47.825794973544717"/>
    <n v="0.27401286458333335"/>
    <n v="0.19927414572310298"/>
    <n v="4"/>
    <n v="3.2881543750000004"/>
  </r>
  <r>
    <n v="1018"/>
    <x v="0"/>
    <n v="47.851388888888891"/>
    <n v="41.12361111111111"/>
    <n v="0.19938078703703707"/>
    <n v="0.17134837962962965"/>
    <n v="3"/>
    <n v="2.3925694444444447"/>
  </r>
  <r>
    <n v="1018"/>
    <x v="1"/>
    <n v="143.42861555555561"/>
    <n v="122.4111454292928"/>
    <n v="0.59761923148148177"/>
    <n v="0.51004643928871995"/>
    <n v="8"/>
    <n v="7.1714307777777808"/>
  </r>
  <r>
    <n v="1018"/>
    <x v="2"/>
    <n v="86.099924999999999"/>
    <n v="80.172308888888892"/>
    <n v="0.35874968750000003"/>
    <n v="0.33405128703703707"/>
    <n v="5"/>
    <n v="4.3049962500000003"/>
  </r>
  <r>
    <n v="1018"/>
    <x v="3"/>
    <n v="63.04136861111111"/>
    <n v="47.062939814814719"/>
    <n v="0.26267236921296294"/>
    <n v="0.19609558256172799"/>
    <n v="4"/>
    <n v="3.1520684305555555"/>
  </r>
  <r>
    <n v="1018"/>
    <x v="4"/>
    <n v="48.14333222222222"/>
    <n v="28.045368819444441"/>
    <n v="0.20059721759259261"/>
    <n v="0.11685570341435185"/>
    <n v="3"/>
    <n v="2.4071666111111112"/>
  </r>
  <r>
    <n v="1018"/>
    <x v="5"/>
    <n v="29.859763611111109"/>
    <n v="27.72361168055556"/>
    <n v="0.12441568171296295"/>
    <n v="0.1155150486689815"/>
    <n v="2"/>
    <n v="1.4929881805555554"/>
  </r>
  <r>
    <n v="1018"/>
    <x v="6"/>
    <n v="28.69801416666667"/>
    <n v="23.565794986111111"/>
    <n v="0.11957505902777781"/>
    <n v="9.8190812442129627E-2"/>
    <n v="2"/>
    <n v="1.4349007083333336"/>
  </r>
  <r>
    <n v="1018"/>
    <x v="7"/>
    <n v="28.499101666666672"/>
    <n v="28.058728164251111"/>
    <n v="0.11874625694444446"/>
    <n v="0.11691136735104629"/>
    <n v="2"/>
    <n v="1.4249550833333335"/>
  </r>
  <r>
    <n v="1018"/>
    <x v="8"/>
    <n v="59.418163888888891"/>
    <n v="55.326591791666672"/>
    <n v="0.24757568287037038"/>
    <n v="0.23052746579861114"/>
    <n v="3"/>
    <n v="2.9709081944444446"/>
  </r>
  <r>
    <n v="1018"/>
    <x v="9"/>
    <n v="28.999936111111111"/>
    <n v="27.79534761363611"/>
    <n v="0.12083306712962964"/>
    <n v="0.11581394839015047"/>
    <n v="2"/>
    <n v="1.4499968055555557"/>
  </r>
  <r>
    <n v="1018"/>
    <x v="10"/>
    <n v="29.227207499999999"/>
    <n v="27.201703232323059"/>
    <n v="0.12178003124999999"/>
    <n v="0.11334043013467941"/>
    <n v="2"/>
    <n v="1.4613603749999999"/>
  </r>
  <r>
    <n v="1018"/>
    <x v="11"/>
    <n v="28.800254444444441"/>
    <n v="26.119767169311949"/>
    <n v="0.12000106018518518"/>
    <n v="0.10883236320546645"/>
    <n v="2"/>
    <n v="1.4400127222222221"/>
  </r>
  <r>
    <n v="1019"/>
    <x v="0"/>
    <n v="45.829444444444448"/>
    <n v="35.639722222222218"/>
    <n v="0.19095601851851854"/>
    <n v="0.14849884259259258"/>
    <n v="3"/>
    <n v="2.2914722222222226"/>
  </r>
  <r>
    <n v="1019"/>
    <x v="1"/>
    <n v="56.254299166666669"/>
    <n v="32.951610429292778"/>
    <n v="0.23439291319444444"/>
    <n v="0.13729837678871989"/>
    <n v="3"/>
    <n v="2.8127149583333333"/>
  </r>
  <r>
    <n v="1019"/>
    <x v="2"/>
    <n v="56.128704166666672"/>
    <n v="48.405522041666657"/>
    <n v="0.23386960069444448"/>
    <n v="0.20168967517361105"/>
    <n v="3"/>
    <n v="2.8064352083333337"/>
  </r>
  <r>
    <n v="1019"/>
    <x v="3"/>
    <n v="52.944316388888893"/>
    <n v="44.343533611111113"/>
    <n v="0.22060131828703708"/>
    <n v="0.18476472337962965"/>
    <n v="3"/>
    <n v="2.6472158194444448"/>
  </r>
  <r>
    <n v="1019"/>
    <x v="4"/>
    <n v="52.849555277777768"/>
    <n v="44.209201194444447"/>
    <n v="0.22020648032407406"/>
    <n v="0.18420500497685185"/>
    <n v="3"/>
    <n v="2.6424777638888886"/>
  </r>
  <r>
    <n v="1019"/>
    <x v="5"/>
    <n v="53.749341666666673"/>
    <n v="46.46950152777778"/>
    <n v="0.22395559027777781"/>
    <n v="0.19362292303240744"/>
    <n v="3"/>
    <n v="2.6874670833333338"/>
  </r>
  <r>
    <n v="1019"/>
    <x v="6"/>
    <n v="79.058335555555558"/>
    <n v="58.577775132275001"/>
    <n v="0.3294097314814815"/>
    <n v="0.24407406305114585"/>
    <n v="4"/>
    <n v="3.9529167777777783"/>
  </r>
  <r>
    <n v="1019"/>
    <x v="7"/>
    <n v="54.467335833333337"/>
    <n v="44.515780676328333"/>
    <n v="0.22694723263888891"/>
    <n v="0.18548241948470137"/>
    <n v="3"/>
    <n v="2.7233667916666668"/>
  </r>
  <r>
    <n v="1019"/>
    <x v="8"/>
    <n v="14.44306027777778"/>
    <n v="4.4355191805555556"/>
    <n v="6.0179417824074079E-2"/>
    <n v="1.8481329918981482E-2"/>
    <n v="1"/>
    <n v="0.72215301388888897"/>
  </r>
  <r>
    <n v="1019"/>
    <x v="9"/>
    <n v="51.877474999999997"/>
    <n v="41.915018282828058"/>
    <n v="0.21615614583333331"/>
    <n v="0.17464590951178358"/>
    <n v="3"/>
    <n v="2.5938737499999998"/>
  </r>
  <r>
    <n v="1019"/>
    <x v="10"/>
    <n v="25.42317222222222"/>
    <n v="16.51646837121195"/>
    <n v="0.10592988425925925"/>
    <n v="6.8818618213383129E-2"/>
    <n v="2"/>
    <n v="1.2711586111111111"/>
  </r>
  <r>
    <n v="1019"/>
    <x v="11"/>
    <n v="52.757669444444453"/>
    <n v="45.333790939153332"/>
    <n v="0.21982362268518521"/>
    <n v="0.18889079557980556"/>
    <n v="3"/>
    <n v="2.6378834722222226"/>
  </r>
  <r>
    <n v="1020"/>
    <x v="0"/>
    <n v="43.615833333333327"/>
    <n v="22.074166666666667"/>
    <n v="0.18173263888888888"/>
    <n v="9.1975694444444436E-2"/>
    <n v="3"/>
    <n v="2.1807916666666665"/>
  </r>
  <r>
    <n v="1020"/>
    <x v="1"/>
    <n v="32.064911944444447"/>
    <n v="23.55586542929278"/>
    <n v="0.13360379976851852"/>
    <n v="9.8149439288719928E-2"/>
    <n v="2"/>
    <n v="1.6032455972222222"/>
  </r>
  <r>
    <n v="1020"/>
    <x v="2"/>
    <n v="45.548751388888888"/>
    <n v="22.74079740277778"/>
    <n v="0.18978646412037037"/>
    <n v="9.475332251157409E-2"/>
    <n v="3"/>
    <n v="2.2774375694444444"/>
  </r>
  <r>
    <n v="1020"/>
    <x v="3"/>
    <n v="30.498373611111109"/>
    <n v="21.932849880952219"/>
    <n v="0.12707655671296295"/>
    <n v="9.1386874503967583E-2"/>
    <n v="2"/>
    <n v="1.5249186805555555"/>
  </r>
  <r>
    <n v="1020"/>
    <x v="4"/>
    <n v="29.184560277777781"/>
    <n v="22.073510083333328"/>
    <n v="0.12160233449074076"/>
    <n v="9.1972958680555536E-2"/>
    <n v="2"/>
    <n v="1.4592280138888891"/>
  </r>
  <r>
    <n v="1020"/>
    <x v="5"/>
    <n v="89.251703611111111"/>
    <n v="33.809392527777767"/>
    <n v="0.3718820983796296"/>
    <n v="0.1408724688657407"/>
    <n v="5"/>
    <n v="4.4625851805555552"/>
  </r>
  <r>
    <n v="1020"/>
    <x v="6"/>
    <n v="84.524846388888889"/>
    <n v="31.836473027777782"/>
    <n v="0.35218685995370369"/>
    <n v="0.13265197094907408"/>
    <n v="5"/>
    <n v="4.2262423194444443"/>
  </r>
  <r>
    <n v="1020"/>
    <x v="7"/>
    <n v="52.777614166666673"/>
    <n v="27.948624855072222"/>
    <n v="0.21990672569444447"/>
    <n v="0.11645260356280092"/>
    <n v="3"/>
    <n v="2.6388807083333337"/>
  </r>
  <r>
    <n v="1020"/>
    <x v="8"/>
    <n v="23.577105277777779"/>
    <n v="16.551511180555551"/>
    <n v="9.8237938657407417E-2"/>
    <n v="6.896462991898146E-2"/>
    <n v="2"/>
    <n v="1.1788552638888889"/>
  </r>
  <r>
    <n v="1020"/>
    <x v="9"/>
    <n v="88.056686944444451"/>
    <n v="27.48796210858583"/>
    <n v="0.36690286226851859"/>
    <n v="0.11453317545244096"/>
    <n v="5"/>
    <n v="4.4028343472222229"/>
  </r>
  <r>
    <n v="1020"/>
    <x v="10"/>
    <n v="17.96917361111111"/>
    <n v="14.880101565656391"/>
    <n v="7.4871556712962958E-2"/>
    <n v="6.2000423190234966E-2"/>
    <n v="1"/>
    <n v="0.89845868055555544"/>
  </r>
  <r>
    <n v="1020"/>
    <x v="11"/>
    <n v="29.934133611111111"/>
    <n v="22.072584550264441"/>
    <n v="0.12472555671296297"/>
    <n v="9.1969102292768501E-2"/>
    <n v="2"/>
    <n v="1.4967066805555556"/>
  </r>
  <r>
    <n v="1021"/>
    <x v="0"/>
    <n v="43.262500000000003"/>
    <n v="31.349166666666669"/>
    <n v="0.18026041666666667"/>
    <n v="0.13062152777777777"/>
    <n v="3"/>
    <n v="2.163125"/>
  </r>
  <r>
    <n v="1021"/>
    <x v="1"/>
    <n v="43.651248055555563"/>
    <n v="36.964633977272499"/>
    <n v="0.18188020023148152"/>
    <n v="0.15401930823863541"/>
    <n v="3"/>
    <n v="2.1825624027777781"/>
  </r>
  <r>
    <n v="1021"/>
    <x v="2"/>
    <n v="59.371605833333327"/>
    <n v="37.553809958333332"/>
    <n v="0.24738169097222218"/>
    <n v="0.15647420815972221"/>
    <n v="3"/>
    <n v="2.9685802916666661"/>
  </r>
  <r>
    <n v="1021"/>
    <x v="3"/>
    <n v="43.709391388888889"/>
    <n v="36.382944589946938"/>
    <n v="0.18212246412037036"/>
    <n v="0.15159560245811224"/>
    <n v="3"/>
    <n v="2.1854695694444444"/>
  </r>
  <r>
    <n v="1021"/>
    <x v="4"/>
    <n v="41.443756944444438"/>
    <n v="35.088099972222217"/>
    <n v="0.17268232060185182"/>
    <n v="0.14620041655092589"/>
    <n v="3"/>
    <n v="2.0721878472222217"/>
  </r>
  <r>
    <n v="1021"/>
    <x v="5"/>
    <n v="38.667784444444443"/>
    <n v="29.922865171957501"/>
    <n v="0.16111576851851853"/>
    <n v="0.12467860488315625"/>
    <n v="2"/>
    <n v="1.9333892222222224"/>
  </r>
  <r>
    <n v="1021"/>
    <x v="6"/>
    <n v="61.922874722222232"/>
    <n v="22.19758953703694"/>
    <n v="0.25801197800925929"/>
    <n v="9.2489956404320575E-2"/>
    <n v="4"/>
    <n v="3.0961437361111113"/>
  </r>
  <r>
    <n v="1021"/>
    <x v="7"/>
    <n v="51.720098333333333"/>
    <n v="33.664050253623053"/>
    <n v="0.2155004097222222"/>
    <n v="0.14026687605676272"/>
    <n v="3"/>
    <n v="2.5860049166666665"/>
  </r>
  <r>
    <n v="1021"/>
    <x v="8"/>
    <n v="42.176087222222222"/>
    <n v="33.026278013888891"/>
    <n v="0.17573369675925923"/>
    <n v="0.13760949172453704"/>
    <n v="3"/>
    <n v="2.1088043611111109"/>
  </r>
  <r>
    <n v="1021"/>
    <x v="9"/>
    <n v="49.544192222222222"/>
    <n v="40.323497121211943"/>
    <n v="0.20643413425925927"/>
    <n v="0.16801457133838307"/>
    <n v="3"/>
    <n v="2.4772096111111113"/>
  </r>
  <r>
    <n v="1021"/>
    <x v="10"/>
    <n v="37.610316111111111"/>
    <n v="32.39126760101"/>
    <n v="0.15670965046296295"/>
    <n v="0.13496361500420834"/>
    <n v="2"/>
    <n v="1.8805158055555555"/>
  </r>
  <r>
    <n v="1021"/>
    <x v="11"/>
    <n v="49.332326944444453"/>
    <n v="38.67180771164"/>
    <n v="0.20555136226851856"/>
    <n v="0.16113253213183334"/>
    <n v="3"/>
    <n v="2.4666163472222227"/>
  </r>
  <r>
    <n v="1022"/>
    <x v="0"/>
    <n v="100.33194444444445"/>
    <n v="17.007777777777779"/>
    <n v="0.41804976851851849"/>
    <n v="7.0865740740740743E-2"/>
    <n v="6"/>
    <n v="5.0165972222222219"/>
  </r>
  <r>
    <n v="1022"/>
    <x v="1"/>
    <n v="166.73625749999999"/>
    <n v="13.551144027777781"/>
    <n v="0.69473440624999994"/>
    <n v="5.6463100115740759E-2"/>
    <n v="9"/>
    <n v="8.3368128749999997"/>
  </r>
  <r>
    <n v="1022"/>
    <x v="2"/>
    <n v="166.87624"/>
    <n v="41.179539222222218"/>
    <n v="0.69531766666666661"/>
    <n v="0.17158141342592592"/>
    <n v="9"/>
    <n v="8.3438119999999998"/>
  </r>
  <r>
    <n v="1022"/>
    <x v="3"/>
    <n v="166.7335247222222"/>
    <n v="29.00352338624333"/>
    <n v="0.69472301967592587"/>
    <n v="0.1208480141093472"/>
    <n v="9"/>
    <n v="8.33667623611111"/>
  </r>
  <r>
    <n v="1022"/>
    <x v="4"/>
    <n v="1.313488611111111"/>
    <n v="1.3035480555555561"/>
    <n v="5.4728692129629624E-3"/>
    <n v="5.4314502314814841E-3"/>
    <n v="1"/>
    <n v="6.5674430555555552E-2"/>
  </r>
  <r>
    <n v="1023"/>
    <x v="0"/>
    <n v="38.423055555555557"/>
    <n v="37.44361111111111"/>
    <n v="0.16009606481481484"/>
    <n v="0.15601504629629628"/>
    <n v="2"/>
    <n v="1.9211527777777779"/>
  </r>
  <r>
    <n v="1023"/>
    <x v="1"/>
    <n v="42.027236388888888"/>
    <n v="41.785923093434157"/>
    <n v="0.17511348495370371"/>
    <n v="0.17410801288930899"/>
    <n v="3"/>
    <n v="2.1013618194444446"/>
  </r>
  <r>
    <n v="1023"/>
    <x v="2"/>
    <n v="42.078365555555557"/>
    <n v="41.759166902777778"/>
    <n v="0.17532652314814814"/>
    <n v="0.17399652876157409"/>
    <n v="3"/>
    <n v="2.1039182777777778"/>
  </r>
  <r>
    <n v="1023"/>
    <x v="3"/>
    <n v="41.889098333333337"/>
    <n v="41.718514087301394"/>
    <n v="0.17453790972222225"/>
    <n v="0.17382714203042249"/>
    <n v="3"/>
    <n v="2.0944549166666668"/>
  </r>
  <r>
    <n v="1023"/>
    <x v="4"/>
    <n v="41.951095555555547"/>
    <n v="37.954582133838343"/>
    <n v="0.17479623148148146"/>
    <n v="0.15814409222432643"/>
    <n v="3"/>
    <n v="2.0975547777777774"/>
  </r>
  <r>
    <n v="1023"/>
    <x v="5"/>
    <n v="41.95102138888889"/>
    <n v="37.960060858585827"/>
    <n v="0.17479592245370371"/>
    <n v="0.15816692024410761"/>
    <n v="3"/>
    <n v="2.0975510694444446"/>
  </r>
  <r>
    <n v="1023"/>
    <x v="6"/>
    <n v="41.898630555555563"/>
    <n v="39.849331838624167"/>
    <n v="0.17457762731481485"/>
    <n v="0.16603888266093403"/>
    <n v="3"/>
    <n v="2.0949315277777782"/>
  </r>
  <r>
    <n v="1023"/>
    <x v="7"/>
    <n v="41.892814722222219"/>
    <n v="41.755066642511942"/>
    <n v="0.1745533946759259"/>
    <n v="0.17397944434379975"/>
    <n v="3"/>
    <n v="2.0946407361111108"/>
  </r>
  <r>
    <n v="1023"/>
    <x v="8"/>
    <n v="41.857575833333343"/>
    <n v="41.738325111111109"/>
    <n v="0.17440656597222226"/>
    <n v="0.17390968796296294"/>
    <n v="3"/>
    <n v="2.0928787916666671"/>
  </r>
  <r>
    <n v="1023"/>
    <x v="9"/>
    <n v="41.842744444444442"/>
    <n v="41.739221085858333"/>
    <n v="0.17434476851851852"/>
    <n v="0.17391342119107636"/>
    <n v="3"/>
    <n v="2.0921372222222221"/>
  </r>
  <r>
    <n v="1023"/>
    <x v="10"/>
    <n v="41.830842500000003"/>
    <n v="41.715730492424157"/>
    <n v="0.17429517708333334"/>
    <n v="0.173815543718434"/>
    <n v="3"/>
    <n v="2.0915421250000001"/>
  </r>
  <r>
    <n v="1023"/>
    <x v="11"/>
    <n v="41.855494999999998"/>
    <n v="41.346698108465553"/>
    <n v="0.17439789583333332"/>
    <n v="0.17227790878527313"/>
    <n v="3"/>
    <n v="2.0927747499999998"/>
  </r>
  <r>
    <n v="1024"/>
    <x v="0"/>
    <n v="37.124722222222218"/>
    <n v="35.899444444444448"/>
    <n v="0.15468634259259259"/>
    <n v="0.14958101851851854"/>
    <n v="2"/>
    <n v="1.856236111111111"/>
  </r>
  <r>
    <n v="1024"/>
    <x v="1"/>
    <n v="41.309582499999998"/>
    <n v="39.961534204545281"/>
    <n v="0.17212326041666667"/>
    <n v="0.16650639251893867"/>
    <n v="3"/>
    <n v="2.065479125"/>
  </r>
  <r>
    <n v="1024"/>
    <x v="2"/>
    <n v="40.244539722222221"/>
    <n v="39.903094777777781"/>
    <n v="0.16768558217592591"/>
    <n v="0.16626289490740742"/>
    <n v="3"/>
    <n v="2.0122269861111111"/>
  </r>
  <r>
    <n v="1024"/>
    <x v="3"/>
    <n v="40.253779444444447"/>
    <n v="39.632259669311942"/>
    <n v="0.16772408101851854"/>
    <n v="0.16513441528879977"/>
    <n v="3"/>
    <n v="2.0126889722222225"/>
  </r>
  <r>
    <n v="1024"/>
    <x v="4"/>
    <n v="41.946336388888888"/>
    <n v="40.096336430555553"/>
    <n v="0.17477640162037036"/>
    <n v="0.16706806846064814"/>
    <n v="3"/>
    <n v="2.0973168194444445"/>
  </r>
  <r>
    <n v="1024"/>
    <x v="5"/>
    <n v="40.204626111111111"/>
    <n v="39.368229861111111"/>
    <n v="0.16751927546296297"/>
    <n v="0.16403429108796297"/>
    <n v="3"/>
    <n v="2.0102313055555556"/>
  </r>
  <r>
    <n v="1024"/>
    <x v="6"/>
    <n v="40.330813055555552"/>
    <n v="38.337377777777768"/>
    <n v="0.16804505439814812"/>
    <n v="0.15973907407407403"/>
    <n v="3"/>
    <n v="2.0165406527777776"/>
  </r>
  <r>
    <n v="1024"/>
    <x v="7"/>
    <n v="40.711981666666667"/>
    <n v="39.63702492753611"/>
    <n v="0.16963325694444445"/>
    <n v="0.16515427053140044"/>
    <n v="3"/>
    <n v="2.0355990833333335"/>
  </r>
  <r>
    <n v="1024"/>
    <x v="8"/>
    <n v="40.089596111111113"/>
    <n v="39.323222027777781"/>
    <n v="0.16703998379629628"/>
    <n v="0.16384675844907409"/>
    <n v="3"/>
    <n v="2.0044798055555555"/>
  </r>
  <r>
    <n v="1024"/>
    <x v="9"/>
    <n v="40.180686111111108"/>
    <n v="39.908163282828063"/>
    <n v="0.16741952546296293"/>
    <n v="0.16628401367845028"/>
    <n v="3"/>
    <n v="2.0090343055555553"/>
  </r>
  <r>
    <n v="1024"/>
    <x v="10"/>
    <n v="40.094141111111107"/>
    <n v="35.101539191919173"/>
    <n v="0.16705892129629629"/>
    <n v="0.14625641329966321"/>
    <n v="3"/>
    <n v="2.0047070555555555"/>
  </r>
  <r>
    <n v="1024"/>
    <x v="11"/>
    <n v="40.128568611111113"/>
    <n v="39.522962513227498"/>
    <n v="0.16720236921296297"/>
    <n v="0.16467901047178124"/>
    <n v="3"/>
    <n v="2.0064284305555558"/>
  </r>
  <r>
    <n v="1025"/>
    <x v="0"/>
    <n v="36.36472222222222"/>
    <n v="21.819166666666668"/>
    <n v="0.15151967592592591"/>
    <n v="9.0913194444444456E-2"/>
    <n v="2"/>
    <n v="1.8182361111111109"/>
  </r>
  <r>
    <n v="1025"/>
    <x v="1"/>
    <n v="39.687806388888887"/>
    <n v="22.44340026388889"/>
    <n v="0.1653658599537037"/>
    <n v="9.3514167766203707E-2"/>
    <n v="2"/>
    <n v="1.9843903194444446"/>
  </r>
  <r>
    <n v="1025"/>
    <x v="2"/>
    <n v="39.684218611111113"/>
    <n v="24.238042513227501"/>
    <n v="0.16535091087962964"/>
    <n v="0.1009918438051146"/>
    <n v="2"/>
    <n v="1.9842109305555558"/>
  </r>
  <r>
    <n v="1025"/>
    <x v="3"/>
    <n v="39.699482500000002"/>
    <n v="25.02466353535333"/>
    <n v="0.16541451041666669"/>
    <n v="0.10426943139730555"/>
    <n v="2"/>
    <n v="1.9849741250000004"/>
  </r>
  <r>
    <n v="1025"/>
    <x v="4"/>
    <n v="39.687896944444446"/>
    <n v="20.866345497685"/>
    <n v="0.16536623726851854"/>
    <n v="8.6943106240354173E-2"/>
    <n v="2"/>
    <n v="1.9843948472222226"/>
  </r>
  <r>
    <n v="1025"/>
    <x v="5"/>
    <n v="39.689649166666669"/>
    <n v="27.571403216374161"/>
    <n v="0.16537353819444445"/>
    <n v="0.11488084673489234"/>
    <n v="2"/>
    <n v="1.9844824583333334"/>
  </r>
  <r>
    <n v="1025"/>
    <x v="6"/>
    <n v="39.694141666666667"/>
    <n v="24.256129684343328"/>
    <n v="0.16539225694444445"/>
    <n v="0.1010672070180972"/>
    <n v="2"/>
    <n v="1.9847070833333333"/>
  </r>
  <r>
    <n v="1025"/>
    <x v="7"/>
    <n v="39.689047500000001"/>
    <n v="22.961571355555559"/>
    <n v="0.16537103124999999"/>
    <n v="9.56732139814815E-2"/>
    <n v="2"/>
    <n v="1.984452375"/>
  </r>
  <r>
    <n v="1025"/>
    <x v="8"/>
    <n v="39.621847222222222"/>
    <n v="17.843809034391391"/>
    <n v="0.1650910300925926"/>
    <n v="7.4349204309964126E-2"/>
    <n v="2"/>
    <n v="1.9810923611111111"/>
  </r>
  <r>
    <n v="1025"/>
    <x v="9"/>
    <n v="39.637411388888893"/>
    <n v="25.336802487922501"/>
    <n v="0.16515588078703705"/>
    <n v="0.10557001036634377"/>
    <n v="2"/>
    <n v="1.9818705694444447"/>
  </r>
  <r>
    <n v="1025"/>
    <x v="10"/>
    <n v="39.62341111111111"/>
    <n v="25.27695065656556"/>
    <n v="0.16509754629629628"/>
    <n v="0.10532062773568984"/>
    <n v="2"/>
    <n v="1.9811705555555554"/>
  </r>
  <r>
    <n v="1025"/>
    <x v="11"/>
    <n v="39.659491666666668"/>
    <n v="26.00986165343889"/>
    <n v="0.16524788194444445"/>
    <n v="0.10837442355599537"/>
    <n v="2"/>
    <n v="1.9829745833333334"/>
  </r>
  <r>
    <n v="1026"/>
    <x v="0"/>
    <n v="35.659722222222221"/>
    <n v="34.883611111111115"/>
    <n v="0.14858217592592593"/>
    <n v="0.14534837962962965"/>
    <n v="2"/>
    <n v="1.7829861111111112"/>
  </r>
  <r>
    <n v="1026"/>
    <x v="1"/>
    <n v="38.896582500000001"/>
    <n v="38.420977424242217"/>
    <n v="0.16206909375"/>
    <n v="0.16008740593434256"/>
    <n v="2"/>
    <n v="1.944829125"/>
  </r>
  <r>
    <n v="1026"/>
    <x v="2"/>
    <n v="39.030817499999998"/>
    <n v="38.131084069444448"/>
    <n v="0.16262840625"/>
    <n v="0.15887951695601854"/>
    <n v="2"/>
    <n v="1.9515408750000001"/>
  </r>
  <r>
    <n v="1026"/>
    <x v="3"/>
    <n v="39.249883333333337"/>
    <n v="38.42720345238083"/>
    <n v="0.16354118055555558"/>
    <n v="0.16011334771825345"/>
    <n v="2"/>
    <n v="1.9624941666666671"/>
  </r>
  <r>
    <n v="1026"/>
    <x v="4"/>
    <n v="38.98775361111111"/>
    <n v="38.551497708333343"/>
    <n v="0.16244897337962963"/>
    <n v="0.16063124045138893"/>
    <n v="2"/>
    <n v="1.9493876805555557"/>
  </r>
  <r>
    <n v="1026"/>
    <x v="5"/>
    <n v="39.217065833333344"/>
    <n v="37.74227641666667"/>
    <n v="0.16340444097222226"/>
    <n v="0.15725948506944445"/>
    <n v="2"/>
    <n v="1.960853291666667"/>
  </r>
  <r>
    <n v="1026"/>
    <x v="6"/>
    <n v="38.782853888888887"/>
    <n v="36.445251812169168"/>
    <n v="0.16159522453703704"/>
    <n v="0.15185521588403819"/>
    <n v="2"/>
    <n v="1.9391426944444445"/>
  </r>
  <r>
    <n v="1026"/>
    <x v="7"/>
    <n v="38.959183333333343"/>
    <n v="38.441030217391109"/>
    <n v="0.16232993055555558"/>
    <n v="0.16017095923912963"/>
    <n v="2"/>
    <n v="1.9479591666666671"/>
  </r>
  <r>
    <n v="1026"/>
    <x v="8"/>
    <n v="38.714898888888889"/>
    <n v="37.817317013888889"/>
    <n v="0.1613120787037037"/>
    <n v="0.15757215422453705"/>
    <n v="2"/>
    <n v="1.9357449444444446"/>
  </r>
  <r>
    <n v="1026"/>
    <x v="9"/>
    <n v="38.723903333333332"/>
    <n v="38.229057500000003"/>
    <n v="0.16134959722222222"/>
    <n v="0.15928773958333334"/>
    <n v="2"/>
    <n v="1.9361951666666668"/>
  </r>
  <r>
    <n v="1026"/>
    <x v="10"/>
    <n v="38.668633333333332"/>
    <n v="38.344282121211947"/>
    <n v="0.16111930555555556"/>
    <n v="0.15976784217171644"/>
    <n v="2"/>
    <n v="1.9334316666666669"/>
  </r>
  <r>
    <n v="1026"/>
    <x v="11"/>
    <n v="38.685089722222223"/>
    <n v="38.050027698412499"/>
    <n v="0.16118787384259259"/>
    <n v="0.15854178207671873"/>
    <n v="2"/>
    <n v="1.9342544861111111"/>
  </r>
  <r>
    <n v="1027"/>
    <x v="0"/>
    <n v="35.532222222222224"/>
    <n v="25.839166666666664"/>
    <n v="0.14805092592592592"/>
    <n v="0.10766319444444443"/>
    <n v="2"/>
    <n v="1.7766111111111109"/>
  </r>
  <r>
    <n v="1027"/>
    <x v="1"/>
    <n v="31.739571111111111"/>
    <n v="25.458229967948611"/>
    <n v="0.13224821296296296"/>
    <n v="0.10607595819978588"/>
    <n v="2"/>
    <n v="1.5869785555555556"/>
  </r>
  <r>
    <n v="1027"/>
    <x v="2"/>
    <n v="31.890798888888892"/>
    <n v="27.43412003472222"/>
    <n v="0.13287832870370372"/>
    <n v="0.11430883347800924"/>
    <n v="2"/>
    <n v="1.5945399444444446"/>
  </r>
  <r>
    <n v="1027"/>
    <x v="3"/>
    <n v="40.138868611111107"/>
    <n v="28.671594647435828"/>
    <n v="0.16724528587962961"/>
    <n v="0.11946497769764929"/>
    <n v="3"/>
    <n v="2.0069434305555554"/>
  </r>
  <r>
    <n v="1027"/>
    <x v="4"/>
    <n v="40.182254722222233"/>
    <n v="29.142548692129441"/>
    <n v="0.16742606134259264"/>
    <n v="0.121427286217206"/>
    <n v="3"/>
    <n v="2.0091127361111116"/>
  </r>
  <r>
    <n v="1027"/>
    <x v="5"/>
    <n v="40.287863055555547"/>
    <n v="28.14126118888889"/>
    <n v="0.16786609606481476"/>
    <n v="0.1172552549537037"/>
    <n v="3"/>
    <n v="2.0143931527777772"/>
  </r>
  <r>
    <n v="1027"/>
    <x v="6"/>
    <n v="40.345192500000003"/>
    <n v="28.544739711111109"/>
    <n v="0.16810496875000003"/>
    <n v="0.11893641546296296"/>
    <n v="3"/>
    <n v="2.0172596250000003"/>
  </r>
  <r>
    <n v="1027"/>
    <x v="7"/>
    <n v="40.253951944444452"/>
    <n v="26.504394084361941"/>
    <n v="0.16772479976851853"/>
    <n v="0.11043497535150809"/>
    <n v="3"/>
    <n v="2.0126975972222225"/>
  </r>
  <r>
    <n v="1027"/>
    <x v="8"/>
    <n v="40.236192500000001"/>
    <n v="29.720553322222219"/>
    <n v="0.16765080208333336"/>
    <n v="0.12383563884259258"/>
    <n v="3"/>
    <n v="2.0118096250000002"/>
  </r>
  <r>
    <n v="1027"/>
    <x v="9"/>
    <n v="40.443425833333343"/>
    <n v="29.277849391025551"/>
    <n v="0.16851427430555557"/>
    <n v="0.12199103912927313"/>
    <n v="3"/>
    <n v="2.022171291666667"/>
  </r>
  <r>
    <n v="1027"/>
    <x v="10"/>
    <n v="40.327538888888888"/>
    <n v="29.095151250000001"/>
    <n v="0.16803141203703706"/>
    <n v="0.121229796875"/>
    <n v="3"/>
    <n v="2.0163769444444446"/>
  </r>
  <r>
    <n v="1027"/>
    <x v="11"/>
    <n v="40.539491111111111"/>
    <n v="28.07884446581194"/>
    <n v="0.16891454629629629"/>
    <n v="0.11699518527421642"/>
    <n v="3"/>
    <n v="2.0269745555555554"/>
  </r>
  <r>
    <n v="1028"/>
    <x v="0"/>
    <n v="33.129444444444445"/>
    <n v="31.725833333333334"/>
    <n v="0.13803935185185187"/>
    <n v="0.13219097222222223"/>
    <n v="2"/>
    <n v="1.6564722222222223"/>
  </r>
  <r>
    <n v="1028"/>
    <x v="1"/>
    <n v="35.768831666666657"/>
    <n v="34.490860896464447"/>
    <n v="0.14903679861111108"/>
    <n v="0.1437119204019352"/>
    <n v="2"/>
    <n v="1.7884415833333329"/>
  </r>
  <r>
    <n v="1028"/>
    <x v="2"/>
    <n v="38.346372222222222"/>
    <n v="35.501344888888887"/>
    <n v="0.15977655092592594"/>
    <n v="0.14792227037037037"/>
    <n v="2"/>
    <n v="1.9173186111111113"/>
  </r>
  <r>
    <n v="1028"/>
    <x v="3"/>
    <n v="35.924186666666657"/>
    <n v="33.057213399470832"/>
    <n v="0.14968411111111107"/>
    <n v="0.13773838916446179"/>
    <n v="2"/>
    <n v="1.7962093333333329"/>
  </r>
  <r>
    <n v="1028"/>
    <x v="4"/>
    <n v="35.78398416666667"/>
    <n v="35.504793236111112"/>
    <n v="0.1490999340277778"/>
    <n v="0.14793663848379632"/>
    <n v="2"/>
    <n v="1.7891992083333337"/>
  </r>
  <r>
    <n v="1028"/>
    <x v="5"/>
    <n v="36.08869277777778"/>
    <n v="34.147688791666667"/>
    <n v="0.15036955324074075"/>
    <n v="0.14228203663194444"/>
    <n v="2"/>
    <n v="1.804434638888889"/>
  </r>
  <r>
    <n v="1028"/>
    <x v="6"/>
    <n v="35.781155555555557"/>
    <n v="31.68334391534389"/>
    <n v="0.14908814814814816"/>
    <n v="0.13201393298059955"/>
    <n v="2"/>
    <n v="1.7890577777777779"/>
  </r>
  <r>
    <n v="1028"/>
    <x v="7"/>
    <n v="35.747214722222218"/>
    <n v="34.652505869564997"/>
    <n v="0.14894672800925923"/>
    <n v="0.14438544112318749"/>
    <n v="2"/>
    <n v="1.7873607361111108"/>
  </r>
  <r>
    <n v="1028"/>
    <x v="8"/>
    <n v="35.771972222222217"/>
    <n v="35.677075694444447"/>
    <n v="0.14904988425925925"/>
    <n v="0.14865448206018519"/>
    <n v="2"/>
    <n v="1.788598611111111"/>
  </r>
  <r>
    <n v="1028"/>
    <x v="9"/>
    <n v="35.738500833333333"/>
    <n v="35.66827497474722"/>
    <n v="0.14891042013888889"/>
    <n v="0.14861781239478009"/>
    <n v="2"/>
    <n v="1.7869250416666667"/>
  </r>
  <r>
    <n v="1028"/>
    <x v="10"/>
    <n v="35.899767777777782"/>
    <n v="35.347788964646391"/>
    <n v="0.14958236574074077"/>
    <n v="0.14728245401935997"/>
    <n v="2"/>
    <n v="1.7949883888888891"/>
  </r>
  <r>
    <n v="1028"/>
    <x v="11"/>
    <n v="36.701598333333337"/>
    <n v="34.978528955026391"/>
    <n v="0.15292332638888892"/>
    <n v="0.1457438706459433"/>
    <n v="2"/>
    <n v="1.8350799166666669"/>
  </r>
  <r>
    <n v="1029"/>
    <x v="0"/>
    <n v="31.967499999999998"/>
    <n v="31.366388888888888"/>
    <n v="0.13319791666666667"/>
    <n v="0.13069328703703703"/>
    <n v="2"/>
    <n v="1.5983749999999999"/>
  </r>
  <r>
    <n v="1029"/>
    <x v="1"/>
    <n v="34.805805833333331"/>
    <n v="34.371937878787783"/>
    <n v="0.14502419097222222"/>
    <n v="0.14321640782828243"/>
    <n v="2"/>
    <n v="1.7402902916666667"/>
  </r>
  <r>
    <n v="1029"/>
    <x v="2"/>
    <n v="34.801209999999998"/>
    <n v="34.661757250000001"/>
    <n v="0.14500504166666664"/>
    <n v="0.14442398854166669"/>
    <n v="2"/>
    <n v="1.7400604999999998"/>
  </r>
  <r>
    <n v="1029"/>
    <x v="3"/>
    <n v="35.36356416666667"/>
    <n v="33.680735952380843"/>
    <n v="0.1473481840277778"/>
    <n v="0.14033639980158685"/>
    <n v="2"/>
    <n v="1.7681782083333335"/>
  </r>
  <r>
    <n v="1029"/>
    <x v="4"/>
    <n v="34.805827777777779"/>
    <n v="34.648437874999999"/>
    <n v="0.14502428240740742"/>
    <n v="0.14436849114583333"/>
    <n v="2"/>
    <n v="1.7402913888888891"/>
  </r>
  <r>
    <n v="1029"/>
    <x v="5"/>
    <n v="34.840798888888891"/>
    <n v="34.00241172222222"/>
    <n v="0.14516999537037037"/>
    <n v="0.14167671550925925"/>
    <n v="2"/>
    <n v="1.7420399444444445"/>
  </r>
  <r>
    <n v="1029"/>
    <x v="6"/>
    <n v="34.870852777777777"/>
    <n v="32.986760753968063"/>
    <n v="0.1452952199074074"/>
    <n v="0.13744483647486694"/>
    <n v="2"/>
    <n v="1.7435426388888888"/>
  </r>
  <r>
    <n v="1029"/>
    <x v="7"/>
    <n v="34.862057222222219"/>
    <n v="34.734586425120547"/>
    <n v="0.14525857175925924"/>
    <n v="0.14472744343800228"/>
    <n v="2"/>
    <n v="1.7431028611111108"/>
  </r>
  <r>
    <n v="1029"/>
    <x v="8"/>
    <n v="34.745341666666668"/>
    <n v="34.522046291666669"/>
    <n v="0.14477225694444446"/>
    <n v="0.14384185954861112"/>
    <n v="2"/>
    <n v="1.7372670833333335"/>
  </r>
  <r>
    <n v="1029"/>
    <x v="9"/>
    <n v="34.781154444444446"/>
    <n v="34.447104179292779"/>
    <n v="0.14492147685185186"/>
    <n v="0.14352960074705326"/>
    <n v="2"/>
    <n v="1.7390577222222223"/>
  </r>
  <r>
    <n v="1029"/>
    <x v="10"/>
    <n v="34.916495555555557"/>
    <n v="33.929676212121109"/>
    <n v="0.14548539814814815"/>
    <n v="0.14137365088383794"/>
    <n v="2"/>
    <n v="1.7458247777777778"/>
  </r>
  <r>
    <n v="1029"/>
    <x v="11"/>
    <n v="34.815624166666673"/>
    <n v="34.410403452380827"/>
    <n v="0.14506510069444448"/>
    <n v="0.14337668105158677"/>
    <n v="2"/>
    <n v="1.7407812083333338"/>
  </r>
  <r>
    <n v="1030"/>
    <x v="0"/>
    <n v="29.752500000000001"/>
    <n v="12.959444444444445"/>
    <n v="0.12396875"/>
    <n v="5.399768518518519E-2"/>
    <n v="2"/>
    <n v="1.487625"/>
  </r>
  <r>
    <n v="1030"/>
    <x v="1"/>
    <n v="13.51893444444444"/>
    <n v="7.2562060869563876"/>
    <n v="5.6328893518518497E-2"/>
    <n v="3.0234192028984946E-2"/>
    <n v="1"/>
    <n v="0.67594672222222196"/>
  </r>
  <r>
    <n v="1030"/>
    <x v="2"/>
    <n v="14.02083222222222"/>
    <n v="6.9649518055555557"/>
    <n v="5.8420134259259245E-2"/>
    <n v="2.9020632523148151E-2"/>
    <n v="1"/>
    <n v="0.70104161111111096"/>
  </r>
  <r>
    <n v="1030"/>
    <x v="3"/>
    <n v="12.488086666666669"/>
    <n v="6.3326394047616663"/>
    <n v="5.2033694444444452E-2"/>
    <n v="2.6385997519840276E-2"/>
    <n v="1"/>
    <n v="0.62440433333333345"/>
  </r>
  <r>
    <n v="1030"/>
    <x v="4"/>
    <n v="11.689139722222221"/>
    <n v="5.7452572727272226"/>
    <n v="4.8704748842592592E-2"/>
    <n v="2.3938571969696759E-2"/>
    <n v="1"/>
    <n v="0.58445698611111108"/>
  </r>
  <r>
    <n v="1030"/>
    <x v="5"/>
    <n v="47.554488611111111"/>
    <n v="10.913886262626111"/>
    <n v="0.19814370254629629"/>
    <n v="4.5474526094275464E-2"/>
    <n v="3"/>
    <n v="2.3777244305555554"/>
  </r>
  <r>
    <n v="1030"/>
    <x v="6"/>
    <n v="34.460878333333334"/>
    <n v="12.869424550264441"/>
    <n v="0.14358699305555556"/>
    <n v="5.3622602292768502E-2"/>
    <n v="2"/>
    <n v="1.7230439166666667"/>
  </r>
  <r>
    <n v="1030"/>
    <x v="7"/>
    <n v="37.526944999999998"/>
    <n v="16.68895463768111"/>
    <n v="0.15636227083333332"/>
    <n v="6.9537310990337955E-2"/>
    <n v="2"/>
    <n v="1.8763472499999998"/>
  </r>
  <r>
    <n v="1030"/>
    <x v="8"/>
    <n v="28.544599166666671"/>
    <n v="14.007625916666671"/>
    <n v="0.11893582986111113"/>
    <n v="5.836510798611113E-2"/>
    <n v="2"/>
    <n v="1.4272299583333337"/>
  </r>
  <r>
    <n v="1030"/>
    <x v="9"/>
    <n v="57.041933055555553"/>
    <n v="31.361739229797781"/>
    <n v="0.2376747210648148"/>
    <n v="0.13067391345749077"/>
    <n v="3"/>
    <n v="2.8520966527777776"/>
  </r>
  <r>
    <n v="1030"/>
    <x v="10"/>
    <n v="54.256290555555559"/>
    <n v="21.504443731883889"/>
    <n v="0.22606787731481481"/>
    <n v="8.9601848882849541E-2"/>
    <n v="3"/>
    <n v="2.7128145277777778"/>
  </r>
  <r>
    <n v="1030"/>
    <x v="11"/>
    <n v="45.926876111111113"/>
    <n v="21.86779784391528"/>
    <n v="0.19136198379629632"/>
    <n v="9.1115824349647004E-2"/>
    <n v="3"/>
    <n v="2.2963438055555558"/>
  </r>
  <r>
    <n v="1031"/>
    <x v="0"/>
    <n v="27.383055555555554"/>
    <n v="14.091111111111111"/>
    <n v="0.11409606481481481"/>
    <n v="5.8712962962962967E-2"/>
    <n v="2"/>
    <n v="1.3691527777777777"/>
  </r>
  <r>
    <n v="1031"/>
    <x v="1"/>
    <n v="46.328020000000002"/>
    <n v="19.662356613756391"/>
    <n v="0.19303341666666665"/>
    <n v="8.1926485890651629E-2"/>
    <n v="3"/>
    <n v="2.3164009999999999"/>
  </r>
  <r>
    <n v="1031"/>
    <x v="2"/>
    <n v="23.626302222222218"/>
    <n v="13.68811494444444"/>
    <n v="9.8442925925925906E-2"/>
    <n v="5.7033812268518502E-2"/>
    <n v="2"/>
    <n v="1.1813151111111109"/>
  </r>
  <r>
    <n v="1031"/>
    <x v="3"/>
    <n v="45.768081111111108"/>
    <n v="21.098024947089719"/>
    <n v="0.19070033796296296"/>
    <n v="8.7908437279540494E-2"/>
    <n v="3"/>
    <n v="2.2884040555555556"/>
  </r>
  <r>
    <n v="1031"/>
    <x v="4"/>
    <n v="45.133461666666669"/>
    <n v="35.610016361111107"/>
    <n v="0.18805609027777778"/>
    <n v="0.14837506817129628"/>
    <n v="3"/>
    <n v="2.2566730833333333"/>
  </r>
  <r>
    <n v="1031"/>
    <x v="5"/>
    <n v="43.692856666666657"/>
    <n v="20.492998208333329"/>
    <n v="0.1820535694444444"/>
    <n v="8.5387492534722206E-2"/>
    <n v="3"/>
    <n v="2.1846428333333328"/>
  </r>
  <r>
    <n v="1031"/>
    <x v="6"/>
    <n v="20.301666111111111"/>
    <n v="10.860107152777781"/>
    <n v="8.4590275462962952E-2"/>
    <n v="4.5250446469907418E-2"/>
    <n v="2"/>
    <n v="1.0150833055555555"/>
  </r>
  <r>
    <n v="1031"/>
    <x v="7"/>
    <n v="19.072361666666669"/>
    <n v="9.518722004830833"/>
    <n v="7.9468173611111123E-2"/>
    <n v="3.9661341686795137E-2"/>
    <n v="1"/>
    <n v="0.95361808333333342"/>
  </r>
  <r>
    <n v="1031"/>
    <x v="8"/>
    <n v="27.17802416666667"/>
    <n v="9.0188122499999999"/>
    <n v="0.11324176736111113"/>
    <n v="3.7578384375000003E-2"/>
    <n v="2"/>
    <n v="1.3589012083333336"/>
  </r>
  <r>
    <n v="1031"/>
    <x v="9"/>
    <n v="24.07890444444444"/>
    <n v="10.61868896464639"/>
    <n v="0.1003287685185185"/>
    <n v="4.4244537352693292E-2"/>
    <n v="2"/>
    <n v="1.203945222222222"/>
  </r>
  <r>
    <n v="1031"/>
    <x v="10"/>
    <n v="21.932844444444449"/>
    <n v="11.29071297979778"/>
    <n v="9.1386851851851872E-2"/>
    <n v="4.7044637415824077E-2"/>
    <n v="2"/>
    <n v="1.0966422222222225"/>
  </r>
  <r>
    <n v="1031"/>
    <x v="11"/>
    <n v="11.48371138888889"/>
    <n v="7.2332008333333331"/>
    <n v="4.7848797453703712E-2"/>
    <n v="3.0138336805555554E-2"/>
    <n v="1"/>
    <n v="0.57418556944444454"/>
  </r>
  <r>
    <n v="1032"/>
    <x v="0"/>
    <n v="27.128055555555555"/>
    <n v="26.193055555555553"/>
    <n v="0.11303356481481482"/>
    <n v="0.10913773148148147"/>
    <n v="2"/>
    <n v="1.3564027777777778"/>
  </r>
  <r>
    <n v="1032"/>
    <x v="1"/>
    <n v="29.324075000000001"/>
    <n v="28.67933508838361"/>
    <n v="0.12218364583333334"/>
    <n v="0.11949722953493171"/>
    <n v="2"/>
    <n v="1.46620375"/>
  </r>
  <r>
    <n v="1032"/>
    <x v="2"/>
    <n v="29.39787055555556"/>
    <n v="28.960355666666668"/>
    <n v="0.12249112731481483"/>
    <n v="0.12066814861111112"/>
    <n v="2"/>
    <n v="1.469893527777778"/>
  </r>
  <r>
    <n v="1032"/>
    <x v="3"/>
    <n v="29.398525277777779"/>
    <n v="28.92984195767194"/>
    <n v="0.12249385532407409"/>
    <n v="0.1205410081569664"/>
    <n v="2"/>
    <n v="1.469926263888889"/>
  </r>
  <r>
    <n v="1032"/>
    <x v="4"/>
    <n v="30.294928611111111"/>
    <n v="27.821473373015831"/>
    <n v="0.12622886921296297"/>
    <n v="0.1159228057208993"/>
    <n v="2"/>
    <n v="1.5147464305555558"/>
  </r>
  <r>
    <n v="1032"/>
    <x v="5"/>
    <n v="29.83583472222222"/>
    <n v="28.874536555555551"/>
    <n v="0.12431597800925925"/>
    <n v="0.12031056898148146"/>
    <n v="2"/>
    <n v="1.491791736111111"/>
  </r>
  <r>
    <n v="1032"/>
    <x v="6"/>
    <n v="29.534931666666669"/>
    <n v="27.769388928571392"/>
    <n v="0.12306221527777779"/>
    <n v="0.1157057872023808"/>
    <n v="2"/>
    <n v="1.4767465833333335"/>
  </r>
  <r>
    <n v="1032"/>
    <x v="7"/>
    <n v="29.429883888888892"/>
    <n v="28.580527705313891"/>
    <n v="0.12262451620370372"/>
    <n v="0.11908553210547455"/>
    <n v="2"/>
    <n v="1.4714941944444446"/>
  </r>
  <r>
    <n v="1032"/>
    <x v="8"/>
    <n v="29.489430277777782"/>
    <n v="28.961313722222219"/>
    <n v="0.12287262615740742"/>
    <n v="0.12067214050925924"/>
    <n v="2"/>
    <n v="1.4744715138888891"/>
  </r>
  <r>
    <n v="1032"/>
    <x v="9"/>
    <n v="29.345353333333328"/>
    <n v="28.918777664141391"/>
    <n v="0.12227230555555553"/>
    <n v="0.12049490693392247"/>
    <n v="2"/>
    <n v="1.4672676666666664"/>
  </r>
  <r>
    <n v="1032"/>
    <x v="10"/>
    <n v="29.792302777777781"/>
    <n v="28.180786780302778"/>
    <n v="0.12413459490740741"/>
    <n v="0.11741994491792825"/>
    <n v="2"/>
    <n v="1.489615138888889"/>
  </r>
  <r>
    <n v="1032"/>
    <x v="11"/>
    <n v="29.691997499999999"/>
    <n v="28.639781455026391"/>
    <n v="0.12371665625"/>
    <n v="0.11933242272927663"/>
    <n v="2"/>
    <n v="1.484599875"/>
  </r>
  <r>
    <n v="1033"/>
    <x v="0"/>
    <n v="25.188888888888886"/>
    <n v="23.733888888888888"/>
    <n v="0.1049537037037037"/>
    <n v="9.8891203703703703E-2"/>
    <n v="2"/>
    <n v="1.2594444444444444"/>
  </r>
  <r>
    <n v="1033"/>
    <x v="1"/>
    <n v="25.551178611111109"/>
    <n v="25.02308183080806"/>
    <n v="0.10646324421296295"/>
    <n v="0.10426284096170024"/>
    <n v="2"/>
    <n v="1.2775589305555555"/>
  </r>
  <r>
    <n v="1033"/>
    <x v="2"/>
    <n v="25.713670555555559"/>
    <n v="25.251519986111109"/>
    <n v="0.1071402939814815"/>
    <n v="0.10521466660879629"/>
    <n v="2"/>
    <n v="1.2856835277777781"/>
  </r>
  <r>
    <n v="1033"/>
    <x v="3"/>
    <n v="25.49193416666667"/>
    <n v="24.548418796296112"/>
    <n v="0.10621639236111113"/>
    <n v="0.10228507831790046"/>
    <n v="2"/>
    <n v="1.2745967083333336"/>
  </r>
  <r>
    <n v="1033"/>
    <x v="4"/>
    <n v="26.012338611111112"/>
    <n v="25.445704347222222"/>
    <n v="0.10838474421296296"/>
    <n v="0.10602376811342591"/>
    <n v="2"/>
    <n v="1.3006169305555555"/>
  </r>
  <r>
    <n v="1033"/>
    <x v="5"/>
    <n v="26.218085277777782"/>
    <n v="22.264381719576669"/>
    <n v="0.10924202199074075"/>
    <n v="9.2768257164902779E-2"/>
    <n v="2"/>
    <n v="1.310904263888889"/>
  </r>
  <r>
    <n v="1033"/>
    <x v="6"/>
    <n v="25.62679444444445"/>
    <n v="24.290494695766949"/>
    <n v="0.1067783101851852"/>
    <n v="0.10121039456569562"/>
    <n v="2"/>
    <n v="1.2813397222222225"/>
  </r>
  <r>
    <n v="1033"/>
    <x v="7"/>
    <n v="25.609161944444441"/>
    <n v="25.454538321255828"/>
    <n v="0.10670484143518517"/>
    <n v="0.10606057633856596"/>
    <n v="2"/>
    <n v="1.2804580972222221"/>
  </r>
  <r>
    <n v="1033"/>
    <x v="8"/>
    <n v="28.88877861111111"/>
    <n v="28.394178875000001"/>
    <n v="0.12036991087962963"/>
    <n v="0.11830907864583334"/>
    <n v="2"/>
    <n v="1.4444389305555556"/>
  </r>
  <r>
    <n v="1033"/>
    <x v="9"/>
    <n v="28.944449444444441"/>
    <n v="28.527094987373609"/>
    <n v="0.12060187268518517"/>
    <n v="0.11886289578072336"/>
    <n v="2"/>
    <n v="1.447222472222222"/>
  </r>
  <r>
    <n v="1033"/>
    <x v="10"/>
    <n v="35.115863611111109"/>
    <n v="28.558252702019999"/>
    <n v="0.14631609837962964"/>
    <n v="0.11899271959174999"/>
    <n v="2"/>
    <n v="1.7557931805555556"/>
  </r>
  <r>
    <n v="1033"/>
    <x v="11"/>
    <n v="29.093900277777781"/>
    <n v="27.048260568783061"/>
    <n v="0.12122458449074075"/>
    <n v="0.11270108570326276"/>
    <n v="2"/>
    <n v="1.454695013888889"/>
  </r>
  <r>
    <n v="1034"/>
    <x v="0"/>
    <n v="24.030555555555555"/>
    <n v="18.067777777777778"/>
    <n v="0.10012731481481481"/>
    <n v="7.5282407407407409E-2"/>
    <n v="2"/>
    <n v="1.2015277777777778"/>
  </r>
  <r>
    <n v="1034"/>
    <x v="1"/>
    <n v="38.042086944444442"/>
    <n v="17.476671736111111"/>
    <n v="0.15850869560185185"/>
    <n v="7.2819465567129635E-2"/>
    <n v="2"/>
    <n v="1.9021043472222221"/>
  </r>
  <r>
    <n v="1034"/>
    <x v="2"/>
    <n v="18.038391944444449"/>
    <n v="17.05066167929278"/>
    <n v="7.5159966435185202E-2"/>
    <n v="7.1044423663719922E-2"/>
    <n v="1"/>
    <n v="0.90191959722222248"/>
  </r>
  <r>
    <n v="1034"/>
    <x v="3"/>
    <n v="29.7260475"/>
    <n v="19.748764841269718"/>
    <n v="0.12385853125"/>
    <n v="8.2286520171957159E-2"/>
    <n v="2"/>
    <n v="1.486302375"/>
  </r>
  <r>
    <n v="1034"/>
    <x v="4"/>
    <n v="27.32369222222222"/>
    <n v="19.11238643055556"/>
    <n v="0.11384871759259259"/>
    <n v="7.9634943460648158E-2"/>
    <n v="2"/>
    <n v="1.3661846111111111"/>
  </r>
  <r>
    <n v="1034"/>
    <x v="5"/>
    <n v="22.453553888888891"/>
    <n v="18.862420472222219"/>
    <n v="9.355647453703704E-2"/>
    <n v="7.8593418634259241E-2"/>
    <n v="2"/>
    <n v="1.1226776944444445"/>
  </r>
  <r>
    <n v="1034"/>
    <x v="6"/>
    <n v="18.604658055555561"/>
    <n v="16.264230621693059"/>
    <n v="7.7519408564814832E-2"/>
    <n v="6.776762759038775E-2"/>
    <n v="1"/>
    <n v="0.93023290277777804"/>
  </r>
  <r>
    <n v="1034"/>
    <x v="7"/>
    <n v="28.265659166666669"/>
    <n v="19.72843268115917"/>
    <n v="0.11777357986111113"/>
    <n v="8.220180283816321E-2"/>
    <n v="2"/>
    <n v="1.4132829583333335"/>
  </r>
  <r>
    <n v="1034"/>
    <x v="8"/>
    <n v="23.870532499999999"/>
    <n v="21.71522486111111"/>
    <n v="9.9460552083333334E-2"/>
    <n v="9.0480103587962948E-2"/>
    <n v="2"/>
    <n v="1.1935266250000001"/>
  </r>
  <r>
    <n v="1034"/>
    <x v="9"/>
    <n v="26.712663888888891"/>
    <n v="21.978470517676669"/>
    <n v="0.11130276620370372"/>
    <n v="9.1576960490319451E-2"/>
    <n v="2"/>
    <n v="1.3356331944444446"/>
  </r>
  <r>
    <n v="1034"/>
    <x v="10"/>
    <n v="25.856166111111111"/>
    <n v="22.246363320706941"/>
    <n v="0.10773402546296296"/>
    <n v="9.2693180502945574E-2"/>
    <n v="2"/>
    <n v="1.2928083055555555"/>
  </r>
  <r>
    <n v="1034"/>
    <x v="11"/>
    <n v="29.471704722222221"/>
    <n v="22.628798187830551"/>
    <n v="0.12279876967592591"/>
    <n v="9.4286659115960625E-2"/>
    <n v="2"/>
    <n v="1.473585236111111"/>
  </r>
  <r>
    <n v="1035"/>
    <x v="0"/>
    <n v="23.963055555555556"/>
    <n v="8.9666666666666668"/>
    <n v="9.9846064814814825E-2"/>
    <n v="3.7361111111111116E-2"/>
    <n v="2"/>
    <n v="1.1981527777777778"/>
  </r>
  <r>
    <n v="1035"/>
    <x v="1"/>
    <n v="43.12166777777778"/>
    <n v="27.543686717171671"/>
    <n v="0.17967361574074073"/>
    <n v="0.11476536132154863"/>
    <n v="3"/>
    <n v="2.1560833888888888"/>
  </r>
  <r>
    <n v="1035"/>
    <x v="2"/>
    <n v="31.754887222222219"/>
    <n v="16.988232624999998"/>
    <n v="0.1323120300925926"/>
    <n v="7.0784302604166668E-2"/>
    <n v="2"/>
    <n v="1.5877443611111111"/>
  </r>
  <r>
    <n v="1035"/>
    <x v="3"/>
    <n v="27.694336388888889"/>
    <n v="7.2580727380949996"/>
    <n v="0.11539306828703703"/>
    <n v="3.0241969742062499E-2"/>
    <n v="2"/>
    <n v="1.3847168194444444"/>
  </r>
  <r>
    <n v="1035"/>
    <x v="4"/>
    <n v="22.61905472222222"/>
    <n v="7.5502435138888888"/>
    <n v="9.4246061342592571E-2"/>
    <n v="3.145934797453704E-2"/>
    <n v="2"/>
    <n v="1.1309527361111109"/>
  </r>
  <r>
    <n v="1035"/>
    <x v="5"/>
    <n v="24.411226388888888"/>
    <n v="6.5334716944444446"/>
    <n v="0.10171344328703703"/>
    <n v="2.7222798726851852E-2"/>
    <n v="2"/>
    <n v="1.2205613194444445"/>
  </r>
  <r>
    <n v="1035"/>
    <x v="6"/>
    <n v="31.861239722222219"/>
    <n v="6.6875673015872223"/>
    <n v="0.13275516550925925"/>
    <n v="2.7864863756613428E-2"/>
    <n v="2"/>
    <n v="1.5930619861111111"/>
  </r>
  <r>
    <n v="1035"/>
    <x v="7"/>
    <n v="26.745272777777782"/>
    <n v="6.030853574879167"/>
    <n v="0.11143863657407409"/>
    <n v="2.5128556561996529E-2"/>
    <n v="2"/>
    <n v="1.337263638888889"/>
  </r>
  <r>
    <n v="1035"/>
    <x v="8"/>
    <n v="22.67725027777778"/>
    <n v="7.366223861111111"/>
    <n v="9.4488542824074082E-2"/>
    <n v="3.0692599421296294E-2"/>
    <n v="2"/>
    <n v="1.1338625138888889"/>
  </r>
  <r>
    <n v="1035"/>
    <x v="9"/>
    <n v="21.583179722222219"/>
    <n v="7.4846071717169442"/>
    <n v="8.9929915509259259E-2"/>
    <n v="3.1185863215487265E-2"/>
    <n v="2"/>
    <n v="1.0791589861111111"/>
  </r>
  <r>
    <n v="1035"/>
    <x v="10"/>
    <n v="16.60485083333333"/>
    <n v="6.6454745075755559"/>
    <n v="6.9186878472222213E-2"/>
    <n v="2.7689477114898151E-2"/>
    <n v="1"/>
    <n v="0.83024254166666656"/>
  </r>
  <r>
    <n v="1035"/>
    <x v="11"/>
    <n v="18.481622222222221"/>
    <n v="7.5083633862433334"/>
    <n v="7.7006759259259247E-2"/>
    <n v="3.1284847442680556E-2"/>
    <n v="1"/>
    <n v="0.92408111111111091"/>
  </r>
  <r>
    <n v="1036"/>
    <x v="0"/>
    <n v="23.87027777777778"/>
    <n v="23.467777777777776"/>
    <n v="9.9459490740740744E-2"/>
    <n v="9.7782407407407401E-2"/>
    <n v="2"/>
    <n v="1.193513888888889"/>
  </r>
  <r>
    <n v="1036"/>
    <x v="1"/>
    <n v="25.91550611111111"/>
    <n v="25.644233611111112"/>
    <n v="0.10798127546296295"/>
    <n v="0.10685097337962964"/>
    <n v="2"/>
    <n v="1.2957753055555554"/>
  </r>
  <r>
    <n v="1036"/>
    <x v="2"/>
    <n v="26.293468888888889"/>
    <n v="25.536953597222219"/>
    <n v="0.10955612037037037"/>
    <n v="0.10640397332175926"/>
    <n v="2"/>
    <n v="1.3146734444444443"/>
  </r>
  <r>
    <n v="1036"/>
    <x v="3"/>
    <n v="26.10434555555555"/>
    <n v="25.867007195766941"/>
    <n v="0.10876810648148146"/>
    <n v="0.10777919664902892"/>
    <n v="2"/>
    <n v="1.3052172777777775"/>
  </r>
  <r>
    <n v="1036"/>
    <x v="4"/>
    <n v="26.09540472222222"/>
    <n v="25.699357180555559"/>
    <n v="0.10873085300925926"/>
    <n v="0.1070806549189815"/>
    <n v="2"/>
    <n v="1.3047702361111111"/>
  </r>
  <r>
    <n v="1036"/>
    <x v="5"/>
    <n v="25.994185277777781"/>
    <n v="25.747638958333329"/>
    <n v="0.10830910532407408"/>
    <n v="0.10728182899305554"/>
    <n v="2"/>
    <n v="1.299709263888889"/>
  </r>
  <r>
    <n v="1036"/>
    <x v="6"/>
    <n v="25.979700000000001"/>
    <n v="24.380921468253892"/>
    <n v="0.10824875"/>
    <n v="0.10158717278439122"/>
    <n v="2"/>
    <n v="1.2989850000000001"/>
  </r>
  <r>
    <n v="1036"/>
    <x v="7"/>
    <n v="26.177730555555559"/>
    <n v="25.969439227053051"/>
    <n v="0.10907387731481483"/>
    <n v="0.10820599677938771"/>
    <n v="2"/>
    <n v="1.3088865277777779"/>
  </r>
  <r>
    <n v="1036"/>
    <x v="8"/>
    <n v="25.789388055555559"/>
    <n v="25.751988375"/>
    <n v="0.10745578356481483"/>
    <n v="0.1072999515625"/>
    <n v="2"/>
    <n v="1.289469402777778"/>
  </r>
  <r>
    <n v="1036"/>
    <x v="9"/>
    <n v="25.963636944444449"/>
    <n v="25.723341489898889"/>
    <n v="0.10818182060185187"/>
    <n v="0.10718058954124537"/>
    <n v="2"/>
    <n v="1.2981818472222224"/>
  </r>
  <r>
    <n v="1036"/>
    <x v="10"/>
    <n v="25.834254722222219"/>
    <n v="25.762101919191672"/>
    <n v="0.10764272800925924"/>
    <n v="0.10734209132996531"/>
    <n v="2"/>
    <n v="1.2917127361111109"/>
  </r>
  <r>
    <n v="1036"/>
    <x v="11"/>
    <n v="26.293960277777781"/>
    <n v="25.528304629629449"/>
    <n v="0.10955816782407408"/>
    <n v="0.10636793595678938"/>
    <n v="2"/>
    <n v="1.3146980138888891"/>
  </r>
  <r>
    <n v="1037"/>
    <x v="0"/>
    <n v="23.415000000000003"/>
    <n v="6.5316666666666663"/>
    <n v="9.756250000000001E-2"/>
    <n v="2.7215277777777779E-2"/>
    <n v="2"/>
    <n v="1.1707500000000002"/>
  </r>
  <r>
    <n v="1037"/>
    <x v="1"/>
    <n v="26.660442499999998"/>
    <n v="6.4388654040402784"/>
    <n v="0.11108517708333332"/>
    <n v="2.6828605850167827E-2"/>
    <n v="2"/>
    <n v="1.3330221249999998"/>
  </r>
  <r>
    <n v="1037"/>
    <x v="2"/>
    <n v="26.669303888888891"/>
    <n v="6.9336802777777784"/>
    <n v="0.11112209953703704"/>
    <n v="2.8890334490740743E-2"/>
    <n v="2"/>
    <n v="1.3334651944444444"/>
  </r>
  <r>
    <n v="1037"/>
    <x v="3"/>
    <n v="26.66267777777778"/>
    <n v="6.6977904365077778"/>
    <n v="0.11109449074074075"/>
    <n v="2.7907460152115742E-2"/>
    <n v="2"/>
    <n v="1.3331338888888891"/>
  </r>
  <r>
    <n v="1037"/>
    <x v="4"/>
    <n v="26.016465555555559"/>
    <n v="6.5666286111111107"/>
    <n v="0.10840193981481483"/>
    <n v="2.7360952546296294E-2"/>
    <n v="2"/>
    <n v="1.300823277777778"/>
  </r>
  <r>
    <n v="1037"/>
    <x v="5"/>
    <n v="25.92256444444444"/>
    <n v="14.86407131944445"/>
    <n v="0.10801068518518515"/>
    <n v="6.1933630497685209E-2"/>
    <n v="2"/>
    <n v="1.2961282222222219"/>
  </r>
  <r>
    <n v="1037"/>
    <x v="6"/>
    <n v="25.839600000000001"/>
    <n v="6.0592470767194442"/>
    <n v="0.10766500000000001"/>
    <n v="2.5246862819664349E-2"/>
    <n v="2"/>
    <n v="1.2919800000000001"/>
  </r>
  <r>
    <n v="1037"/>
    <x v="7"/>
    <n v="25.888184166666669"/>
    <n v="5.2709921980674999"/>
    <n v="0.10786743402777778"/>
    <n v="2.1962467491947916E-2"/>
    <n v="2"/>
    <n v="1.2944092083333334"/>
  </r>
  <r>
    <n v="1037"/>
    <x v="8"/>
    <n v="23.798599722222221"/>
    <n v="6.4029516388888892"/>
    <n v="9.9160832175925917E-2"/>
    <n v="2.6678965162037039E-2"/>
    <n v="2"/>
    <n v="1.189929986111111"/>
  </r>
  <r>
    <n v="1037"/>
    <x v="9"/>
    <n v="23.810178611111109"/>
    <n v="6.1897541161613887"/>
    <n v="9.9209077546296279E-2"/>
    <n v="2.5790642150672453E-2"/>
    <n v="2"/>
    <n v="1.1905089305555554"/>
  </r>
  <r>
    <n v="1037"/>
    <x v="10"/>
    <n v="23.857366666666671"/>
    <n v="6.0485207070705558"/>
    <n v="9.940569444444447E-2"/>
    <n v="2.5202169612793982E-2"/>
    <n v="2"/>
    <n v="1.1928683333333336"/>
  </r>
  <r>
    <n v="1037"/>
    <x v="11"/>
    <n v="25.852776388888891"/>
    <n v="6.9062779761902782"/>
    <n v="0.10771990162037037"/>
    <n v="2.8776158234126159E-2"/>
    <n v="2"/>
    <n v="1.2926388194444445"/>
  </r>
  <r>
    <n v="1038"/>
    <x v="0"/>
    <n v="23.121388888888887"/>
    <n v="21.844444444444445"/>
    <n v="9.633912037037036E-2"/>
    <n v="9.1018518518518512E-2"/>
    <n v="2"/>
    <n v="1.1560694444444444"/>
  </r>
  <r>
    <n v="1038"/>
    <x v="1"/>
    <n v="25.686873055555559"/>
    <n v="22.27585977272722"/>
    <n v="0.10702863773148148"/>
    <n v="9.2816082386363408E-2"/>
    <n v="2"/>
    <n v="1.2843436527777778"/>
  </r>
  <r>
    <n v="1038"/>
    <x v="2"/>
    <n v="25.71622305555556"/>
    <n v="24.395140097222221"/>
    <n v="0.10715092939814817"/>
    <n v="0.10164641707175925"/>
    <n v="2"/>
    <n v="1.285811152777778"/>
  </r>
  <r>
    <n v="1038"/>
    <x v="3"/>
    <n v="25.714789166666669"/>
    <n v="25.20122088624333"/>
    <n v="0.10714495486111113"/>
    <n v="0.10500508702601387"/>
    <n v="2"/>
    <n v="1.2857394583333335"/>
  </r>
  <r>
    <n v="1038"/>
    <x v="4"/>
    <n v="25.696531666666669"/>
    <n v="22.079615555555559"/>
    <n v="0.10706888194444446"/>
    <n v="9.1998398148148156E-2"/>
    <n v="2"/>
    <n v="1.2848265833333334"/>
  </r>
  <r>
    <n v="1038"/>
    <x v="5"/>
    <n v="24.859324999999998"/>
    <n v="22.745835763888891"/>
    <n v="0.10358052083333331"/>
    <n v="9.4774315682870383E-2"/>
    <n v="2"/>
    <n v="1.2429662499999998"/>
  </r>
  <r>
    <n v="1038"/>
    <x v="6"/>
    <n v="24.913748333333331"/>
    <n v="23.505964259259169"/>
    <n v="0.10380728472222221"/>
    <n v="9.7941517746913218E-2"/>
    <n v="2"/>
    <n v="1.2456874166666665"/>
  </r>
  <r>
    <n v="1038"/>
    <x v="7"/>
    <n v="24.867925277777779"/>
    <n v="23.755745289855"/>
    <n v="0.10361635532407408"/>
    <n v="9.8982272041062511E-2"/>
    <n v="2"/>
    <n v="1.2433962638888889"/>
  </r>
  <r>
    <n v="1038"/>
    <x v="8"/>
    <n v="24.832144722222221"/>
    <n v="24.794579763888891"/>
    <n v="0.10346726967592591"/>
    <n v="0.1033107490162037"/>
    <n v="2"/>
    <n v="1.241607236111111"/>
  </r>
  <r>
    <n v="1038"/>
    <x v="9"/>
    <n v="24.897022222222219"/>
    <n v="24.57833503787861"/>
    <n v="0.10373759259259258"/>
    <n v="0.10240972932449421"/>
    <n v="2"/>
    <n v="1.2448511111111109"/>
  </r>
  <r>
    <n v="1038"/>
    <x v="10"/>
    <n v="24.928746666666669"/>
    <n v="24.801075681818059"/>
    <n v="0.10386977777777778"/>
    <n v="0.10333781534090858"/>
    <n v="2"/>
    <n v="1.2464373333333334"/>
  </r>
  <r>
    <n v="1038"/>
    <x v="11"/>
    <n v="25.34106388888889"/>
    <n v="23.997242989417781"/>
    <n v="0.10558776620370371"/>
    <n v="9.9988512455907411E-2"/>
    <n v="2"/>
    <n v="1.2670531944444445"/>
  </r>
  <r>
    <n v="1039"/>
    <x v="0"/>
    <n v="22.995555555555555"/>
    <n v="14.748888888888889"/>
    <n v="9.5814814814814811E-2"/>
    <n v="6.1453703703703705E-2"/>
    <n v="2"/>
    <n v="1.1497777777777778"/>
  </r>
  <r>
    <n v="1039"/>
    <x v="1"/>
    <n v="18.740816666666671"/>
    <n v="15.54744361111111"/>
    <n v="7.8086736111111124E-2"/>
    <n v="6.4781015046296284E-2"/>
    <n v="1"/>
    <n v="0.93704083333333354"/>
  </r>
  <r>
    <n v="1039"/>
    <x v="2"/>
    <n v="16.46631305555556"/>
    <n v="15.44776591666667"/>
    <n v="6.8609637731481501E-2"/>
    <n v="6.436569131944446E-2"/>
    <n v="1"/>
    <n v="0.82331565277777807"/>
  </r>
  <r>
    <n v="1039"/>
    <x v="3"/>
    <n v="67.720884444444451"/>
    <n v="18.074570185184999"/>
    <n v="0.28217035185185185"/>
    <n v="7.5310709104937493E-2"/>
    <n v="4"/>
    <n v="3.386044222222222"/>
  </r>
  <r>
    <n v="1039"/>
    <x v="4"/>
    <n v="17.88368944444445"/>
    <n v="15.22080919444444"/>
    <n v="7.4515372685185211E-2"/>
    <n v="6.3420038310185167E-2"/>
    <n v="1"/>
    <n v="0.89418447222222253"/>
  </r>
  <r>
    <n v="1039"/>
    <x v="5"/>
    <n v="18.715560277777779"/>
    <n v="15.165875930555559"/>
    <n v="7.7981501157407415E-2"/>
    <n v="6.3191149710648167E-2"/>
    <n v="1"/>
    <n v="0.93577801388888893"/>
  </r>
  <r>
    <n v="1039"/>
    <x v="6"/>
    <n v="22.28136944444444"/>
    <n v="15.76643440476167"/>
    <n v="9.2839039351851838E-2"/>
    <n v="6.5693476686506949E-2"/>
    <n v="2"/>
    <n v="1.1140684722222221"/>
  </r>
  <r>
    <n v="1039"/>
    <x v="7"/>
    <n v="28.47201472222222"/>
    <n v="17.449381135265551"/>
    <n v="0.11863339467592592"/>
    <n v="7.2705754730273131E-2"/>
    <n v="2"/>
    <n v="1.4236007361111109"/>
  </r>
  <r>
    <n v="1039"/>
    <x v="8"/>
    <n v="16.31446861111111"/>
    <n v="14.94538705555556"/>
    <n v="6.7976952546296293E-2"/>
    <n v="6.2272446064814836E-2"/>
    <n v="1"/>
    <n v="0.81572343055555552"/>
  </r>
  <r>
    <n v="1039"/>
    <x v="9"/>
    <n v="22.220708055555551"/>
    <n v="16.046941338383611"/>
    <n v="9.2586283564814797E-2"/>
    <n v="6.6862255576598376E-2"/>
    <n v="2"/>
    <n v="1.1110354027777776"/>
  </r>
  <r>
    <n v="1039"/>
    <x v="10"/>
    <n v="16.433848055555551"/>
    <n v="15.292696351009999"/>
    <n v="6.8474366898148134E-2"/>
    <n v="6.3719568129208329E-2"/>
    <n v="1"/>
    <n v="0.82169240277777766"/>
  </r>
  <r>
    <n v="1039"/>
    <x v="11"/>
    <n v="30.696621388888889"/>
    <n v="18.029198095238051"/>
    <n v="0.12790258912037036"/>
    <n v="7.5121658730158539E-2"/>
    <n v="2"/>
    <n v="1.5348310694444445"/>
  </r>
  <r>
    <n v="1040"/>
    <x v="0"/>
    <n v="19.228333333333335"/>
    <n v="10.006666666666666"/>
    <n v="8.0118055555555567E-2"/>
    <n v="4.1694444444444444E-2"/>
    <n v="1"/>
    <n v="0.96141666666666681"/>
  </r>
  <r>
    <n v="1040"/>
    <x v="1"/>
    <n v="32.906343333333332"/>
    <n v="32.329496148989719"/>
    <n v="0.13710976388888887"/>
    <n v="0.13470623395412382"/>
    <n v="2"/>
    <n v="1.6453171666666666"/>
  </r>
  <r>
    <n v="1040"/>
    <x v="2"/>
    <n v="33.215639722222221"/>
    <n v="26.41938264619861"/>
    <n v="0.13839849884259259"/>
    <n v="0.11008076102582753"/>
    <n v="2"/>
    <n v="1.6607819861111111"/>
  </r>
  <r>
    <n v="1040"/>
    <x v="3"/>
    <n v="33.0532325"/>
    <n v="16.858623558200829"/>
    <n v="0.13772180208333332"/>
    <n v="7.0244264825836789E-2"/>
    <n v="2"/>
    <n v="1.6526616249999999"/>
  </r>
  <r>
    <n v="1040"/>
    <x v="4"/>
    <n v="10.7590875"/>
    <n v="4.2809804444444444"/>
    <n v="4.4829531249999999E-2"/>
    <n v="1.7837418518518517E-2"/>
    <n v="1"/>
    <n v="0.53795437499999998"/>
  </r>
  <r>
    <n v="1040"/>
    <x v="5"/>
    <n v="10.379153055555561"/>
    <n v="4.0207330555555556"/>
    <n v="4.3246471064814836E-2"/>
    <n v="1.6753054398148146E-2"/>
    <n v="1"/>
    <n v="0.51895765277777806"/>
  </r>
  <r>
    <n v="1040"/>
    <x v="6"/>
    <n v="12.694078611111109"/>
    <n v="4.5542615740738892"/>
    <n v="5.2891994212962958E-2"/>
    <n v="1.8976089891974537E-2"/>
    <n v="1"/>
    <n v="0.63470393055555552"/>
  </r>
  <r>
    <n v="1040"/>
    <x v="7"/>
    <n v="15.956063333333329"/>
    <n v="6.3005662077294442"/>
    <n v="6.6483597222222204E-2"/>
    <n v="2.6252359198872685E-2"/>
    <n v="1"/>
    <n v="0.79780316666666651"/>
  </r>
  <r>
    <n v="1040"/>
    <x v="8"/>
    <n v="6.8529425000000002"/>
    <n v="4.1168243472222219"/>
    <n v="2.8553927083333333E-2"/>
    <n v="1.7153434780092593E-2"/>
    <n v="1"/>
    <n v="0.342647125"/>
  </r>
  <r>
    <n v="1040"/>
    <x v="9"/>
    <n v="25.254595277777781"/>
    <n v="6.2086275757575002"/>
    <n v="0.10522748032407409"/>
    <n v="2.5869281565656252E-2"/>
    <n v="2"/>
    <n v="1.262729763888889"/>
  </r>
  <r>
    <n v="1040"/>
    <x v="10"/>
    <n v="25.576454166666672"/>
    <n v="6.9027722474747222"/>
    <n v="0.1065685590277778"/>
    <n v="2.8761551031144677E-2"/>
    <n v="2"/>
    <n v="1.2788227083333337"/>
  </r>
  <r>
    <n v="1040"/>
    <x v="11"/>
    <n v="24.09017722222222"/>
    <n v="8.087044828042222"/>
    <n v="0.10037573842592591"/>
    <n v="3.3696020116842591E-2"/>
    <n v="2"/>
    <n v="1.204508861111111"/>
  </r>
  <r>
    <n v="1041"/>
    <x v="0"/>
    <n v="19.223333333333336"/>
    <n v="18.160277777777775"/>
    <n v="8.0097222222222236E-2"/>
    <n v="7.5667824074074061E-2"/>
    <n v="1"/>
    <n v="0.96116666666666684"/>
  </r>
  <r>
    <n v="1041"/>
    <x v="1"/>
    <n v="20.37699555555556"/>
    <n v="19.94475329545444"/>
    <n v="8.4904148148148173E-2"/>
    <n v="8.3103138731060164E-2"/>
    <n v="2"/>
    <n v="1.0188497777777781"/>
  </r>
  <r>
    <n v="1041"/>
    <x v="2"/>
    <n v="20.38330361111111"/>
    <n v="20.252817347222219"/>
    <n v="8.4930431712962953E-2"/>
    <n v="8.4386738946759243E-2"/>
    <n v="2"/>
    <n v="1.0191651805555555"/>
  </r>
  <r>
    <n v="1041"/>
    <x v="3"/>
    <n v="23.11490638888889"/>
    <n v="20.034003015872781"/>
    <n v="9.6312109953703706E-2"/>
    <n v="8.3475012566136583E-2"/>
    <n v="2"/>
    <n v="1.1557453194444445"/>
  </r>
  <r>
    <n v="1041"/>
    <x v="4"/>
    <n v="20.38841"/>
    <n v="19.252774083333328"/>
    <n v="8.4951708333333334E-2"/>
    <n v="8.0219892013888863E-2"/>
    <n v="2"/>
    <n v="1.0194205000000001"/>
  </r>
  <r>
    <n v="1041"/>
    <x v="5"/>
    <n v="22.267090833333331"/>
    <n v="19.839596763888888"/>
    <n v="9.2779545138888878E-2"/>
    <n v="8.2664986516203701E-2"/>
    <n v="2"/>
    <n v="1.1133545416666666"/>
  </r>
  <r>
    <n v="1041"/>
    <x v="6"/>
    <n v="22.19286111111111"/>
    <n v="19.432191335978612"/>
    <n v="9.2470254629629614E-2"/>
    <n v="8.0967463899910885E-2"/>
    <n v="2"/>
    <n v="1.1096430555555554"/>
  </r>
  <r>
    <n v="1041"/>
    <x v="7"/>
    <n v="22.16359527777778"/>
    <n v="20.30314205314"/>
    <n v="9.2348313657407421E-2"/>
    <n v="8.459642522141668E-2"/>
    <n v="2"/>
    <n v="1.1081797638888891"/>
  </r>
  <r>
    <n v="1041"/>
    <x v="8"/>
    <n v="19.838121944444449"/>
    <n v="19.655607569444449"/>
    <n v="8.2658841435185204E-2"/>
    <n v="8.1898364872685203E-2"/>
    <n v="1"/>
    <n v="0.99190609722222245"/>
  </r>
  <r>
    <n v="1041"/>
    <x v="9"/>
    <n v="19.9622575"/>
    <n v="19.743535075757499"/>
    <n v="8.3176072916666663E-2"/>
    <n v="8.2264729482322912E-2"/>
    <n v="1"/>
    <n v="0.9981128749999999"/>
  </r>
  <r>
    <n v="1041"/>
    <x v="10"/>
    <n v="19.860870277777781"/>
    <n v="19.644047487373609"/>
    <n v="8.2753626157407431E-2"/>
    <n v="8.1850197864056701E-2"/>
    <n v="1"/>
    <n v="0.99304351388888912"/>
  </r>
  <r>
    <n v="1041"/>
    <x v="11"/>
    <n v="20.13073972222222"/>
    <n v="19.820053703703611"/>
    <n v="8.3878082175925919E-2"/>
    <n v="8.258355709876504E-2"/>
    <n v="2"/>
    <n v="1.0065369861111111"/>
  </r>
  <r>
    <n v="1042"/>
    <x v="0"/>
    <n v="18.316666666666666"/>
    <n v="18.028333333333332"/>
    <n v="7.631944444444444E-2"/>
    <n v="7.5118055555555549E-2"/>
    <n v="1"/>
    <n v="0.91583333333333328"/>
  </r>
  <r>
    <n v="1042"/>
    <x v="1"/>
    <n v="19.983534166666669"/>
    <n v="19.588548825757499"/>
    <n v="8.3264725694444444E-2"/>
    <n v="8.1618953440656242E-2"/>
    <n v="1"/>
    <n v="0.99917670833333339"/>
  </r>
  <r>
    <n v="1042"/>
    <x v="2"/>
    <n v="19.927597500000001"/>
    <n v="19.871337736111109"/>
    <n v="8.3031656250000002E-2"/>
    <n v="8.2797240567129615E-2"/>
    <n v="1"/>
    <n v="0.99637987500000003"/>
  </r>
  <r>
    <n v="1042"/>
    <x v="3"/>
    <n v="19.92896833333333"/>
    <n v="19.489739246031672"/>
    <n v="8.3037368055555547E-2"/>
    <n v="8.1207246858465296E-2"/>
    <n v="1"/>
    <n v="0.9964484166666665"/>
  </r>
  <r>
    <n v="1042"/>
    <x v="4"/>
    <n v="19.931112777777781"/>
    <n v="19.793545138888891"/>
    <n v="8.3046303240740749E-2"/>
    <n v="8.2473104745370382E-2"/>
    <n v="1"/>
    <n v="0.99655563888888898"/>
  </r>
  <r>
    <n v="1042"/>
    <x v="5"/>
    <n v="20.060009166666671"/>
    <n v="19.683675820706949"/>
    <n v="8.3583371527777797E-2"/>
    <n v="8.2015315919612294E-2"/>
    <n v="2"/>
    <n v="1.0030004583333336"/>
  </r>
  <r>
    <n v="1042"/>
    <x v="6"/>
    <n v="20.24065388888889"/>
    <n v="19.371764920634721"/>
    <n v="8.4336057870370365E-2"/>
    <n v="8.0715687169311337E-2"/>
    <n v="2"/>
    <n v="1.0120326944444444"/>
  </r>
  <r>
    <n v="1042"/>
    <x v="7"/>
    <n v="19.93174444444444"/>
    <n v="19.53131054347806"/>
    <n v="8.3048935185185177E-2"/>
    <n v="8.1380460597825249E-2"/>
    <n v="1"/>
    <n v="0.99658722222222207"/>
  </r>
  <r>
    <n v="1042"/>
    <x v="8"/>
    <n v="19.980943611111108"/>
    <n v="19.774977611111112"/>
    <n v="8.3253931712962956E-2"/>
    <n v="8.2395740046296295E-2"/>
    <n v="1"/>
    <n v="0.99904718055555541"/>
  </r>
  <r>
    <n v="1042"/>
    <x v="9"/>
    <n v="19.921798055555559"/>
    <n v="19.73025734848472"/>
    <n v="8.300749189814817E-2"/>
    <n v="8.2209405618686338E-2"/>
    <n v="1"/>
    <n v="0.99608990277777809"/>
  </r>
  <r>
    <n v="1042"/>
    <x v="10"/>
    <n v="19.942405000000001"/>
    <n v="19.636640458936949"/>
    <n v="8.3093354166666675E-2"/>
    <n v="8.1819335245570626E-2"/>
    <n v="1"/>
    <n v="0.99712025000000004"/>
  </r>
  <r>
    <n v="1042"/>
    <x v="11"/>
    <n v="19.94926666666667"/>
    <n v="19.865551243386111"/>
    <n v="8.3121944444444457E-2"/>
    <n v="8.2773130180775464E-2"/>
    <n v="1"/>
    <n v="0.99746333333333348"/>
  </r>
  <r>
    <n v="1043"/>
    <x v="0"/>
    <n v="17.170000000000002"/>
    <n v="16.741388888888888"/>
    <n v="7.154166666666667E-2"/>
    <n v="6.975578703703704E-2"/>
    <n v="1"/>
    <n v="0.85850000000000004"/>
  </r>
  <r>
    <n v="1043"/>
    <x v="1"/>
    <n v="18.664993611111111"/>
    <n v="18.38641087121194"/>
    <n v="7.7770806712962964E-2"/>
    <n v="7.6610045296716417E-2"/>
    <n v="1"/>
    <n v="0.93324968055555557"/>
  </r>
  <r>
    <n v="1043"/>
    <x v="2"/>
    <n v="18.64514611111111"/>
    <n v="18.471169416666669"/>
    <n v="7.7688108796296299E-2"/>
    <n v="7.696320590277779E-2"/>
    <n v="1"/>
    <n v="0.93225730555555564"/>
  </r>
  <r>
    <n v="1043"/>
    <x v="3"/>
    <n v="18.653988055555551"/>
    <n v="18.33456645502639"/>
    <n v="7.772495023148146E-2"/>
    <n v="7.6394026895943296E-2"/>
    <n v="1"/>
    <n v="0.93269940277777752"/>
  </r>
  <r>
    <n v="1043"/>
    <x v="4"/>
    <n v="18.661820277777782"/>
    <n v="16.551855357142781"/>
    <n v="7.7757584490740758E-2"/>
    <n v="6.8966063988094919E-2"/>
    <n v="1"/>
    <n v="0.93309101388888904"/>
  </r>
  <r>
    <n v="1043"/>
    <x v="5"/>
    <n v="18.657034166666669"/>
    <n v="18.363160370370281"/>
    <n v="7.7737642361111123E-2"/>
    <n v="7.6513168209876178E-2"/>
    <n v="1"/>
    <n v="0.93285170833333342"/>
  </r>
  <r>
    <n v="1043"/>
    <x v="6"/>
    <n v="18.643304722222219"/>
    <n v="18.599602910052781"/>
    <n v="7.7680436342592571E-2"/>
    <n v="7.7498345458553261E-2"/>
    <n v="1"/>
    <n v="0.9321652361111108"/>
  </r>
  <r>
    <n v="1043"/>
    <x v="7"/>
    <n v="19.581140277777781"/>
    <n v="18.498549444444439"/>
    <n v="8.1588084490740745E-2"/>
    <n v="7.7077289351851833E-2"/>
    <n v="1"/>
    <n v="0.97905701388888899"/>
  </r>
  <r>
    <n v="1043"/>
    <x v="8"/>
    <n v="18.641783333333329"/>
    <n v="18.30545991666667"/>
    <n v="7.7674097222222196E-2"/>
    <n v="7.6272749652777791E-2"/>
    <n v="1"/>
    <n v="0.93208916666666641"/>
  </r>
  <r>
    <n v="1043"/>
    <x v="9"/>
    <n v="18.65542944444444"/>
    <n v="18.563485669191671"/>
    <n v="7.7730956018518496E-2"/>
    <n v="7.7347856954965294E-2"/>
    <n v="1"/>
    <n v="0.93277147222222201"/>
  </r>
  <r>
    <n v="1043"/>
    <x v="10"/>
    <n v="18.61130444444445"/>
    <n v="18.444913876811391"/>
    <n v="7.7547101851851874E-2"/>
    <n v="7.6853807820047457E-2"/>
    <n v="1"/>
    <n v="0.93056522222222249"/>
  </r>
  <r>
    <n v="1043"/>
    <x v="11"/>
    <n v="18.622045277777779"/>
    <n v="18.375655992063329"/>
    <n v="7.7591855324074074E-2"/>
    <n v="7.6565233300263866E-2"/>
    <n v="1"/>
    <n v="0.93110226388888884"/>
  </r>
  <r>
    <n v="1044"/>
    <x v="0"/>
    <n v="34.166666666666664"/>
    <n v="24.865833333333335"/>
    <n v="0.1423611111111111"/>
    <n v="0.10360763888888889"/>
    <n v="2"/>
    <n v="1.7083333333333333"/>
  </r>
  <r>
    <n v="1044"/>
    <x v="1"/>
    <n v="29.84616055555556"/>
    <n v="29.265691388888889"/>
    <n v="0.12435900231481484"/>
    <n v="0.12194038078703705"/>
    <n v="2"/>
    <n v="1.492308027777778"/>
  </r>
  <r>
    <n v="1044"/>
    <x v="2"/>
    <n v="29.850579722222221"/>
    <n v="29.778394097222218"/>
    <n v="0.12437741550925925"/>
    <n v="0.12407664207175924"/>
    <n v="2"/>
    <n v="1.4925289861111111"/>
  </r>
  <r>
    <n v="1044"/>
    <x v="3"/>
    <n v="85.619122500000003"/>
    <n v="32.064433994708892"/>
    <n v="0.35674634375000003"/>
    <n v="0.13360180831128707"/>
    <n v="5"/>
    <n v="4.2809561250000003"/>
  </r>
  <r>
    <n v="1044"/>
    <x v="4"/>
    <n v="29.840107499999998"/>
    <n v="29.814931194444441"/>
    <n v="0.12433378125"/>
    <n v="0.12422887997685184"/>
    <n v="2"/>
    <n v="1.492005375"/>
  </r>
  <r>
    <n v="1044"/>
    <x v="5"/>
    <n v="29.843639722222221"/>
    <n v="28.270026504629449"/>
    <n v="0.12434849884259258"/>
    <n v="0.11779177710262272"/>
    <n v="2"/>
    <n v="1.492181986111111"/>
  </r>
  <r>
    <n v="1045"/>
    <x v="0"/>
    <n v="16.226111111111113"/>
    <n v="3.2355555555555555"/>
    <n v="6.7608796296296306E-2"/>
    <n v="1.3481481481481481E-2"/>
    <n v="1"/>
    <n v="0.81130555555555572"/>
  </r>
  <r>
    <n v="1045"/>
    <x v="1"/>
    <n v="14.30099722222222"/>
    <n v="3.1071950126261112"/>
    <n v="5.958748842592592E-2"/>
    <n v="1.294664588594213E-2"/>
    <n v="1"/>
    <n v="0.71504986111111102"/>
  </r>
  <r>
    <n v="1045"/>
    <x v="2"/>
    <n v="15.457140000000001"/>
    <n v="3.2478654166666669"/>
    <n v="6.4404749999999997E-2"/>
    <n v="1.3532772569444447E-2"/>
    <n v="1"/>
    <n v="0.77285699999999991"/>
  </r>
  <r>
    <n v="1045"/>
    <x v="3"/>
    <n v="18.347288055555559"/>
    <n v="3.2237491798941669"/>
    <n v="7.6447033564814831E-2"/>
    <n v="1.3432288249559029E-2"/>
    <n v="1"/>
    <n v="0.91736440277777798"/>
  </r>
  <r>
    <n v="1045"/>
    <x v="4"/>
    <n v="16.64513361111111"/>
    <n v="3.984194833333333"/>
    <n v="6.9354723379629626E-2"/>
    <n v="1.6600811805555556E-2"/>
    <n v="1"/>
    <n v="0.83225668055555557"/>
  </r>
  <r>
    <n v="1045"/>
    <x v="5"/>
    <n v="17.139533333333329"/>
    <n v="4.1242601666666667"/>
    <n v="7.1414722222222213E-2"/>
    <n v="1.718441736111111E-2"/>
    <n v="1"/>
    <n v="0.8569766666666665"/>
  </r>
  <r>
    <n v="1045"/>
    <x v="6"/>
    <n v="16.800850555555559"/>
    <n v="3.038268694444445"/>
    <n v="7.0003543981481495E-2"/>
    <n v="1.2659452893518519E-2"/>
    <n v="1"/>
    <n v="0.84004252777777788"/>
  </r>
  <r>
    <n v="1045"/>
    <x v="7"/>
    <n v="15.631659166666671"/>
    <n v="3.4223820652172221"/>
    <n v="6.513191319444446E-2"/>
    <n v="1.4259925271738425E-2"/>
    <n v="1"/>
    <n v="0.78158295833333358"/>
  </r>
  <r>
    <n v="1045"/>
    <x v="8"/>
    <n v="20.627738888888889"/>
    <n v="3.6716970972222218"/>
    <n v="8.5948912037037029E-2"/>
    <n v="1.5298737905092591E-2"/>
    <n v="2"/>
    <n v="1.0313869444444443"/>
  </r>
  <r>
    <n v="1045"/>
    <x v="9"/>
    <n v="18.94750611111111"/>
    <n v="3.768196085858333"/>
    <n v="7.894794212962962E-2"/>
    <n v="1.570081702440972E-2"/>
    <n v="1"/>
    <n v="0.94737530555555538"/>
  </r>
  <r>
    <n v="1045"/>
    <x v="10"/>
    <n v="20.379188055555559"/>
    <n v="3.847435542929166"/>
    <n v="8.4913283564814826E-2"/>
    <n v="1.6030981428871525E-2"/>
    <n v="2"/>
    <n v="1.018959402777778"/>
  </r>
  <r>
    <n v="1045"/>
    <x v="11"/>
    <n v="20.434135833333329"/>
    <n v="3.3893999338622218"/>
    <n v="8.5142232638888871E-2"/>
    <n v="1.4122499724425924E-2"/>
    <n v="2"/>
    <n v="1.0217067916666664"/>
  </r>
  <r>
    <n v="1046"/>
    <x v="0"/>
    <n v="15.955"/>
    <n v="15.471666666666666"/>
    <n v="6.6479166666666659E-2"/>
    <n v="6.4465277777777774E-2"/>
    <n v="1"/>
    <n v="0.79774999999999996"/>
  </r>
  <r>
    <n v="1046"/>
    <x v="1"/>
    <n v="17.138374166666669"/>
    <n v="17.001979191919169"/>
    <n v="7.1409892361111116E-2"/>
    <n v="7.0841579966329879E-2"/>
    <n v="1"/>
    <n v="0.85691870833333339"/>
  </r>
  <r>
    <n v="1046"/>
    <x v="2"/>
    <n v="17.103259166666671"/>
    <n v="16.976092777777779"/>
    <n v="7.1263579861111134E-2"/>
    <n v="7.0733719907407414E-2"/>
    <n v="1"/>
    <n v="0.85516295833333356"/>
  </r>
  <r>
    <n v="1046"/>
    <x v="3"/>
    <n v="20.398499166666671"/>
    <n v="17.150944153438889"/>
    <n v="8.4993746527777803E-2"/>
    <n v="7.1462267305995378E-2"/>
    <n v="2"/>
    <n v="1.0199249583333336"/>
  </r>
  <r>
    <n v="1046"/>
    <x v="4"/>
    <n v="17.065270277777781"/>
    <n v="16.95775165277778"/>
    <n v="7.1105292824074087E-2"/>
    <n v="7.0657298553240752E-2"/>
    <n v="1"/>
    <n v="0.8532635138888891"/>
  </r>
  <r>
    <n v="1046"/>
    <x v="5"/>
    <n v="17.124922222222221"/>
    <n v="16.929644555555559"/>
    <n v="7.1353842592592587E-2"/>
    <n v="7.0540185648148165E-2"/>
    <n v="1"/>
    <n v="0.85624611111111104"/>
  </r>
  <r>
    <n v="1046"/>
    <x v="6"/>
    <n v="17.09184444444444"/>
    <n v="16.093516560846389"/>
    <n v="7.1216018518518498E-2"/>
    <n v="6.7056319003526613E-2"/>
    <n v="1"/>
    <n v="0.85459222222222198"/>
  </r>
  <r>
    <n v="1046"/>
    <x v="7"/>
    <n v="17.13556777777778"/>
    <n v="17.000321908212499"/>
    <n v="7.139819907407409E-2"/>
    <n v="7.0834674617552079E-2"/>
    <n v="1"/>
    <n v="0.85677838888888913"/>
  </r>
  <r>
    <n v="1046"/>
    <x v="8"/>
    <n v="17.093886944444449"/>
    <n v="16.94923269444444"/>
    <n v="7.1224528935185202E-2"/>
    <n v="7.0621802893518507E-2"/>
    <n v="1"/>
    <n v="0.85469434722222237"/>
  </r>
  <r>
    <n v="1046"/>
    <x v="9"/>
    <n v="17.106024999999999"/>
    <n v="16.947866477272498"/>
    <n v="7.1275104166666658E-2"/>
    <n v="7.0616110321968739E-2"/>
    <n v="1"/>
    <n v="0.8553012499999999"/>
  </r>
  <r>
    <n v="1046"/>
    <x v="10"/>
    <n v="17.093556388888889"/>
    <n v="16.949380732323061"/>
    <n v="7.1223151620370365E-2"/>
    <n v="7.0622419718012752E-2"/>
    <n v="1"/>
    <n v="0.85467781944444443"/>
  </r>
  <r>
    <n v="1046"/>
    <x v="11"/>
    <n v="17.107840833333331"/>
    <n v="16.700742962962781"/>
    <n v="7.1282670138888879E-2"/>
    <n v="6.9586429012344922E-2"/>
    <n v="1"/>
    <n v="0.85539204166666649"/>
  </r>
  <r>
    <n v="1047"/>
    <x v="0"/>
    <n v="15.520833333333334"/>
    <n v="11.71388888888889"/>
    <n v="6.4670138888888895E-2"/>
    <n v="4.8807870370370376E-2"/>
    <n v="1"/>
    <n v="0.77604166666666674"/>
  </r>
  <r>
    <n v="1047"/>
    <x v="1"/>
    <n v="16.966576944444441"/>
    <n v="11.71505689153417"/>
    <n v="7.069407060185183E-2"/>
    <n v="4.8812737048059045E-2"/>
    <n v="1"/>
    <n v="0.8483288472222219"/>
  </r>
  <r>
    <n v="1047"/>
    <x v="2"/>
    <n v="16.948344444444441"/>
    <n v="9.1822879722222215"/>
    <n v="7.0618101851851842E-2"/>
    <n v="3.8259533217592588E-2"/>
    <n v="1"/>
    <n v="0.84741722222222204"/>
  </r>
  <r>
    <n v="1047"/>
    <x v="3"/>
    <n v="16.68852694444444"/>
    <n v="9.6473021296294448"/>
    <n v="6.9535528935185165E-2"/>
    <n v="4.0197092206789353E-2"/>
    <n v="1"/>
    <n v="0.83442634722222198"/>
  </r>
  <r>
    <n v="1047"/>
    <x v="4"/>
    <n v="17.001862222222218"/>
    <n v="11.61990683862417"/>
    <n v="7.0841092592592581E-2"/>
    <n v="4.8416278494267377E-2"/>
    <n v="1"/>
    <n v="0.85009311111111097"/>
  </r>
  <r>
    <n v="1047"/>
    <x v="5"/>
    <n v="16.953123055555551"/>
    <n v="13.609690608465559"/>
    <n v="7.0638012731481459E-2"/>
    <n v="5.6707044201939831E-2"/>
    <n v="1"/>
    <n v="0.84765615277777751"/>
  </r>
  <r>
    <n v="1047"/>
    <x v="6"/>
    <n v="17.00084166666667"/>
    <n v="16.78828566666667"/>
    <n v="7.0836840277777799E-2"/>
    <n v="6.9951190277777797E-2"/>
    <n v="1"/>
    <n v="0.85004208333333353"/>
  </r>
  <r>
    <n v="1047"/>
    <x v="7"/>
    <n v="17.067453611111109"/>
    <n v="12.96409152173889"/>
    <n v="7.1114390046296286E-2"/>
    <n v="5.4017048007245376E-2"/>
    <n v="1"/>
    <n v="0.85337268055555549"/>
  </r>
  <r>
    <n v="1047"/>
    <x v="8"/>
    <n v="16.92801555555555"/>
    <n v="14.02755907894722"/>
    <n v="7.053339814814813E-2"/>
    <n v="5.8448162828946749E-2"/>
    <n v="1"/>
    <n v="0.84640077777777756"/>
  </r>
  <r>
    <n v="1047"/>
    <x v="9"/>
    <n v="16.947633611111112"/>
    <n v="13.562445896464441"/>
    <n v="7.0615140046296307E-2"/>
    <n v="5.6510191235268507E-2"/>
    <n v="1"/>
    <n v="0.84738168055555563"/>
  </r>
  <r>
    <n v="1047"/>
    <x v="10"/>
    <n v="16.955263611111111"/>
    <n v="13.62987873188389"/>
    <n v="7.0646931712962963E-2"/>
    <n v="5.6791161382849543E-2"/>
    <n v="1"/>
    <n v="0.84776318055555555"/>
  </r>
  <r>
    <n v="1047"/>
    <x v="11"/>
    <n v="16.791410277777779"/>
    <n v="13.817337361111109"/>
    <n v="6.9964209490740739E-2"/>
    <n v="5.757223900462962E-2"/>
    <n v="1"/>
    <n v="0.83957051388888893"/>
  </r>
  <r>
    <n v="1048"/>
    <x v="0"/>
    <n v="26.032500000000002"/>
    <n v="25.758611111111112"/>
    <n v="0.10846875"/>
    <n v="0.1073275462962963"/>
    <n v="2"/>
    <n v="1.301625"/>
  </r>
  <r>
    <n v="1048"/>
    <x v="1"/>
    <n v="30.354767500000001"/>
    <n v="29.908473131313059"/>
    <n v="0.12647819791666667"/>
    <n v="0.12461863804713774"/>
    <n v="2"/>
    <n v="1.517738375"/>
  </r>
  <r>
    <n v="1048"/>
    <x v="2"/>
    <n v="30.358602777777779"/>
    <n v="30.282320083333332"/>
    <n v="0.12649417824074075"/>
    <n v="0.12617633368055556"/>
    <n v="2"/>
    <n v="1.5179301388888891"/>
  </r>
  <r>
    <n v="1048"/>
    <x v="3"/>
    <n v="30.35307944444444"/>
    <n v="29.454593584655829"/>
    <n v="0.12647116435185182"/>
    <n v="0.1227274732693993"/>
    <n v="2"/>
    <n v="1.517653972222222"/>
  </r>
  <r>
    <n v="1048"/>
    <x v="4"/>
    <n v="30.431925833333331"/>
    <n v="30.060740777777781"/>
    <n v="0.12679969097222221"/>
    <n v="0.12525308657407408"/>
    <n v="2"/>
    <n v="1.5215962916666665"/>
  </r>
  <r>
    <n v="1048"/>
    <x v="5"/>
    <n v="30.36451527777778"/>
    <n v="30.278725013888891"/>
    <n v="0.12651881365740741"/>
    <n v="0.12616135422453703"/>
    <n v="2"/>
    <n v="1.518225763888889"/>
  </r>
  <r>
    <n v="1048"/>
    <x v="6"/>
    <n v="30.364051666666668"/>
    <n v="30.323909292929169"/>
    <n v="0.12651688194444446"/>
    <n v="0.12634962205387154"/>
    <n v="2"/>
    <n v="1.5182025833333337"/>
  </r>
  <r>
    <n v="1049"/>
    <x v="0"/>
    <n v="14.851666666666667"/>
    <n v="10.916388888888889"/>
    <n v="6.1881944444444448E-2"/>
    <n v="4.5484953703703701E-2"/>
    <n v="1"/>
    <n v="0.74258333333333337"/>
  </r>
  <r>
    <n v="1049"/>
    <x v="1"/>
    <n v="17.34613638888889"/>
    <n v="11.56321580808055"/>
    <n v="7.2275568287037045E-2"/>
    <n v="4.818006586700229E-2"/>
    <n v="1"/>
    <n v="0.86730681944444454"/>
  </r>
  <r>
    <n v="1049"/>
    <x v="2"/>
    <n v="15.10809805555555"/>
    <n v="11.550417250000001"/>
    <n v="6.2950408564814792E-2"/>
    <n v="4.8126738541666665E-2"/>
    <n v="1"/>
    <n v="0.7554049027777775"/>
  </r>
  <r>
    <n v="1049"/>
    <x v="3"/>
    <n v="14.174160000000001"/>
    <n v="10.479136058200829"/>
    <n v="5.9059E-2"/>
    <n v="4.3663066909170122E-2"/>
    <n v="1"/>
    <n v="0.708708"/>
  </r>
  <r>
    <n v="1049"/>
    <x v="4"/>
    <n v="12.979881666666669"/>
    <n v="10.65267651388889"/>
    <n v="5.4082840277777787E-2"/>
    <n v="4.4386152141203707E-2"/>
    <n v="1"/>
    <n v="0.64899408333333342"/>
  </r>
  <r>
    <n v="1049"/>
    <x v="5"/>
    <n v="17.357399166666671"/>
    <n v="10.855224208333331"/>
    <n v="7.2322496527777794E-2"/>
    <n v="4.5230100868055546E-2"/>
    <n v="1"/>
    <n v="0.86786995833333358"/>
  </r>
  <r>
    <n v="1049"/>
    <x v="6"/>
    <n v="16.593368333333331"/>
    <n v="12.335216180555561"/>
    <n v="6.9139034722222215E-2"/>
    <n v="5.1396734085648176E-2"/>
    <n v="1"/>
    <n v="0.82966841666666657"/>
  </r>
  <r>
    <n v="1049"/>
    <x v="7"/>
    <n v="13.72922111111111"/>
    <n v="11.47574672705306"/>
    <n v="5.7205087962962954E-2"/>
    <n v="4.7815611362721083E-2"/>
    <n v="1"/>
    <n v="0.68646105555555548"/>
  </r>
  <r>
    <n v="1049"/>
    <x v="8"/>
    <n v="17.680891111111109"/>
    <n v="13.16489884722222"/>
    <n v="7.367037962962962E-2"/>
    <n v="5.485374519675925E-2"/>
    <n v="1"/>
    <n v="0.88404455555555539"/>
  </r>
  <r>
    <n v="1049"/>
    <x v="9"/>
    <n v="17.601320277777781"/>
    <n v="13.248754053030281"/>
    <n v="7.3338834490740759E-2"/>
    <n v="5.5203141887626171E-2"/>
    <n v="1"/>
    <n v="0.88006601388888916"/>
  </r>
  <r>
    <n v="1049"/>
    <x v="10"/>
    <n v="19.598459999999999"/>
    <n v="13.22634842171694"/>
    <n v="8.1660250000000004E-2"/>
    <n v="5.5109785090487251E-2"/>
    <n v="1"/>
    <n v="0.9799230000000001"/>
  </r>
  <r>
    <n v="1049"/>
    <x v="11"/>
    <n v="16.04776722222222"/>
    <n v="12.443660912698331"/>
    <n v="6.6865696759259255E-2"/>
    <n v="5.1848587136243046E-2"/>
    <n v="1"/>
    <n v="0.80238836111111111"/>
  </r>
  <r>
    <n v="1050"/>
    <x v="0"/>
    <n v="14.684444444444445"/>
    <n v="10.894166666666667"/>
    <n v="6.1185185185185183E-2"/>
    <n v="4.5392361111111112E-2"/>
    <n v="1"/>
    <n v="0.73422222222222222"/>
  </r>
  <r>
    <n v="1050"/>
    <x v="1"/>
    <n v="9.6003377777777779"/>
    <n v="7.4022895299144444"/>
    <n v="4.0001407407407409E-2"/>
    <n v="3.0842873041310184E-2"/>
    <n v="1"/>
    <n v="0.48001688888888894"/>
  </r>
  <r>
    <n v="1050"/>
    <x v="2"/>
    <n v="9.545601944444444"/>
    <n v="9.464731347222223"/>
    <n v="3.9773341435185183E-2"/>
    <n v="3.9436380613425928E-2"/>
    <n v="1"/>
    <n v="0.4772800972222222"/>
  </r>
  <r>
    <n v="1050"/>
    <x v="3"/>
    <n v="42.918204444444441"/>
    <n v="11.260877711639999"/>
    <n v="0.17882585185185185"/>
    <n v="4.6920323798499995E-2"/>
    <n v="3"/>
    <n v="2.1459102222222222"/>
  </r>
  <r>
    <n v="1050"/>
    <x v="4"/>
    <n v="13.16068055555556"/>
    <n v="13.006821597222221"/>
    <n v="5.4836168981481498E-2"/>
    <n v="5.4195089988425919E-2"/>
    <n v="1"/>
    <n v="0.65803402777777797"/>
  </r>
  <r>
    <n v="1050"/>
    <x v="5"/>
    <n v="13.15212861111111"/>
    <n v="13.002234194444441"/>
    <n v="5.4800535879629624E-2"/>
    <n v="5.4175975810185163E-2"/>
    <n v="1"/>
    <n v="0.65760643055555545"/>
  </r>
  <r>
    <n v="1050"/>
    <x v="6"/>
    <n v="13.132167777777781"/>
    <n v="11.121267305555561"/>
    <n v="5.4717365740740757E-2"/>
    <n v="4.6338613773148164E-2"/>
    <n v="1"/>
    <n v="0.65660838888888906"/>
  </r>
  <r>
    <n v="1050"/>
    <x v="7"/>
    <n v="13.325907777777781"/>
    <n v="12.92850115942028"/>
    <n v="5.5524615740740753E-2"/>
    <n v="5.3868754830917832E-2"/>
    <n v="1"/>
    <n v="0.66629538888888906"/>
  </r>
  <r>
    <n v="1050"/>
    <x v="8"/>
    <n v="13.323318333333329"/>
    <n v="13.121152458333331"/>
    <n v="5.5513826388888875E-2"/>
    <n v="5.4671468576388882E-2"/>
    <n v="1"/>
    <n v="0.66616591666666647"/>
  </r>
  <r>
    <n v="1050"/>
    <x v="9"/>
    <n v="13.454924999999999"/>
    <n v="13.048861830808059"/>
    <n v="5.6062187499999999E-2"/>
    <n v="5.4370257628366912E-2"/>
    <n v="1"/>
    <n v="0.67274624999999999"/>
  </r>
  <r>
    <n v="1050"/>
    <x v="10"/>
    <n v="13.325850000000001"/>
    <n v="13.006762070706939"/>
    <n v="5.5524375000000008E-2"/>
    <n v="5.4194841961278911E-2"/>
    <n v="1"/>
    <n v="0.66629250000000007"/>
  </r>
  <r>
    <n v="1050"/>
    <x v="11"/>
    <n v="21.272573888888889"/>
    <n v="13.36525477513222"/>
    <n v="8.8635724537037039E-2"/>
    <n v="5.5688561563050916E-2"/>
    <n v="2"/>
    <n v="1.0636286944444444"/>
  </r>
  <r>
    <n v="1051"/>
    <x v="0"/>
    <n v="14.566666666666666"/>
    <n v="8.0280555555555555"/>
    <n v="6.069444444444444E-2"/>
    <n v="3.3450231481481484E-2"/>
    <n v="1"/>
    <n v="0.72833333333333328"/>
  </r>
  <r>
    <n v="1051"/>
    <x v="1"/>
    <n v="13.96949"/>
    <n v="6.1758196212119447"/>
    <n v="5.8206208333333335E-2"/>
    <n v="2.5732581755049767E-2"/>
    <n v="1"/>
    <n v="0.6984745"/>
  </r>
  <r>
    <n v="1051"/>
    <x v="2"/>
    <n v="32.021357500000001"/>
    <n v="9.7168595138888882"/>
    <n v="0.13342232291666667"/>
    <n v="4.04869146412037E-2"/>
    <n v="2"/>
    <n v="1.601067875"/>
  </r>
  <r>
    <n v="1051"/>
    <x v="3"/>
    <n v="17.882138055555551"/>
    <n v="9.6291054722222214"/>
    <n v="7.4508908564814791E-2"/>
    <n v="4.0121272800925922E-2"/>
    <n v="1"/>
    <n v="0.89410690277777749"/>
  </r>
  <r>
    <n v="1051"/>
    <x v="4"/>
    <n v="10.02828388888889"/>
    <n v="7.3027788888888887"/>
    <n v="4.1784516203703707E-2"/>
    <n v="3.0428245370370369E-2"/>
    <n v="1"/>
    <n v="0.50141419444444446"/>
  </r>
  <r>
    <n v="1051"/>
    <x v="5"/>
    <n v="11.995795277777781"/>
    <n v="8.5565870555555552"/>
    <n v="4.998248032407409E-2"/>
    <n v="3.5652446064814818E-2"/>
    <n v="1"/>
    <n v="0.59978976388888905"/>
  </r>
  <r>
    <n v="1051"/>
    <x v="6"/>
    <n v="10.033844444444441"/>
    <n v="7.2592264166666656"/>
    <n v="4.1807685185185163E-2"/>
    <n v="3.0246776736111106E-2"/>
    <n v="1"/>
    <n v="0.50169222222222198"/>
  </r>
  <r>
    <n v="1051"/>
    <x v="7"/>
    <n v="13.830320555555559"/>
    <n v="9.0908884178741669"/>
    <n v="5.7626335648148168E-2"/>
    <n v="3.7878701741142363E-2"/>
    <n v="1"/>
    <n v="0.69151602777777799"/>
  </r>
  <r>
    <n v="1051"/>
    <x v="8"/>
    <n v="16.307461944444441"/>
    <n v="10.310764444444439"/>
    <n v="6.7947758101851843E-2"/>
    <n v="4.2961518518518503E-2"/>
    <n v="1"/>
    <n v="0.81537309722222218"/>
  </r>
  <r>
    <n v="1051"/>
    <x v="9"/>
    <n v="13.90837277777778"/>
    <n v="9.6611181818180558"/>
    <n v="5.795155324074075E-2"/>
    <n v="4.0254659090908564E-2"/>
    <n v="1"/>
    <n v="0.695418638888889"/>
  </r>
  <r>
    <n v="1051"/>
    <x v="10"/>
    <n v="19.599599166666671"/>
    <n v="8.6000298106058342"/>
    <n v="8.1664996527777797E-2"/>
    <n v="3.5833457544190976E-2"/>
    <n v="1"/>
    <n v="0.97997995833333351"/>
  </r>
  <r>
    <n v="1051"/>
    <x v="11"/>
    <n v="15.222419444444441"/>
    <n v="10.03124591269833"/>
    <n v="6.3426747685185178E-2"/>
    <n v="4.1796857969576377E-2"/>
    <n v="1"/>
    <n v="0.76112097222222208"/>
  </r>
  <r>
    <n v="1052"/>
    <x v="0"/>
    <n v="14.477777777777778"/>
    <n v="14.315555555555555"/>
    <n v="6.0324074074074079E-2"/>
    <n v="5.9648148148148145E-2"/>
    <n v="1"/>
    <n v="0.72388888888888892"/>
  </r>
  <r>
    <n v="1052"/>
    <x v="1"/>
    <n v="15.770145555555549"/>
    <n v="15.536729595959439"/>
    <n v="6.5708939814814793E-2"/>
    <n v="6.4736373316497661E-2"/>
    <n v="1"/>
    <n v="0.78850727777777752"/>
  </r>
  <r>
    <n v="1052"/>
    <x v="2"/>
    <n v="15.78242777777778"/>
    <n v="15.767101"/>
    <n v="6.5760115740740754E-2"/>
    <n v="6.5696254166666676E-2"/>
    <n v="1"/>
    <n v="0.78912138888888905"/>
  </r>
  <r>
    <n v="1052"/>
    <x v="3"/>
    <n v="15.78218777777778"/>
    <n v="15.61230119047611"/>
    <n v="6.5759115740740753E-2"/>
    <n v="6.505125496031712E-2"/>
    <n v="1"/>
    <n v="0.78910938888888904"/>
  </r>
  <r>
    <n v="1052"/>
    <x v="4"/>
    <n v="15.80016555555556"/>
    <n v="15.75645466666667"/>
    <n v="6.5834023148148166E-2"/>
    <n v="6.5651894444444456E-2"/>
    <n v="1"/>
    <n v="0.79000827777777793"/>
  </r>
  <r>
    <n v="1052"/>
    <x v="5"/>
    <n v="15.79431388888889"/>
    <n v="15.01385197089945"/>
    <n v="6.5809641203703709E-2"/>
    <n v="6.255771654541438E-2"/>
    <n v="1"/>
    <n v="0.78971569444444456"/>
  </r>
  <r>
    <n v="1052"/>
    <x v="6"/>
    <n v="15.77345638888889"/>
    <n v="15.746185899470831"/>
    <n v="6.5722734953703718E-2"/>
    <n v="6.5609107914461798E-2"/>
    <n v="1"/>
    <n v="0.78867281944444456"/>
  </r>
  <r>
    <n v="1052"/>
    <x v="7"/>
    <n v="16.04641361111111"/>
    <n v="15.729696763285"/>
    <n v="6.6860056712962954E-2"/>
    <n v="6.5540403180354159E-2"/>
    <n v="1"/>
    <n v="0.80232068055555539"/>
  </r>
  <r>
    <n v="1052"/>
    <x v="8"/>
    <n v="15.708997500000001"/>
    <n v="15.69746702777778"/>
    <n v="6.5454156250000006E-2"/>
    <n v="6.5406112615740752E-2"/>
    <n v="1"/>
    <n v="0.78544987500000008"/>
  </r>
  <r>
    <n v="1052"/>
    <x v="9"/>
    <n v="15.73821361111111"/>
    <n v="15.683162424242219"/>
    <n v="6.5575890046296284E-2"/>
    <n v="6.5346510101009239E-2"/>
    <n v="1"/>
    <n v="0.78691068055555546"/>
  </r>
  <r>
    <n v="1052"/>
    <x v="10"/>
    <n v="15.741690555555561"/>
    <n v="15.6387385144925"/>
    <n v="6.5590377314814832E-2"/>
    <n v="6.5161410477052081E-2"/>
    <n v="1"/>
    <n v="0.78708452777777804"/>
  </r>
  <r>
    <n v="1052"/>
    <x v="11"/>
    <n v="15.79442583333333"/>
    <n v="15.60373850529083"/>
    <n v="6.5810107638888879E-2"/>
    <n v="6.5015577105378461E-2"/>
    <n v="1"/>
    <n v="0.78972129166666649"/>
  </r>
  <r>
    <n v="1053"/>
    <x v="0"/>
    <n v="14.095833333333333"/>
    <n v="11.676111111111112"/>
    <n v="5.873263888888889E-2"/>
    <n v="4.8650462962962965E-2"/>
    <n v="1"/>
    <n v="0.70479166666666671"/>
  </r>
  <r>
    <n v="1053"/>
    <x v="1"/>
    <n v="5.5089736111111112"/>
    <n v="4.9218261559138892"/>
    <n v="2.2954056712962963E-2"/>
    <n v="2.0507608982974539E-2"/>
    <n v="1"/>
    <n v="0.27544868055555555"/>
  </r>
  <r>
    <n v="1053"/>
    <x v="2"/>
    <n v="5.1460502777777766"/>
    <n v="4.4504886805555559"/>
    <n v="2.1441876157407402E-2"/>
    <n v="1.854370283564815E-2"/>
    <n v="1"/>
    <n v="0.25730251388888881"/>
  </r>
  <r>
    <n v="1053"/>
    <x v="3"/>
    <n v="4.4903908333333344"/>
    <n v="4.1524172311827776"/>
    <n v="1.870996180555556E-2"/>
    <n v="1.7301738463261575E-2"/>
    <n v="1"/>
    <n v="0.22451954166666671"/>
  </r>
  <r>
    <n v="1053"/>
    <x v="4"/>
    <n v="4.7301180555555558"/>
    <n v="4.3993162685183336"/>
    <n v="1.9708825231481483E-2"/>
    <n v="1.8330484452159724E-2"/>
    <n v="1"/>
    <n v="0.23650590277777778"/>
  </r>
  <r>
    <n v="1053"/>
    <x v="5"/>
    <n v="8.2867016666666675"/>
    <n v="5.3308149641574998"/>
    <n v="3.4527923611111115E-2"/>
    <n v="2.2211729017322917E-2"/>
    <n v="1"/>
    <n v="0.41433508333333335"/>
  </r>
  <r>
    <n v="1053"/>
    <x v="6"/>
    <n v="7.9296749999999996"/>
    <n v="7.3266188148147222"/>
    <n v="3.3040312499999995E-2"/>
    <n v="3.0527578395061344E-2"/>
    <n v="1"/>
    <n v="0.39648374999999991"/>
  </r>
  <r>
    <n v="1053"/>
    <x v="7"/>
    <n v="39.091947222222217"/>
    <n v="16.764661416666669"/>
    <n v="0.1628831134259259"/>
    <n v="6.9852755902777786E-2"/>
    <n v="2"/>
    <n v="1.9545973611111109"/>
  </r>
  <r>
    <n v="1053"/>
    <x v="8"/>
    <n v="23.490918611111109"/>
    <n v="23.44272806481472"/>
    <n v="9.7878827546296288E-2"/>
    <n v="9.7678033603394665E-2"/>
    <n v="2"/>
    <n v="1.1745459305555555"/>
  </r>
  <r>
    <n v="1053"/>
    <x v="9"/>
    <n v="23.486948333333331"/>
    <n v="23.442702259259171"/>
    <n v="9.7862284722222206E-2"/>
    <n v="9.7677926080246544E-2"/>
    <n v="2"/>
    <n v="1.1743474166666665"/>
  </r>
  <r>
    <n v="1053"/>
    <x v="10"/>
    <n v="23.511228611111111"/>
    <n v="23.393027777777782"/>
    <n v="9.7963452546296292E-2"/>
    <n v="9.7470949074074095E-2"/>
    <n v="2"/>
    <n v="1.1755614305555555"/>
  </r>
  <r>
    <n v="1053"/>
    <x v="11"/>
    <n v="23.473931666666669"/>
    <n v="22.48610270609306"/>
    <n v="9.7808048611111129E-2"/>
    <n v="9.3692094608721077E-2"/>
    <n v="2"/>
    <n v="1.1736965833333335"/>
  </r>
  <r>
    <n v="1054"/>
    <x v="0"/>
    <n v="12.732777777777779"/>
    <n v="12.513611111111112"/>
    <n v="5.3053240740740748E-2"/>
    <n v="5.2140046296296295E-2"/>
    <n v="1"/>
    <n v="0.63663888888888898"/>
  </r>
  <r>
    <n v="1054"/>
    <x v="1"/>
    <n v="13.8746925"/>
    <n v="13.813719595959441"/>
    <n v="5.7811218750000004E-2"/>
    <n v="5.7557164983164343E-2"/>
    <n v="1"/>
    <n v="0.69373462500000005"/>
  </r>
  <r>
    <n v="1054"/>
    <x v="2"/>
    <n v="13.90127027777778"/>
    <n v="13.829346597222219"/>
    <n v="5.7921959490740749E-2"/>
    <n v="5.762227748842591E-2"/>
    <n v="1"/>
    <n v="0.69506351388888898"/>
  </r>
  <r>
    <n v="1054"/>
    <x v="3"/>
    <n v="14.02643055555555"/>
    <n v="13.770529510581939"/>
    <n v="5.8443460648148121E-2"/>
    <n v="5.7377206294091411E-2"/>
    <n v="1"/>
    <n v="0.70132152777777745"/>
  </r>
  <r>
    <n v="1054"/>
    <x v="4"/>
    <n v="13.880548888888891"/>
    <n v="13.863624680555549"/>
    <n v="5.7835620370370378E-2"/>
    <n v="5.7765102835648119E-2"/>
    <n v="1"/>
    <n v="0.69402744444444453"/>
  </r>
  <r>
    <n v="1054"/>
    <x v="5"/>
    <n v="13.8889175"/>
    <n v="12.566244791666669"/>
    <n v="5.787048958333333E-2"/>
    <n v="5.2359353298611126E-2"/>
    <n v="1"/>
    <n v="0.69444587499999999"/>
  </r>
  <r>
    <n v="1054"/>
    <x v="6"/>
    <n v="13.88283805555556"/>
    <n v="13.228370251322501"/>
    <n v="5.7845158564814834E-2"/>
    <n v="5.5118209380510423E-2"/>
    <n v="1"/>
    <n v="0.69414190277777799"/>
  </r>
  <r>
    <n v="1054"/>
    <x v="7"/>
    <n v="13.900561111111109"/>
    <n v="13.87727880434778"/>
    <n v="5.7919004629629622E-2"/>
    <n v="5.7821995018115746E-2"/>
    <n v="1"/>
    <n v="0.69502805555555547"/>
  </r>
  <r>
    <n v="1054"/>
    <x v="8"/>
    <n v="13.84396666666667"/>
    <n v="13.80135583333333"/>
    <n v="5.7683194444444454E-2"/>
    <n v="5.7505649305555545E-2"/>
    <n v="1"/>
    <n v="0.69219833333333347"/>
  </r>
  <r>
    <n v="1054"/>
    <x v="9"/>
    <n v="13.85466555555556"/>
    <n v="13.824823573232219"/>
    <n v="5.7727773148148163E-2"/>
    <n v="5.7603431555134248E-2"/>
    <n v="1"/>
    <n v="0.69273327777777793"/>
  </r>
  <r>
    <n v="1054"/>
    <x v="10"/>
    <n v="13.852604722222219"/>
    <n v="13.760350467171669"/>
    <n v="5.7719186342592578E-2"/>
    <n v="5.7334793613215286E-2"/>
    <n v="1"/>
    <n v="0.69263023611111096"/>
  </r>
  <r>
    <n v="1054"/>
    <x v="11"/>
    <n v="13.884965833333331"/>
    <n v="13.82647384920611"/>
    <n v="5.785402430555555E-2"/>
    <n v="5.7610307705025454E-2"/>
    <n v="1"/>
    <n v="0.69424829166666657"/>
  </r>
  <r>
    <n v="1055"/>
    <x v="0"/>
    <n v="12.646944444444445"/>
    <n v="12.043333333333333"/>
    <n v="5.2695601851851855E-2"/>
    <n v="5.0180555555555555E-2"/>
    <n v="1"/>
    <n v="0.63234722222222228"/>
  </r>
  <r>
    <n v="1055"/>
    <x v="1"/>
    <n v="13.39355277777778"/>
    <n v="13.271636401515"/>
    <n v="5.5806469907407417E-2"/>
    <n v="5.5298485006312494E-2"/>
    <n v="1"/>
    <n v="0.66967763888888898"/>
  </r>
  <r>
    <n v="1055"/>
    <x v="2"/>
    <n v="13.783700833333331"/>
    <n v="13.35659026388889"/>
    <n v="5.7432086805555539E-2"/>
    <n v="5.5652459432870373E-2"/>
    <n v="1"/>
    <n v="0.6891850416666665"/>
  </r>
  <r>
    <n v="1055"/>
    <x v="3"/>
    <n v="13.43283111111111"/>
    <n v="13.322490436507779"/>
    <n v="5.5970129629629627E-2"/>
    <n v="5.551037681878241E-2"/>
    <n v="1"/>
    <n v="0.67164155555555549"/>
  </r>
  <r>
    <n v="1055"/>
    <x v="4"/>
    <n v="13.53530472222222"/>
    <n v="13.31304314814806"/>
    <n v="5.6397103009259243E-2"/>
    <n v="5.5471013117283585E-2"/>
    <n v="1"/>
    <n v="0.67676523611111095"/>
  </r>
  <r>
    <n v="1055"/>
    <x v="5"/>
    <n v="13.39953805555556"/>
    <n v="12.92260968253944"/>
    <n v="5.5831408564814833E-2"/>
    <n v="5.3844207010580993E-2"/>
    <n v="1"/>
    <n v="0.66997690277777799"/>
  </r>
  <r>
    <n v="1055"/>
    <x v="6"/>
    <n v="13.52733444444444"/>
    <n v="13.37705484126972"/>
    <n v="5.6363893518518504E-2"/>
    <n v="5.5737728505290497E-2"/>
    <n v="1"/>
    <n v="0.67636672222222205"/>
  </r>
  <r>
    <n v="1055"/>
    <x v="7"/>
    <n v="13.39665944444444"/>
    <n v="12.200061691919171"/>
    <n v="5.5819414351851837E-2"/>
    <n v="5.0833590382996542E-2"/>
    <n v="1"/>
    <n v="0.66983297222222205"/>
  </r>
  <r>
    <n v="1055"/>
    <x v="8"/>
    <n v="13.676976944444441"/>
    <n v="13.30122575"/>
    <n v="5.6987403935185171E-2"/>
    <n v="5.5421773958333337E-2"/>
    <n v="1"/>
    <n v="0.68384884722222206"/>
  </r>
  <r>
    <n v="1055"/>
    <x v="9"/>
    <n v="13.52138055555556"/>
    <n v="13.21785176767667"/>
    <n v="5.6339085648148164E-2"/>
    <n v="5.5074382365319453E-2"/>
    <n v="1"/>
    <n v="0.676069027777778"/>
  </r>
  <r>
    <n v="1055"/>
    <x v="10"/>
    <n v="13.97818777777778"/>
    <n v="13.29339917874389"/>
    <n v="5.8242449074074082E-2"/>
    <n v="5.5389163244766206E-2"/>
    <n v="1"/>
    <n v="0.69890938888888898"/>
  </r>
  <r>
    <n v="1055"/>
    <x v="11"/>
    <n v="16.114556388888889"/>
    <n v="12.943544047618889"/>
    <n v="6.7143984953703703E-2"/>
    <n v="5.3931433531745371E-2"/>
    <n v="1"/>
    <n v="0.80572781944444438"/>
  </r>
  <r>
    <n v="1056"/>
    <x v="0"/>
    <n v="12.580277777777779"/>
    <n v="12.213611111111112"/>
    <n v="5.2417824074074082E-2"/>
    <n v="5.0890046296296294E-2"/>
    <n v="1"/>
    <n v="0.62901388888888898"/>
  </r>
  <r>
    <n v="1056"/>
    <x v="1"/>
    <n v="13.681032500000001"/>
    <n v="13.554720050505001"/>
    <n v="5.700430208333334E-2"/>
    <n v="5.6478000210437501E-2"/>
    <n v="1"/>
    <n v="0.68405162500000005"/>
  </r>
  <r>
    <n v="1056"/>
    <x v="2"/>
    <n v="13.667314722222221"/>
    <n v="13.08237583333333"/>
    <n v="5.6947144675925924E-2"/>
    <n v="5.4509899305555547E-2"/>
    <n v="1"/>
    <n v="0.68336573611111107"/>
  </r>
  <r>
    <n v="1056"/>
    <x v="3"/>
    <n v="13.689256666666671"/>
    <n v="12.83638080687806"/>
    <n v="5.7038569444444465E-2"/>
    <n v="5.3484920028658588E-2"/>
    <n v="1"/>
    <n v="0.68446283333333358"/>
  </r>
  <r>
    <n v="1056"/>
    <x v="4"/>
    <n v="13.868501666666671"/>
    <n v="12.789554603174439"/>
    <n v="5.7785423611111129E-2"/>
    <n v="5.3289810846560169E-2"/>
    <n v="1"/>
    <n v="0.69342508333333353"/>
  </r>
  <r>
    <n v="1056"/>
    <x v="5"/>
    <n v="13.731816666666671"/>
    <n v="13.14733969576695"/>
    <n v="5.7215902777777793E-2"/>
    <n v="5.4780582065695631E-2"/>
    <n v="1"/>
    <n v="0.68659083333333348"/>
  </r>
  <r>
    <n v="1056"/>
    <x v="6"/>
    <n v="13.671864722222219"/>
    <n v="13.461591177248611"/>
    <n v="5.696610300925925E-2"/>
    <n v="5.6089963238535878E-2"/>
    <n v="1"/>
    <n v="0.683593236111111"/>
  </r>
  <r>
    <n v="1056"/>
    <x v="7"/>
    <n v="13.667990833333331"/>
    <n v="13.57658950483083"/>
    <n v="5.6949961805555539E-2"/>
    <n v="5.656912293679512E-2"/>
    <n v="1"/>
    <n v="0.6833995416666665"/>
  </r>
  <r>
    <n v="1056"/>
    <x v="8"/>
    <n v="13.87870194444444"/>
    <n v="13.535021499999999"/>
    <n v="5.7827924768518502E-2"/>
    <n v="5.6395922916666667E-2"/>
    <n v="1"/>
    <n v="0.69393509722222202"/>
  </r>
  <r>
    <n v="1056"/>
    <x v="9"/>
    <n v="13.68199083333333"/>
    <n v="13.490465770201951"/>
    <n v="5.700829513888888E-2"/>
    <n v="5.6210274042508133E-2"/>
    <n v="1"/>
    <n v="0.68409954166666653"/>
  </r>
  <r>
    <n v="1056"/>
    <x v="10"/>
    <n v="13.719976944444451"/>
    <n v="13.50606371980667"/>
    <n v="5.7166570601851874E-2"/>
    <n v="5.6275265499194461E-2"/>
    <n v="1"/>
    <n v="0.68599884722222249"/>
  </r>
  <r>
    <n v="1056"/>
    <x v="11"/>
    <n v="13.7026675"/>
    <n v="13.5820352248675"/>
    <n v="5.7094447916666673E-2"/>
    <n v="5.6591813436947913E-2"/>
    <n v="1"/>
    <n v="0.68513337500000004"/>
  </r>
  <r>
    <n v="1057"/>
    <x v="0"/>
    <n v="12.451388888888889"/>
    <n v="8.0169444444444444"/>
    <n v="5.1880787037037045E-2"/>
    <n v="3.3403935185185189E-2"/>
    <n v="1"/>
    <n v="0.62256944444444451"/>
  </r>
  <r>
    <n v="1057"/>
    <x v="1"/>
    <n v="13.290702222222221"/>
    <n v="8.8425436489897216"/>
    <n v="5.5377925925925921E-2"/>
    <n v="3.6843931870790506E-2"/>
    <n v="1"/>
    <n v="0.66453511111111108"/>
  </r>
  <r>
    <n v="1057"/>
    <x v="2"/>
    <n v="14.82720111111111"/>
    <n v="9.198168013888889"/>
    <n v="6.1780004629629626E-2"/>
    <n v="3.8325700057870372E-2"/>
    <n v="1"/>
    <n v="0.74136005555555551"/>
  </r>
  <r>
    <n v="1057"/>
    <x v="3"/>
    <n v="14.73188722222222"/>
    <n v="8.930368214285556"/>
    <n v="6.1382863425925915E-2"/>
    <n v="3.7209867559523151E-2"/>
    <n v="1"/>
    <n v="0.73659436111111098"/>
  </r>
  <r>
    <n v="1057"/>
    <x v="4"/>
    <n v="12.68362138888889"/>
    <n v="8.9315030138888893"/>
    <n v="5.2848422453703713E-2"/>
    <n v="3.7214595891203704E-2"/>
    <n v="1"/>
    <n v="0.63418106944444452"/>
  </r>
  <r>
    <n v="1057"/>
    <x v="5"/>
    <n v="11.70252138888889"/>
    <n v="8.2507471111111119"/>
    <n v="4.8760505787037035E-2"/>
    <n v="3.4378112962962969E-2"/>
    <n v="1"/>
    <n v="0.58512606944444445"/>
  </r>
  <r>
    <n v="1057"/>
    <x v="6"/>
    <n v="12.641318333333331"/>
    <n v="7.6846592083333336"/>
    <n v="5.2672159722222216E-2"/>
    <n v="3.2019413368055555E-2"/>
    <n v="1"/>
    <n v="0.63206591666666656"/>
  </r>
  <r>
    <n v="1057"/>
    <x v="7"/>
    <n v="10.26472583333333"/>
    <n v="7.7726263405794436"/>
    <n v="4.2769690972222212E-2"/>
    <n v="3.238594308574768E-2"/>
    <n v="1"/>
    <n v="0.51323629166666651"/>
  </r>
  <r>
    <n v="1057"/>
    <x v="8"/>
    <n v="14.75944944444444"/>
    <n v="9.0537131944444447"/>
    <n v="6.1497706018518505E-2"/>
    <n v="3.7723804976851856E-2"/>
    <n v="1"/>
    <n v="0.73797247222222206"/>
  </r>
  <r>
    <n v="1057"/>
    <x v="9"/>
    <n v="16.615956944444449"/>
    <n v="9.5582919318180561"/>
    <n v="6.9233153935185199E-2"/>
    <n v="3.9826216382575233E-2"/>
    <n v="1"/>
    <n v="0.83079784722222239"/>
  </r>
  <r>
    <n v="1057"/>
    <x v="10"/>
    <n v="15.83661166666667"/>
    <n v="9.0683389898988889"/>
    <n v="6.5985881944444449E-2"/>
    <n v="3.7784745791245369E-2"/>
    <n v="1"/>
    <n v="0.79183058333333345"/>
  </r>
  <r>
    <n v="1057"/>
    <x v="11"/>
    <n v="12.06203472222222"/>
    <n v="8.9097342328041673"/>
    <n v="5.0258478009259255E-2"/>
    <n v="3.712389263668403E-2"/>
    <n v="1"/>
    <n v="0.60310173611111106"/>
  </r>
  <r>
    <n v="1058"/>
    <x v="0"/>
    <n v="11.758055555555556"/>
    <n v="8.0522222222222215"/>
    <n v="4.8991898148148146E-2"/>
    <n v="3.3550925925925922E-2"/>
    <n v="1"/>
    <n v="0.58790277777777777"/>
  </r>
  <r>
    <n v="1058"/>
    <x v="1"/>
    <n v="11.25673416666667"/>
    <n v="7.0577227020200004"/>
    <n v="4.6903059027777784E-2"/>
    <n v="2.9407177925083336E-2"/>
    <n v="1"/>
    <n v="0.56283670833333344"/>
  </r>
  <r>
    <n v="1058"/>
    <x v="2"/>
    <n v="13.82448555555556"/>
    <n v="6.4139831944444454"/>
    <n v="5.7602023148148163E-2"/>
    <n v="2.6724929976851858E-2"/>
    <n v="1"/>
    <n v="0.69122427777777795"/>
  </r>
  <r>
    <n v="1058"/>
    <x v="3"/>
    <n v="9.621554166666666"/>
    <n v="6.9643203439152774"/>
    <n v="4.0089809027777777E-2"/>
    <n v="2.9018001432980323E-2"/>
    <n v="1"/>
    <n v="0.4810777083333333"/>
  </r>
  <r>
    <n v="1058"/>
    <x v="4"/>
    <n v="10.060593055555559"/>
    <n v="7.7957803888888888"/>
    <n v="4.1919137731481503E-2"/>
    <n v="3.2482418287037039E-2"/>
    <n v="1"/>
    <n v="0.503029652777778"/>
  </r>
  <r>
    <n v="1058"/>
    <x v="5"/>
    <n v="11.742895000000001"/>
    <n v="7.8589270138888887"/>
    <n v="4.8928729166666664E-2"/>
    <n v="3.2745529224537037E-2"/>
    <n v="1"/>
    <n v="0.58714474999999999"/>
  </r>
  <r>
    <n v="1058"/>
    <x v="6"/>
    <n v="11.07063138888889"/>
    <n v="8.6152959656083326"/>
    <n v="4.6127630787037043E-2"/>
    <n v="3.5897066523368056E-2"/>
    <n v="1"/>
    <n v="0.55353156944444448"/>
  </r>
  <r>
    <n v="1058"/>
    <x v="7"/>
    <n v="12.261491111111109"/>
    <n v="9.7176916666666671"/>
    <n v="5.1089546296296286E-2"/>
    <n v="4.0490381944444445E-2"/>
    <n v="1"/>
    <n v="0.61307455555555546"/>
  </r>
  <r>
    <n v="1058"/>
    <x v="8"/>
    <n v="12.38711972222222"/>
    <n v="9.3553143472222224"/>
    <n v="5.1612998842592579E-2"/>
    <n v="3.8980476446759262E-2"/>
    <n v="1"/>
    <n v="0.61935598611111098"/>
  </r>
  <r>
    <n v="1058"/>
    <x v="9"/>
    <n v="16.320891388888889"/>
    <n v="10.832511161616109"/>
    <n v="6.8003714120370373E-2"/>
    <n v="4.5135463173400454E-2"/>
    <n v="1"/>
    <n v="0.81604456944444448"/>
  </r>
  <r>
    <n v="1058"/>
    <x v="10"/>
    <n v="17.58442472222222"/>
    <n v="12.13658747474722"/>
    <n v="7.3268436342592586E-2"/>
    <n v="5.0569114478113415E-2"/>
    <n v="1"/>
    <n v="0.87922123611111103"/>
  </r>
  <r>
    <n v="1058"/>
    <x v="11"/>
    <n v="14.96311527777778"/>
    <n v="9.8767555687830555"/>
    <n v="6.2346313657407414E-2"/>
    <n v="4.1153148203262734E-2"/>
    <n v="1"/>
    <n v="0.74815576388888894"/>
  </r>
  <r>
    <n v="1059"/>
    <x v="0"/>
    <n v="20.0825"/>
    <n v="19.345555555555556"/>
    <n v="8.3677083333333332E-2"/>
    <n v="8.0606481481481487E-2"/>
    <n v="2"/>
    <n v="1.0041249999999999"/>
  </r>
  <r>
    <n v="1059"/>
    <x v="1"/>
    <n v="23.39906222222222"/>
    <n v="22.002903773148059"/>
    <n v="9.7496092592592579E-2"/>
    <n v="9.1678765721450242E-2"/>
    <n v="2"/>
    <n v="1.169953111111111"/>
  </r>
  <r>
    <n v="1059"/>
    <x v="2"/>
    <n v="23.399848055555559"/>
    <n v="23.32454238888889"/>
    <n v="9.7499366898148157E-2"/>
    <n v="9.7185593287037034E-2"/>
    <n v="2"/>
    <n v="1.1699924027777779"/>
  </r>
  <r>
    <n v="1059"/>
    <x v="3"/>
    <n v="23.407655555555561"/>
    <n v="23.04647714285694"/>
    <n v="9.7531898148148166E-2"/>
    <n v="9.6026988095237242E-2"/>
    <n v="2"/>
    <n v="1.170382777777778"/>
  </r>
  <r>
    <n v="1059"/>
    <x v="4"/>
    <n v="23.46573888888889"/>
    <n v="23.337015252524999"/>
    <n v="9.7773912037037045E-2"/>
    <n v="9.7237563552187489E-2"/>
    <n v="2"/>
    <n v="1.1732869444444445"/>
  </r>
  <r>
    <n v="1059"/>
    <x v="5"/>
    <n v="23.508916666666671"/>
    <n v="22.92086243686861"/>
    <n v="9.7953819444444465E-2"/>
    <n v="9.5503593486952545E-2"/>
    <n v="2"/>
    <n v="1.1754458333333335"/>
  </r>
  <r>
    <n v="1059"/>
    <x v="6"/>
    <n v="23.396047222222219"/>
    <n v="20.786919722222219"/>
    <n v="9.7483530092592585E-2"/>
    <n v="8.6612165509259251E-2"/>
    <n v="2"/>
    <n v="1.169802361111111"/>
  </r>
  <r>
    <n v="1060"/>
    <x v="0"/>
    <n v="11.567222222222222"/>
    <n v="11.389999999999999"/>
    <n v="4.8196759259259259E-2"/>
    <n v="4.7458333333333325E-2"/>
    <n v="1"/>
    <n v="0.5783611111111111"/>
  </r>
  <r>
    <n v="1060"/>
    <x v="1"/>
    <n v="12.618105555555561"/>
    <n v="12.40403045454528"/>
    <n v="5.2575439814814835E-2"/>
    <n v="5.1683460227272E-2"/>
    <n v="1"/>
    <n v="0.63090527777777805"/>
  </r>
  <r>
    <n v="1060"/>
    <x v="2"/>
    <n v="12.60590083333333"/>
    <n v="12.548573736111109"/>
    <n v="5.2524586805555544E-2"/>
    <n v="5.2285723900462953E-2"/>
    <n v="1"/>
    <n v="0.6302950416666665"/>
  </r>
  <r>
    <n v="1060"/>
    <x v="3"/>
    <n v="12.59140638888889"/>
    <n v="12.431620026455001"/>
    <n v="5.2464193287037046E-2"/>
    <n v="5.1798416776895839E-2"/>
    <n v="1"/>
    <n v="0.62957031944444453"/>
  </r>
  <r>
    <n v="1060"/>
    <x v="4"/>
    <n v="12.614082222222221"/>
    <n v="12.54744654166667"/>
    <n v="5.2558675925925918E-2"/>
    <n v="5.2281027256944453E-2"/>
    <n v="1"/>
    <n v="0.63070411111111102"/>
  </r>
  <r>
    <n v="1060"/>
    <x v="5"/>
    <n v="12.60891972222222"/>
    <n v="12.481101180555561"/>
    <n v="5.253716550925925E-2"/>
    <n v="5.2004588252314833E-2"/>
    <n v="1"/>
    <n v="0.63044598611111102"/>
  </r>
  <r>
    <n v="1060"/>
    <x v="6"/>
    <n v="12.57964833333333"/>
    <n v="12.003976838624171"/>
    <n v="5.2415201388888867E-2"/>
    <n v="5.0016570160934047E-2"/>
    <n v="1"/>
    <n v="0.62898241666666643"/>
  </r>
  <r>
    <n v="1060"/>
    <x v="7"/>
    <n v="12.589665555555561"/>
    <n v="12.57531756038639"/>
    <n v="5.2456939814814835E-2"/>
    <n v="5.2397156501609955E-2"/>
    <n v="1"/>
    <n v="0.62948327777777802"/>
  </r>
  <r>
    <n v="1060"/>
    <x v="8"/>
    <n v="12.52335444444445"/>
    <n v="12.364517291666671"/>
    <n v="5.2180643518518539E-2"/>
    <n v="5.1518822048611128E-2"/>
    <n v="1"/>
    <n v="0.6261677222222225"/>
  </r>
  <r>
    <n v="1060"/>
    <x v="9"/>
    <n v="12.56098166666667"/>
    <n v="12.45441710858583"/>
    <n v="5.2337423611111128E-2"/>
    <n v="5.1893404619107623E-2"/>
    <n v="1"/>
    <n v="0.62804908333333354"/>
  </r>
  <r>
    <n v="1060"/>
    <x v="10"/>
    <n v="12.6077175"/>
    <n v="12.32433050505028"/>
    <n v="5.2532156249999996E-2"/>
    <n v="5.1351377104376171E-2"/>
    <n v="1"/>
    <n v="0.63038587499999998"/>
  </r>
  <r>
    <n v="1060"/>
    <x v="11"/>
    <n v="12.90454222222222"/>
    <n v="12.54260880952361"/>
    <n v="5.3768925925925914E-2"/>
    <n v="5.226087003968171E-2"/>
    <n v="1"/>
    <n v="0.64522711111111097"/>
  </r>
  <r>
    <n v="1061"/>
    <x v="0"/>
    <n v="11.511388888888888"/>
    <n v="11.371666666666666"/>
    <n v="4.7964120370370365E-2"/>
    <n v="4.7381944444444442E-2"/>
    <n v="1"/>
    <n v="0.57556944444444436"/>
  </r>
  <r>
    <n v="1061"/>
    <x v="1"/>
    <n v="12.475874166666671"/>
    <n v="12.35205477272722"/>
    <n v="5.1982809027777799E-2"/>
    <n v="5.1466894886363412E-2"/>
    <n v="1"/>
    <n v="0.62379370833333359"/>
  </r>
  <r>
    <n v="1061"/>
    <x v="2"/>
    <n v="12.48069555555556"/>
    <n v="12.41939572222222"/>
    <n v="5.2002898148148159E-2"/>
    <n v="5.1747482175925917E-2"/>
    <n v="1"/>
    <n v="0.62403477777777794"/>
  </r>
  <r>
    <n v="1061"/>
    <x v="3"/>
    <n v="12.51324638888889"/>
    <n v="12.41687920634917"/>
    <n v="5.2138526620370378E-2"/>
    <n v="5.173699669312154E-2"/>
    <n v="1"/>
    <n v="0.6256623194444445"/>
  </r>
  <r>
    <n v="1061"/>
    <x v="4"/>
    <n v="12.477420555555559"/>
    <n v="12.42204604166667"/>
    <n v="5.1989252314814827E-2"/>
    <n v="5.1758525173611125E-2"/>
    <n v="1"/>
    <n v="0.62387102777777792"/>
  </r>
  <r>
    <n v="1061"/>
    <x v="5"/>
    <n v="12.73016333333333"/>
    <n v="12.41164851388889"/>
    <n v="5.3042347222222209E-2"/>
    <n v="5.171520214120371E-2"/>
    <n v="1"/>
    <n v="0.63650816666666654"/>
  </r>
  <r>
    <n v="1061"/>
    <x v="6"/>
    <n v="12.72639"/>
    <n v="12.45251305555556"/>
    <n v="5.3026625000000001E-2"/>
    <n v="5.1885471064814837E-2"/>
    <n v="1"/>
    <n v="0.63631950000000004"/>
  </r>
  <r>
    <n v="1061"/>
    <x v="7"/>
    <n v="12.563948888888889"/>
    <n v="12.49437799516889"/>
    <n v="5.2349787037037042E-2"/>
    <n v="5.2059908313203708E-2"/>
    <n v="1"/>
    <n v="0.62819744444444447"/>
  </r>
  <r>
    <n v="1061"/>
    <x v="8"/>
    <n v="12.540370277777781"/>
    <n v="12.29419316666667"/>
    <n v="5.2251542824074092E-2"/>
    <n v="5.122580486111112E-2"/>
    <n v="1"/>
    <n v="0.62701851388888907"/>
  </r>
  <r>
    <n v="1061"/>
    <x v="9"/>
    <n v="12.534616388888891"/>
    <n v="12.454326767676671"/>
    <n v="5.2227568287037042E-2"/>
    <n v="5.1893028198652796E-2"/>
    <n v="1"/>
    <n v="0.62673081944444453"/>
  </r>
  <r>
    <n v="1061"/>
    <x v="10"/>
    <n v="12.536664999999999"/>
    <n v="12.44173263888889"/>
    <n v="5.2236104166666665E-2"/>
    <n v="5.1840552662037041E-2"/>
    <n v="1"/>
    <n v="0.62683325000000001"/>
  </r>
  <r>
    <n v="1061"/>
    <x v="11"/>
    <n v="12.55476"/>
    <n v="12.299469417989171"/>
    <n v="5.2311500000000004E-2"/>
    <n v="5.1247789241621544E-2"/>
    <n v="1"/>
    <n v="0.62773800000000002"/>
  </r>
  <r>
    <n v="1062"/>
    <x v="0"/>
    <n v="11.467777777777778"/>
    <n v="4.7958333333333334"/>
    <n v="4.7782407407407412E-2"/>
    <n v="1.998263888888889E-2"/>
    <n v="1"/>
    <n v="0.57338888888888895"/>
  </r>
  <r>
    <n v="1062"/>
    <x v="1"/>
    <n v="10.27565166666667"/>
    <n v="3.7735719570705561"/>
    <n v="4.2815215277777791E-2"/>
    <n v="1.5723216487793984E-2"/>
    <n v="1"/>
    <n v="0.51378258333333349"/>
  </r>
  <r>
    <n v="1062"/>
    <x v="2"/>
    <n v="12.053159722222221"/>
    <n v="4.667661166666667"/>
    <n v="5.0221498842592582E-2"/>
    <n v="1.9448588194444446E-2"/>
    <n v="1"/>
    <n v="0.60265798611111099"/>
  </r>
  <r>
    <n v="1062"/>
    <x v="3"/>
    <n v="11.487465555555559"/>
    <n v="3.838567089946944"/>
    <n v="4.7864439814814828E-2"/>
    <n v="1.59940295414456E-2"/>
    <n v="1"/>
    <n v="0.57437327777777791"/>
  </r>
  <r>
    <n v="1062"/>
    <x v="4"/>
    <n v="12.615023055555559"/>
    <n v="4.5263890972222223"/>
    <n v="5.256259606481483E-2"/>
    <n v="1.885995457175926E-2"/>
    <n v="1"/>
    <n v="0.63075115277777793"/>
  </r>
  <r>
    <n v="1062"/>
    <x v="5"/>
    <n v="12.480189722222219"/>
    <n v="4.1749338611111124"/>
    <n v="5.2000790509259244E-2"/>
    <n v="1.7395557754629636E-2"/>
    <n v="1"/>
    <n v="0.62400948611111096"/>
  </r>
  <r>
    <n v="1062"/>
    <x v="6"/>
    <n v="11.70416555555556"/>
    <n v="4.7670563888888893"/>
    <n v="4.8767356481481505E-2"/>
    <n v="1.9862734953703706E-2"/>
    <n v="1"/>
    <n v="0.58520827777777806"/>
  </r>
  <r>
    <n v="1062"/>
    <x v="7"/>
    <n v="12.44752583333333"/>
    <n v="7.0799197584538893"/>
    <n v="5.186469097222221E-2"/>
    <n v="2.949966566022454E-2"/>
    <n v="1"/>
    <n v="0.62237629166666653"/>
  </r>
  <r>
    <n v="1062"/>
    <x v="8"/>
    <n v="12.455462499999999"/>
    <n v="4.8709083194444442"/>
    <n v="5.1897760416666661E-2"/>
    <n v="2.0295451331018517E-2"/>
    <n v="1"/>
    <n v="0.62277312499999993"/>
  </r>
  <r>
    <n v="1062"/>
    <x v="9"/>
    <n v="15.295419444444439"/>
    <n v="6.7420574873736108"/>
    <n v="6.3730914351851839E-2"/>
    <n v="2.8091906197390045E-2"/>
    <n v="1"/>
    <n v="0.76477097222222201"/>
  </r>
  <r>
    <n v="1062"/>
    <x v="10"/>
    <n v="14.08173138888889"/>
    <n v="6.5655067045452782"/>
    <n v="5.8673880787037037E-2"/>
    <n v="2.7356277935605328E-2"/>
    <n v="1"/>
    <n v="0.70408656944444448"/>
  </r>
  <r>
    <n v="1062"/>
    <x v="11"/>
    <n v="12.716170277777779"/>
    <n v="6.543169087301389"/>
    <n v="5.2984042824074075E-2"/>
    <n v="2.7263204530422455E-2"/>
    <n v="1"/>
    <n v="0.63580851388888893"/>
  </r>
  <r>
    <n v="1063"/>
    <x v="0"/>
    <n v="11.419166666666666"/>
    <n v="7.7791666666666668"/>
    <n v="4.7579861111111101E-2"/>
    <n v="3.2413194444444446E-2"/>
    <n v="1"/>
    <n v="0.57095833333333323"/>
  </r>
  <r>
    <n v="1063"/>
    <x v="1"/>
    <n v="17.878525833333331"/>
    <n v="17.551390340908888"/>
    <n v="7.4493857638888883E-2"/>
    <n v="7.3130793087120366E-2"/>
    <n v="1"/>
    <n v="0.89392629166666659"/>
  </r>
  <r>
    <n v="1063"/>
    <x v="2"/>
    <n v="17.902474166666671"/>
    <n v="17.819764194444449"/>
    <n v="7.4593642361111129E-2"/>
    <n v="7.4249017476851878E-2"/>
    <n v="1"/>
    <n v="0.89512370833333355"/>
  </r>
  <r>
    <n v="1063"/>
    <x v="3"/>
    <n v="17.86393305555556"/>
    <n v="8.3152007936505559"/>
    <n v="7.4433054398148166E-2"/>
    <n v="3.464666997354398E-2"/>
    <n v="1"/>
    <n v="0.89319665277777793"/>
  </r>
  <r>
    <n v="1063"/>
    <x v="4"/>
    <n v="10.17379722222222"/>
    <n v="5.857066486111111"/>
    <n v="4.2390821759259255E-2"/>
    <n v="2.4404443692129629E-2"/>
    <n v="1"/>
    <n v="0.50868986111111103"/>
  </r>
  <r>
    <n v="1063"/>
    <x v="5"/>
    <n v="10.44087666666667"/>
    <n v="6.4856464583333331"/>
    <n v="4.350365277777779E-2"/>
    <n v="2.702352690972222E-2"/>
    <n v="1"/>
    <n v="0.52204383333333348"/>
  </r>
  <r>
    <n v="1063"/>
    <x v="6"/>
    <n v="9.3349063888888892"/>
    <n v="6.6441307936505556"/>
    <n v="3.8895443287037042E-2"/>
    <n v="2.7683878306877314E-2"/>
    <n v="1"/>
    <n v="0.46674531944444453"/>
  </r>
  <r>
    <n v="1063"/>
    <x v="7"/>
    <n v="10.659776666666669"/>
    <n v="6.6270493115941669"/>
    <n v="4.4415736111111125E-2"/>
    <n v="2.7612705464975695E-2"/>
    <n v="1"/>
    <n v="0.53298883333333347"/>
  </r>
  <r>
    <n v="1063"/>
    <x v="8"/>
    <n v="9.3173761111111109"/>
    <n v="5.9099301909722222"/>
    <n v="3.882240046296296E-2"/>
    <n v="2.4624709129050928E-2"/>
    <n v="1"/>
    <n v="0.46586880555555554"/>
  </r>
  <r>
    <n v="1063"/>
    <x v="9"/>
    <n v="9.3741516666666662"/>
    <n v="5.8875026136361113"/>
    <n v="3.9058965277777774E-2"/>
    <n v="2.4531260890150463E-2"/>
    <n v="1"/>
    <n v="0.46870758333333329"/>
  </r>
  <r>
    <n v="1063"/>
    <x v="10"/>
    <n v="8.9586722222222228"/>
    <n v="5.905882159090833"/>
    <n v="3.7327800925925927E-2"/>
    <n v="2.4607842329545136E-2"/>
    <n v="1"/>
    <n v="0.44793361111111113"/>
  </r>
  <r>
    <n v="1063"/>
    <x v="11"/>
    <n v="15.123420833333331"/>
    <n v="6.3445890740738893"/>
    <n v="6.3014253472222212E-2"/>
    <n v="2.6435787808641208E-2"/>
    <n v="1"/>
    <n v="0.75617104166666649"/>
  </r>
  <r>
    <n v="1064"/>
    <x v="0"/>
    <n v="11.31"/>
    <n v="10.589444444444444"/>
    <n v="4.7125E-2"/>
    <n v="4.4122685185185188E-2"/>
    <n v="1"/>
    <n v="0.5655"/>
  </r>
  <r>
    <n v="1064"/>
    <x v="1"/>
    <n v="13.784017499999999"/>
    <n v="13.61344715909083"/>
    <n v="5.7433406249999992E-2"/>
    <n v="5.672269649621179E-2"/>
    <n v="1"/>
    <n v="0.68920087499999994"/>
  </r>
  <r>
    <n v="1064"/>
    <x v="2"/>
    <n v="13.632862777777779"/>
    <n v="13.13499276388889"/>
    <n v="5.6803594907407412E-2"/>
    <n v="5.4729136516203709E-2"/>
    <n v="1"/>
    <n v="0.68164313888888894"/>
  </r>
  <r>
    <n v="1064"/>
    <x v="3"/>
    <n v="13.630762777777781"/>
    <n v="13.290369920634721"/>
    <n v="5.6794844907407417E-2"/>
    <n v="5.5376541335978004E-2"/>
    <n v="1"/>
    <n v="0.68153813888888903"/>
  </r>
  <r>
    <n v="1064"/>
    <x v="4"/>
    <n v="13.628294444444441"/>
    <n v="12.82574929166667"/>
    <n v="5.6784560185185164E-2"/>
    <n v="5.3440622048611129E-2"/>
    <n v="1"/>
    <n v="0.68141472222222199"/>
  </r>
  <r>
    <n v="1064"/>
    <x v="5"/>
    <n v="13.65145083333333"/>
    <n v="13.359672097222219"/>
    <n v="5.6881045138888871E-2"/>
    <n v="5.5665300405092578E-2"/>
    <n v="1"/>
    <n v="0.68257254166666648"/>
  </r>
  <r>
    <n v="1064"/>
    <x v="6"/>
    <n v="13.61507472222222"/>
    <n v="10.245263180555559"/>
    <n v="5.6729478009259253E-2"/>
    <n v="4.2688596585648164E-2"/>
    <n v="1"/>
    <n v="0.68075373611111101"/>
  </r>
  <r>
    <n v="1064"/>
    <x v="7"/>
    <n v="10.69782333333333"/>
    <n v="10.10739595410611"/>
    <n v="4.4574263888888875E-2"/>
    <n v="4.211414980877546E-2"/>
    <n v="1"/>
    <n v="0.53489116666666647"/>
  </r>
  <r>
    <n v="1064"/>
    <x v="8"/>
    <n v="11.06623666666667"/>
    <n v="10.378341472222219"/>
    <n v="4.6109319444444463E-2"/>
    <n v="4.3243089467592581E-2"/>
    <n v="1"/>
    <n v="0.55331183333333356"/>
  </r>
  <r>
    <n v="1064"/>
    <x v="9"/>
    <n v="10.75090333333333"/>
    <n v="9.9932720833333342"/>
    <n v="4.4795430555555543E-2"/>
    <n v="4.1638633680555558E-2"/>
    <n v="1"/>
    <n v="0.53754516666666652"/>
  </r>
  <r>
    <n v="1064"/>
    <x v="10"/>
    <n v="10.59186027777778"/>
    <n v="10.250758320706939"/>
    <n v="4.4132751157407418E-2"/>
    <n v="4.2711493002945577E-2"/>
    <n v="1"/>
    <n v="0.52959301388888902"/>
  </r>
  <r>
    <n v="1064"/>
    <x v="11"/>
    <n v="10.66777611111111"/>
    <n v="9.8726014021163895"/>
    <n v="4.4449067129629621E-2"/>
    <n v="4.113583917548496E-2"/>
    <n v="1"/>
    <n v="0.53338880555555546"/>
  </r>
  <r>
    <n v="1065"/>
    <x v="0"/>
    <n v="11.262222222222222"/>
    <n v="10.753055555555555"/>
    <n v="4.6925925925925926E-2"/>
    <n v="4.4804398148148149E-2"/>
    <n v="1"/>
    <n v="0.56311111111111112"/>
  </r>
  <r>
    <n v="1065"/>
    <x v="1"/>
    <n v="11.934111111111109"/>
    <n v="11.824908106060549"/>
    <n v="4.9725462962962957E-2"/>
    <n v="4.927045044191896E-2"/>
    <n v="1"/>
    <n v="0.59670555555555549"/>
  </r>
  <r>
    <n v="1065"/>
    <x v="2"/>
    <n v="11.93704916666667"/>
    <n v="11.537711194444441"/>
    <n v="4.9737704861111121E-2"/>
    <n v="4.8073796643518497E-2"/>
    <n v="1"/>
    <n v="0.59685245833333345"/>
  </r>
  <r>
    <n v="1065"/>
    <x v="3"/>
    <n v="11.934688888888889"/>
    <n v="11.74625912698389"/>
    <n v="4.9727870370370374E-2"/>
    <n v="4.8942746362432878E-2"/>
    <n v="1"/>
    <n v="0.59673444444444446"/>
  </r>
  <r>
    <n v="1065"/>
    <x v="4"/>
    <n v="11.958291666666669"/>
    <n v="11.87639255555556"/>
    <n v="4.9826215277777787E-2"/>
    <n v="4.9484968981481497E-2"/>
    <n v="1"/>
    <n v="0.59791458333333347"/>
  </r>
  <r>
    <n v="1065"/>
    <x v="5"/>
    <n v="11.985566666666671"/>
    <n v="11.63689111111111"/>
    <n v="4.9939861111111129E-2"/>
    <n v="4.8487046296296292E-2"/>
    <n v="1"/>
    <n v="0.59927833333333358"/>
  </r>
  <r>
    <n v="1065"/>
    <x v="6"/>
    <n v="11.938606388888889"/>
    <n v="11.2140202513225"/>
    <n v="4.9744193287037032E-2"/>
    <n v="4.6725084380510422E-2"/>
    <n v="1"/>
    <n v="0.59693031944444441"/>
  </r>
  <r>
    <n v="1065"/>
    <x v="7"/>
    <n v="11.932043333333329"/>
    <n v="11.77643908212556"/>
    <n v="4.97168472222222E-2"/>
    <n v="4.9068496175523169E-2"/>
    <n v="1"/>
    <n v="0.59660216666666643"/>
  </r>
  <r>
    <n v="1065"/>
    <x v="8"/>
    <n v="11.91241277777778"/>
    <n v="11.86565740277778"/>
    <n v="4.9635053240740745E-2"/>
    <n v="4.9440239178240752E-2"/>
    <n v="1"/>
    <n v="0.59562063888888894"/>
  </r>
  <r>
    <n v="1065"/>
    <x v="9"/>
    <n v="13.87245361111111"/>
    <n v="11.94128574494944"/>
    <n v="5.7801890046296295E-2"/>
    <n v="4.9755357270622663E-2"/>
    <n v="1"/>
    <n v="0.69362268055555554"/>
  </r>
  <r>
    <n v="1065"/>
    <x v="10"/>
    <n v="11.932778611111109"/>
    <n v="11.792600606060549"/>
    <n v="4.9719910879629625E-2"/>
    <n v="4.9135835858585629E-2"/>
    <n v="1"/>
    <n v="0.5966389305555555"/>
  </r>
  <r>
    <n v="1065"/>
    <x v="11"/>
    <n v="13.8054425"/>
    <n v="11.821507949735279"/>
    <n v="5.7522677083333335E-2"/>
    <n v="4.9256283123896995E-2"/>
    <n v="1"/>
    <n v="0.69027212500000001"/>
  </r>
  <r>
    <n v="1066"/>
    <x v="0"/>
    <n v="11.235277777777778"/>
    <n v="10.630833333333333"/>
    <n v="4.6813657407407415E-2"/>
    <n v="4.4295138888888891E-2"/>
    <n v="1"/>
    <n v="0.56176388888888895"/>
  </r>
  <r>
    <n v="1066"/>
    <x v="1"/>
    <n v="12.000403611111111"/>
    <n v="11.61967207070694"/>
    <n v="5.0001681712962959E-2"/>
    <n v="4.8415300294612253E-2"/>
    <n v="1"/>
    <n v="0.6000201805555555"/>
  </r>
  <r>
    <n v="1066"/>
    <x v="2"/>
    <n v="12.01986833333333"/>
    <n v="11.22907758333333"/>
    <n v="5.0082784722222211E-2"/>
    <n v="4.6787823263888882E-2"/>
    <n v="1"/>
    <n v="0.6009934166666665"/>
  </r>
  <r>
    <n v="1066"/>
    <x v="3"/>
    <n v="12.01845277777778"/>
    <n v="11.49010605820083"/>
    <n v="5.0076886574074081E-2"/>
    <n v="4.7875441909170126E-2"/>
    <n v="1"/>
    <n v="0.60092263888888897"/>
  </r>
  <r>
    <n v="1066"/>
    <x v="4"/>
    <n v="12.38851972222222"/>
    <n v="11.998495416666669"/>
    <n v="5.1618832175925916E-2"/>
    <n v="4.999373090277779E-2"/>
    <n v="1"/>
    <n v="0.61942598611111099"/>
  </r>
  <r>
    <n v="1066"/>
    <x v="5"/>
    <n v="13.014278055555559"/>
    <n v="11.06673983333333"/>
    <n v="5.422615856481483E-2"/>
    <n v="4.6111415972222208E-2"/>
    <n v="1"/>
    <n v="0.65071390277777796"/>
  </r>
  <r>
    <n v="1066"/>
    <x v="6"/>
    <n v="12.008181666666671"/>
    <n v="11.077733835978609"/>
    <n v="5.0034090277777797E-2"/>
    <n v="4.6157224316577539E-2"/>
    <n v="1"/>
    <n v="0.60040908333333354"/>
  </r>
  <r>
    <n v="1066"/>
    <x v="7"/>
    <n v="11.98496111111111"/>
    <n v="11.741013647342781"/>
    <n v="4.9937337962962958E-2"/>
    <n v="4.8920890197261591E-2"/>
    <n v="1"/>
    <n v="0.59924805555555549"/>
  </r>
  <r>
    <n v="1066"/>
    <x v="8"/>
    <n v="12.45257777777778"/>
    <n v="11.97618527777778"/>
    <n v="5.1885740740740753E-2"/>
    <n v="4.990077199074075E-2"/>
    <n v="1"/>
    <n v="0.62262888888888901"/>
  </r>
  <r>
    <n v="1066"/>
    <x v="9"/>
    <n v="12.544304444444441"/>
    <n v="11.845122676767501"/>
    <n v="5.2267935185185167E-2"/>
    <n v="4.9354677819864586E-2"/>
    <n v="1"/>
    <n v="0.62721522222222204"/>
  </r>
  <r>
    <n v="1066"/>
    <x v="10"/>
    <n v="12.22817027777778"/>
    <n v="11.92670175505028"/>
    <n v="5.0950709490740743E-2"/>
    <n v="4.9694590646042834E-2"/>
    <n v="1"/>
    <n v="0.61140851388888895"/>
  </r>
  <r>
    <n v="1066"/>
    <x v="11"/>
    <n v="12.163459444444451"/>
    <n v="11.598069523809439"/>
    <n v="5.0681081018518544E-2"/>
    <n v="4.8325289682539331E-2"/>
    <n v="1"/>
    <n v="0.60817297222222255"/>
  </r>
  <r>
    <n v="1067"/>
    <x v="0"/>
    <n v="11.230277777777779"/>
    <n v="6.9888888888888889"/>
    <n v="4.6792824074074084E-2"/>
    <n v="2.9120370370370369E-2"/>
    <n v="1"/>
    <n v="0.56151388888888898"/>
  </r>
  <r>
    <n v="1067"/>
    <x v="1"/>
    <n v="25.848663055555551"/>
    <n v="22.53869128787861"/>
    <n v="0.10770276273148145"/>
    <n v="9.391121369949422E-2"/>
    <n v="2"/>
    <n v="1.2924331527777775"/>
  </r>
  <r>
    <n v="1067"/>
    <x v="2"/>
    <n v="8.5981744444444441"/>
    <n v="5.7448230555555559"/>
    <n v="3.5825726851851848E-2"/>
    <n v="2.3936762731481483E-2"/>
    <n v="1"/>
    <n v="0.42990872222222221"/>
  </r>
  <r>
    <n v="1067"/>
    <x v="3"/>
    <n v="14.49634277777778"/>
    <n v="5.9787387301586108"/>
    <n v="6.0401428240740747E-2"/>
    <n v="2.4911411375660875E-2"/>
    <n v="1"/>
    <n v="0.72481713888888899"/>
  </r>
  <r>
    <n v="1067"/>
    <x v="4"/>
    <n v="11.0215475"/>
    <n v="5.7621997916666663"/>
    <n v="4.5923114583333334E-2"/>
    <n v="2.400916579861111E-2"/>
    <n v="1"/>
    <n v="0.55107737499999998"/>
  </r>
  <r>
    <n v="1067"/>
    <x v="5"/>
    <n v="14.48412027777778"/>
    <n v="6.565431361111111"/>
    <n v="6.0350501157407421E-2"/>
    <n v="2.735596400462963E-2"/>
    <n v="1"/>
    <n v="0.72420601388888906"/>
  </r>
  <r>
    <n v="1067"/>
    <x v="6"/>
    <n v="9.5930722222222222"/>
    <n v="5.9794379027777778"/>
    <n v="3.9971134259259258E-2"/>
    <n v="2.4914324594907406E-2"/>
    <n v="1"/>
    <n v="0.4796536111111111"/>
  </r>
  <r>
    <n v="1067"/>
    <x v="7"/>
    <n v="9.8226080555555555"/>
    <n v="5.4516952657002777"/>
    <n v="4.0927533564814815E-2"/>
    <n v="2.2715396940417826E-2"/>
    <n v="1"/>
    <n v="0.49113040277777775"/>
  </r>
  <r>
    <n v="1067"/>
    <x v="8"/>
    <n v="9.2707005555555551"/>
    <n v="6.0711273472222222"/>
    <n v="3.8627918981481484E-2"/>
    <n v="2.529636394675926E-2"/>
    <n v="1"/>
    <n v="0.46353502777777777"/>
  </r>
  <r>
    <n v="1067"/>
    <x v="9"/>
    <n v="8.1438513888888888"/>
    <n v="6.2533232954544449"/>
    <n v="3.3932714120370369E-2"/>
    <n v="2.6055513731060187E-2"/>
    <n v="1"/>
    <n v="0.40719256944444443"/>
  </r>
  <r>
    <n v="1067"/>
    <x v="10"/>
    <n v="9.6572494444444441"/>
    <n v="6.7285385858583338"/>
    <n v="4.023853935185185E-2"/>
    <n v="2.803557744107639E-2"/>
    <n v="1"/>
    <n v="0.48286247222222223"/>
  </r>
  <r>
    <n v="1067"/>
    <x v="11"/>
    <n v="13.82573138888889"/>
    <n v="6.7921048677247224"/>
    <n v="5.7607214120370377E-2"/>
    <n v="2.8300436948853008E-2"/>
    <n v="1"/>
    <n v="0.69128656944444455"/>
  </r>
  <r>
    <n v="1068"/>
    <x v="0"/>
    <n v="11.147777777777778"/>
    <n v="10.349444444444446"/>
    <n v="4.644907407407408E-2"/>
    <n v="4.3122685185185194E-2"/>
    <n v="1"/>
    <n v="0.55738888888888893"/>
  </r>
  <r>
    <n v="1068"/>
    <x v="1"/>
    <n v="10.008220277777779"/>
    <n v="9.6913989141413897"/>
    <n v="4.1700917824074084E-2"/>
    <n v="4.0380828808922457E-2"/>
    <n v="1"/>
    <n v="0.50041101388888898"/>
  </r>
  <r>
    <n v="1068"/>
    <x v="2"/>
    <n v="10.011948333333329"/>
    <n v="9.5925711944444441"/>
    <n v="4.1716451388888874E-2"/>
    <n v="3.9969046643518517E-2"/>
    <n v="1"/>
    <n v="0.50059741666666646"/>
  </r>
  <r>
    <n v="1068"/>
    <x v="3"/>
    <n v="12.00048333333333"/>
    <n v="10.83318869047611"/>
    <n v="5.000201388888887E-2"/>
    <n v="4.5138286210317125E-2"/>
    <n v="1"/>
    <n v="0.60002416666666647"/>
  </r>
  <r>
    <n v="1068"/>
    <x v="4"/>
    <n v="12.05120194444445"/>
    <n v="11.680137472222221"/>
    <n v="5.0213341435185209E-2"/>
    <n v="4.8667239467592584E-2"/>
    <n v="1"/>
    <n v="0.60256009722222248"/>
  </r>
  <r>
    <n v="1068"/>
    <x v="5"/>
    <n v="12.130123055555559"/>
    <n v="11.88138515277778"/>
    <n v="5.0542179398148167E-2"/>
    <n v="4.9505771469907416E-2"/>
    <n v="1"/>
    <n v="0.60650615277777797"/>
  </r>
  <r>
    <n v="1068"/>
    <x v="6"/>
    <n v="12.533496111111109"/>
    <n v="11.87394425438583"/>
    <n v="5.2222900462962955E-2"/>
    <n v="4.9474767726607617E-2"/>
    <n v="1"/>
    <n v="0.62667480555555544"/>
  </r>
  <r>
    <n v="1068"/>
    <x v="7"/>
    <n v="13.368839722222219"/>
    <n v="11.77485241545889"/>
    <n v="5.5703498842592576E-2"/>
    <n v="4.9061885064412038E-2"/>
    <n v="1"/>
    <n v="0.66844198611111094"/>
  </r>
  <r>
    <n v="1068"/>
    <x v="8"/>
    <n v="13.162825833333329"/>
    <n v="11.89988505555556"/>
    <n v="5.4845107638888869E-2"/>
    <n v="4.9582854398148163E-2"/>
    <n v="1"/>
    <n v="0.65814129166666646"/>
  </r>
  <r>
    <n v="1068"/>
    <x v="9"/>
    <n v="13.34181027777778"/>
    <n v="11.62130111111111"/>
    <n v="5.5590876157407411E-2"/>
    <n v="4.8422087962962962E-2"/>
    <n v="1"/>
    <n v="0.66709051388888896"/>
  </r>
  <r>
    <n v="1068"/>
    <x v="10"/>
    <n v="12.76307222222222"/>
    <n v="11.71111710858583"/>
    <n v="5.3179467592592587E-2"/>
    <n v="4.879632128577429E-2"/>
    <n v="1"/>
    <n v="0.63815361111111102"/>
  </r>
  <r>
    <n v="1068"/>
    <x v="11"/>
    <n v="12.40065361111111"/>
    <n v="11.631572976190281"/>
    <n v="5.1669390046296289E-2"/>
    <n v="4.8464887400792835E-2"/>
    <n v="1"/>
    <n v="0.62003268055555549"/>
  </r>
  <r>
    <n v="1069"/>
    <x v="0"/>
    <n v="44.315555555555555"/>
    <n v="29.010833333333334"/>
    <n v="0.18464814814814814"/>
    <n v="0.12087847222222221"/>
    <n v="3"/>
    <n v="2.2157777777777778"/>
  </r>
  <r>
    <n v="1069"/>
    <x v="9"/>
    <n v="46.238730277777783"/>
    <n v="16.375195000000001"/>
    <n v="0.19266137615740742"/>
    <n v="6.8229979166666677E-2"/>
    <n v="3"/>
    <n v="2.311936513888889"/>
  </r>
  <r>
    <n v="1069"/>
    <x v="10"/>
    <n v="86.70778277777778"/>
    <n v="70.656683703703607"/>
    <n v="0.36128242824074075"/>
    <n v="0.29440284876543171"/>
    <n v="5"/>
    <n v="4.335389138888889"/>
  </r>
  <r>
    <n v="1070"/>
    <x v="0"/>
    <n v="11.071666666666665"/>
    <n v="10.672222222222222"/>
    <n v="4.6131944444444441E-2"/>
    <n v="4.4467592592592593E-2"/>
    <n v="1"/>
    <n v="0.55358333333333332"/>
  </r>
  <r>
    <n v="1070"/>
    <x v="1"/>
    <n v="12.05341944444444"/>
    <n v="11.893967133838331"/>
    <n v="5.0222581018518501E-2"/>
    <n v="4.9558196390993042E-2"/>
    <n v="1"/>
    <n v="0.60267097222222199"/>
  </r>
  <r>
    <n v="1070"/>
    <x v="2"/>
    <n v="12.158985277777781"/>
    <n v="11.734115138888891"/>
    <n v="5.0662438657407417E-2"/>
    <n v="4.8892146412037041E-2"/>
    <n v="1"/>
    <n v="0.60794926388888904"/>
  </r>
  <r>
    <n v="1070"/>
    <x v="3"/>
    <n v="12.039673055555561"/>
    <n v="11.839847605819999"/>
    <n v="5.0165304398148168E-2"/>
    <n v="4.9332698357583332E-2"/>
    <n v="1"/>
    <n v="0.60198365277777799"/>
  </r>
  <r>
    <n v="1070"/>
    <x v="4"/>
    <n v="12.05221027777778"/>
    <n v="11.92856254166667"/>
    <n v="5.0217542824074084E-2"/>
    <n v="4.9702343923611121E-2"/>
    <n v="1"/>
    <n v="0.60261051388888898"/>
  </r>
  <r>
    <n v="1070"/>
    <x v="5"/>
    <n v="12.056804722222219"/>
    <n v="11.569898361111109"/>
    <n v="5.0236686342592575E-2"/>
    <n v="4.8207909837962949E-2"/>
    <n v="1"/>
    <n v="0.60284023611111093"/>
  </r>
  <r>
    <n v="1070"/>
    <x v="6"/>
    <n v="12.036365833333329"/>
    <n v="11.404993293650559"/>
    <n v="5.0151524305555535E-2"/>
    <n v="4.7520805390210662E-2"/>
    <n v="1"/>
    <n v="0.60181829166666645"/>
  </r>
  <r>
    <n v="1070"/>
    <x v="7"/>
    <n v="12.02964083333333"/>
    <n v="11.65734908212556"/>
    <n v="5.0123503472222213E-2"/>
    <n v="4.857228784218983E-2"/>
    <n v="1"/>
    <n v="0.60148204166666652"/>
  </r>
  <r>
    <n v="1070"/>
    <x v="8"/>
    <n v="12.00605833333333"/>
    <n v="10.87101284722222"/>
    <n v="5.0025243055555536E-2"/>
    <n v="4.5295886863425915E-2"/>
    <n v="1"/>
    <n v="0.60030291666666646"/>
  </r>
  <r>
    <n v="1070"/>
    <x v="9"/>
    <n v="12.253267777777779"/>
    <n v="11.842792866161391"/>
    <n v="5.1055282407407414E-2"/>
    <n v="4.9344970275672466E-2"/>
    <n v="1"/>
    <n v="0.61266338888888894"/>
  </r>
  <r>
    <n v="1070"/>
    <x v="10"/>
    <n v="12.015183055555561"/>
    <n v="11.546613131313061"/>
    <n v="5.0063262731481505E-2"/>
    <n v="4.8110888047137756E-2"/>
    <n v="1"/>
    <n v="0.60075915277777803"/>
  </r>
  <r>
    <n v="1070"/>
    <x v="11"/>
    <n v="12.15592222222222"/>
    <n v="11.77457945767194"/>
    <n v="5.0649675925925917E-2"/>
    <n v="4.9060747740299754E-2"/>
    <n v="1"/>
    <n v="0.60779611111111098"/>
  </r>
  <r>
    <n v="1071"/>
    <x v="0"/>
    <n v="10.9975"/>
    <n v="10.450555555555555"/>
    <n v="4.5822916666666665E-2"/>
    <n v="4.3543981481481475E-2"/>
    <n v="1"/>
    <n v="0.549875"/>
  </r>
  <r>
    <n v="1071"/>
    <x v="1"/>
    <n v="11.778465000000001"/>
    <n v="11.557253686868609"/>
    <n v="4.9076937500000001E-2"/>
    <n v="4.8155223695285874E-2"/>
    <n v="1"/>
    <n v="0.58892325000000001"/>
  </r>
  <r>
    <n v="1071"/>
    <x v="2"/>
    <n v="11.778157500000001"/>
    <n v="11.54490570833333"/>
    <n v="4.9075656250000009E-2"/>
    <n v="4.8103773784722213E-2"/>
    <n v="1"/>
    <n v="0.58890787500000008"/>
  </r>
  <r>
    <n v="1071"/>
    <x v="3"/>
    <n v="12.49783861111111"/>
    <n v="11.49534388888889"/>
    <n v="5.207432754629629E-2"/>
    <n v="4.7897266203703708E-2"/>
    <n v="1"/>
    <n v="0.62489193055555547"/>
  </r>
  <r>
    <n v="1071"/>
    <x v="4"/>
    <n v="11.795786944444441"/>
    <n v="11.01623559722222"/>
    <n v="4.9149112268518501E-2"/>
    <n v="4.5900981655092578E-2"/>
    <n v="1"/>
    <n v="0.58978934722222198"/>
  </r>
  <r>
    <n v="1071"/>
    <x v="5"/>
    <n v="11.792538055555561"/>
    <n v="10.686910861111111"/>
    <n v="4.9135575231481508E-2"/>
    <n v="4.4528795254629626E-2"/>
    <n v="1"/>
    <n v="0.58962690277777807"/>
  </r>
  <r>
    <n v="1071"/>
    <x v="6"/>
    <n v="11.775007499999999"/>
    <n v="11.19793679894167"/>
    <n v="4.9062531249999992E-2"/>
    <n v="4.6658069995590294E-2"/>
    <n v="1"/>
    <n v="0.58875037499999994"/>
  </r>
  <r>
    <n v="1071"/>
    <x v="7"/>
    <n v="12.08946944444445"/>
    <n v="11.74853422705305"/>
    <n v="5.0372789351851875E-2"/>
    <n v="4.8952225946054369E-2"/>
    <n v="1"/>
    <n v="0.60447347222222247"/>
  </r>
  <r>
    <n v="1071"/>
    <x v="8"/>
    <n v="11.747544444444451"/>
    <n v="11.69749333333333"/>
    <n v="4.8948101851851882E-2"/>
    <n v="4.8739555555555543E-2"/>
    <n v="1"/>
    <n v="0.58737722222222255"/>
  </r>
  <r>
    <n v="1071"/>
    <x v="9"/>
    <n v="11.7452325"/>
    <n v="11.691319911616111"/>
    <n v="4.8938468749999998E-2"/>
    <n v="4.8713832965067129E-2"/>
    <n v="1"/>
    <n v="0.58726162500000001"/>
  </r>
  <r>
    <n v="1071"/>
    <x v="10"/>
    <n v="12.01474694444445"/>
    <n v="11.16035612373722"/>
    <n v="5.0061445601851877E-2"/>
    <n v="4.6501483848905088E-2"/>
    <n v="1"/>
    <n v="0.6007373472222225"/>
  </r>
  <r>
    <n v="1071"/>
    <x v="11"/>
    <n v="12.952063611111109"/>
    <n v="11.607911560846389"/>
    <n v="5.3966931712962955E-2"/>
    <n v="4.8366298170193285E-2"/>
    <n v="1"/>
    <n v="0.64760318055555544"/>
  </r>
  <r>
    <n v="1072"/>
    <x v="0"/>
    <n v="10.986666666666668"/>
    <n v="10.545555555555556"/>
    <n v="4.5777777777777785E-2"/>
    <n v="4.3939814814814813E-2"/>
    <n v="1"/>
    <n v="0.54933333333333345"/>
  </r>
  <r>
    <n v="1072"/>
    <x v="1"/>
    <n v="11.95822861111111"/>
    <n v="11.84772820707056"/>
    <n v="4.9825952546296293E-2"/>
    <n v="4.9365534196127332E-2"/>
    <n v="1"/>
    <n v="0.59791143055555551"/>
  </r>
  <r>
    <n v="1072"/>
    <x v="2"/>
    <n v="12.07562388888889"/>
    <n v="11.61663326388889"/>
    <n v="5.0315099537037035E-2"/>
    <n v="4.8402638599537036E-2"/>
    <n v="1"/>
    <n v="0.60378119444444445"/>
  </r>
  <r>
    <n v="1072"/>
    <x v="3"/>
    <n v="11.9714425"/>
    <n v="11.66997271164"/>
    <n v="4.988101041666667E-2"/>
    <n v="4.8624886298500002E-2"/>
    <n v="1"/>
    <n v="0.59857212500000001"/>
  </r>
  <r>
    <n v="1072"/>
    <x v="4"/>
    <n v="11.990109444444441"/>
    <n v="10.882080347222219"/>
    <n v="4.9958789351851836E-2"/>
    <n v="4.5342001446759241E-2"/>
    <n v="1"/>
    <n v="0.59950547222222206"/>
  </r>
  <r>
    <n v="1072"/>
    <x v="5"/>
    <n v="11.9917075"/>
    <n v="11.712129027777779"/>
    <n v="4.9965447916666662E-2"/>
    <n v="4.8800537615740748E-2"/>
    <n v="1"/>
    <n v="0.59958537499999998"/>
  </r>
  <r>
    <n v="1072"/>
    <x v="6"/>
    <n v="11.987227777777781"/>
    <n v="11.11190382275111"/>
    <n v="4.9946782407407415E-2"/>
    <n v="4.6299599261462959E-2"/>
    <n v="1"/>
    <n v="0.59936138888888901"/>
  </r>
  <r>
    <n v="1072"/>
    <x v="7"/>
    <n v="12.075361111111111"/>
    <n v="11.76822471014472"/>
    <n v="5.0314004629629629E-2"/>
    <n v="4.9034269625602998E-2"/>
    <n v="1"/>
    <n v="0.60376805555555557"/>
  </r>
  <r>
    <n v="1072"/>
    <x v="8"/>
    <n v="11.92781111111111"/>
    <n v="11.15703731944444"/>
    <n v="4.9699212962962959E-2"/>
    <n v="4.6487655497685167E-2"/>
    <n v="1"/>
    <n v="0.59639055555555553"/>
  </r>
  <r>
    <n v="1072"/>
    <x v="9"/>
    <n v="11.96370555555556"/>
    <n v="11.81433016414139"/>
    <n v="4.9848773148148166E-2"/>
    <n v="4.9226375683922463E-2"/>
    <n v="1"/>
    <n v="0.59818527777777797"/>
  </r>
  <r>
    <n v="1072"/>
    <x v="10"/>
    <n v="11.945060277777779"/>
    <n v="11.803558320706941"/>
    <n v="4.9771084490740747E-2"/>
    <n v="4.9181493002945588E-2"/>
    <n v="1"/>
    <n v="0.59725301388888896"/>
  </r>
  <r>
    <n v="1072"/>
    <x v="11"/>
    <n v="11.950600833333329"/>
    <n v="11.1601725"/>
    <n v="4.9794170138888871E-2"/>
    <n v="4.6500718750000003E-2"/>
    <n v="1"/>
    <n v="0.59753004166666646"/>
  </r>
  <r>
    <n v="1073"/>
    <x v="0"/>
    <n v="10.958055555555555"/>
    <n v="4.4733333333333327"/>
    <n v="4.5658564814814812E-2"/>
    <n v="1.8638888888888885E-2"/>
    <n v="1"/>
    <n v="0.54790277777777774"/>
  </r>
  <r>
    <n v="1073"/>
    <x v="1"/>
    <n v="4.8374372222222224"/>
    <n v="2.2458801666666668"/>
    <n v="2.0155988425925926E-2"/>
    <n v="9.3578340277777772E-3"/>
    <n v="1"/>
    <n v="0.24187186111111111"/>
  </r>
  <r>
    <n v="1073"/>
    <x v="2"/>
    <n v="5.1979572222222226"/>
    <n v="2.676432124182778"/>
    <n v="2.1658155092592595E-2"/>
    <n v="1.1151800517428243E-2"/>
    <n v="1"/>
    <n v="0.25989786111111113"/>
  </r>
  <r>
    <n v="1073"/>
    <x v="3"/>
    <n v="12.159358055555559"/>
    <n v="3.4151280401233328"/>
    <n v="5.0663991898148165E-2"/>
    <n v="1.4229700167180554E-2"/>
    <n v="1"/>
    <n v="0.60796790277777801"/>
  </r>
  <r>
    <n v="1073"/>
    <x v="4"/>
    <n v="8.3298119444444438"/>
    <n v="4.2097626960783332"/>
    <n v="3.4707549768518517E-2"/>
    <n v="1.7540677900326387E-2"/>
    <n v="1"/>
    <n v="0.4164905972222222"/>
  </r>
  <r>
    <n v="1073"/>
    <x v="5"/>
    <n v="12.41289388888889"/>
    <n v="3.9411171527777782"/>
    <n v="5.1720391203703704E-2"/>
    <n v="1.6421321469907411E-2"/>
    <n v="1"/>
    <n v="0.62064469444444448"/>
  </r>
  <r>
    <n v="1073"/>
    <x v="6"/>
    <n v="11.161873055555549"/>
    <n v="5.0682807118055564"/>
    <n v="4.6507804398148118E-2"/>
    <n v="2.1117836299189816E-2"/>
    <n v="1"/>
    <n v="0.55809365277777745"/>
  </r>
  <r>
    <n v="1073"/>
    <x v="7"/>
    <n v="19.03961444444445"/>
    <n v="5.5024246296294441"/>
    <n v="7.9331726851851872E-2"/>
    <n v="2.2926769290122686E-2"/>
    <n v="1"/>
    <n v="0.95198072222222252"/>
  </r>
  <r>
    <n v="1073"/>
    <x v="8"/>
    <n v="9.1513313888888881"/>
    <n v="4.2897763333333332"/>
    <n v="3.81305474537037E-2"/>
    <n v="1.7874068055555557E-2"/>
    <n v="1"/>
    <n v="0.4575665694444444"/>
  </r>
  <r>
    <n v="1073"/>
    <x v="9"/>
    <n v="14.85805083333333"/>
    <n v="7.7707125308641656"/>
    <n v="6.1908545138888875E-2"/>
    <n v="3.2377968878600692E-2"/>
    <n v="1"/>
    <n v="0.74290254166666647"/>
  </r>
  <r>
    <n v="1073"/>
    <x v="10"/>
    <n v="13.40153527777778"/>
    <n v="5.9677810185183331"/>
    <n v="5.5839730324074084E-2"/>
    <n v="2.486575424382639E-2"/>
    <n v="1"/>
    <n v="0.67007676388888904"/>
  </r>
  <r>
    <n v="1073"/>
    <x v="11"/>
    <n v="20.946671388888891"/>
    <n v="8.590343452380834"/>
    <n v="8.7277797453703718E-2"/>
    <n v="3.5793097718253473E-2"/>
    <n v="2"/>
    <n v="1.0473335694444446"/>
  </r>
  <r>
    <n v="1074"/>
    <x v="0"/>
    <n v="10.956666666666667"/>
    <n v="10.733611111111111"/>
    <n v="4.5652777777777785E-2"/>
    <n v="4.4723379629629634E-2"/>
    <n v="1"/>
    <n v="0.54783333333333339"/>
  </r>
  <r>
    <n v="1074"/>
    <x v="1"/>
    <n v="11.86803416666667"/>
    <n v="11.55393532828278"/>
    <n v="4.9450142361111123E-2"/>
    <n v="4.814139720117825E-2"/>
    <n v="1"/>
    <n v="0.5934017083333335"/>
  </r>
  <r>
    <n v="1074"/>
    <x v="2"/>
    <n v="11.864849166666669"/>
    <n v="11.819483305555559"/>
    <n v="4.9436871527777787E-2"/>
    <n v="4.9247847106481502E-2"/>
    <n v="1"/>
    <n v="0.59324245833333344"/>
  </r>
  <r>
    <n v="1074"/>
    <x v="3"/>
    <n v="12.359979722222221"/>
    <n v="11.4898725925925"/>
    <n v="5.1499915509259253E-2"/>
    <n v="4.7874469135802088E-2"/>
    <n v="1"/>
    <n v="0.61799898611111104"/>
  </r>
  <r>
    <n v="1074"/>
    <x v="4"/>
    <n v="11.870861111111109"/>
    <n v="11.82946125"/>
    <n v="4.9461921296296285E-2"/>
    <n v="4.9289421874999996E-2"/>
    <n v="1"/>
    <n v="0.59354305555555542"/>
  </r>
  <r>
    <n v="1074"/>
    <x v="5"/>
    <n v="11.874067500000001"/>
    <n v="11.818845152777779"/>
    <n v="4.9475281250000003E-2"/>
    <n v="4.9245188136574081E-2"/>
    <n v="1"/>
    <n v="0.59370337500000003"/>
  </r>
  <r>
    <n v="1074"/>
    <x v="6"/>
    <n v="11.89154611111111"/>
    <n v="11.30157126984111"/>
    <n v="4.9548108796296286E-2"/>
    <n v="4.7089880291004631E-2"/>
    <n v="1"/>
    <n v="0.59457730555555544"/>
  </r>
  <r>
    <n v="1074"/>
    <x v="7"/>
    <n v="12.141478888888891"/>
    <n v="11.86746596618333"/>
    <n v="5.0589495370370378E-2"/>
    <n v="4.944777485909721E-2"/>
    <n v="1"/>
    <n v="0.60707394444444451"/>
  </r>
  <r>
    <n v="1074"/>
    <x v="8"/>
    <n v="11.85910638888889"/>
    <n v="11.780511055555561"/>
    <n v="4.9412943287037041E-2"/>
    <n v="4.9085462731481504E-2"/>
    <n v="1"/>
    <n v="0.59295531944444446"/>
  </r>
  <r>
    <n v="1074"/>
    <x v="9"/>
    <n v="11.94036305555556"/>
    <n v="11.781030138888889"/>
    <n v="4.9751512731481505E-2"/>
    <n v="4.9087625578703699E-2"/>
    <n v="1"/>
    <n v="0.59701815277777803"/>
  </r>
  <r>
    <n v="1074"/>
    <x v="10"/>
    <n v="11.842339722222221"/>
    <n v="11.763666502525"/>
    <n v="4.9343082175925923E-2"/>
    <n v="4.901527709385417E-2"/>
    <n v="1"/>
    <n v="0.59211698611111108"/>
  </r>
  <r>
    <n v="1074"/>
    <x v="11"/>
    <n v="11.964575555555561"/>
    <n v="11.79531832010556"/>
    <n v="4.9852398148148173E-2"/>
    <n v="4.9147159667106498E-2"/>
    <n v="1"/>
    <n v="0.59822877777777805"/>
  </r>
  <r>
    <n v="1075"/>
    <x v="0"/>
    <n v="10.889166666666666"/>
    <n v="10.438055555555556"/>
    <n v="4.5371527777777775E-2"/>
    <n v="4.3491898148148155E-2"/>
    <n v="1"/>
    <n v="0.54445833333333327"/>
  </r>
  <r>
    <n v="1075"/>
    <x v="1"/>
    <n v="10.929621111111111"/>
    <n v="10.63354786616139"/>
    <n v="4.5540087962962959E-2"/>
    <n v="4.4306449442339128E-2"/>
    <n v="1"/>
    <n v="0.54648105555555548"/>
  </r>
  <r>
    <n v="1075"/>
    <x v="2"/>
    <n v="11.92821472222222"/>
    <n v="11.201113250000001"/>
    <n v="4.9700894675925922E-2"/>
    <n v="4.667130520833334E-2"/>
    <n v="1"/>
    <n v="0.59641073611111106"/>
  </r>
  <r>
    <n v="1075"/>
    <x v="3"/>
    <n v="11.928235000000001"/>
    <n v="11.52596742063472"/>
    <n v="4.9700979166666666E-2"/>
    <n v="4.8024864252644663E-2"/>
    <n v="1"/>
    <n v="0.59641175000000002"/>
  </r>
  <r>
    <n v="1075"/>
    <x v="4"/>
    <n v="12.05151666666667"/>
    <n v="11.919309347222219"/>
    <n v="5.0214652777777792E-2"/>
    <n v="4.9663788946759248E-2"/>
    <n v="1"/>
    <n v="0.60257583333333353"/>
  </r>
  <r>
    <n v="1075"/>
    <x v="5"/>
    <n v="11.936411111111109"/>
    <n v="11.35156591666667"/>
    <n v="4.9735046296296291E-2"/>
    <n v="4.729819131944446E-2"/>
    <n v="1"/>
    <n v="0.59682055555555547"/>
  </r>
  <r>
    <n v="1075"/>
    <x v="6"/>
    <n v="11.92772888888889"/>
    <n v="11.37299883597861"/>
    <n v="4.9698870370370372E-2"/>
    <n v="4.738749514991087E-2"/>
    <n v="1"/>
    <n v="0.59638644444444444"/>
  </r>
  <r>
    <n v="1075"/>
    <x v="7"/>
    <n v="11.96929111111111"/>
    <n v="11.78736599033806"/>
    <n v="4.9872046296296289E-2"/>
    <n v="4.911402495974191E-2"/>
    <n v="1"/>
    <n v="0.59846455555555544"/>
  </r>
  <r>
    <n v="1075"/>
    <x v="8"/>
    <n v="12.00353638888889"/>
    <n v="11.683477972222221"/>
    <n v="5.0014734953703704E-2"/>
    <n v="4.8681158217592585E-2"/>
    <n v="1"/>
    <n v="0.60017681944444445"/>
  </r>
  <r>
    <n v="1075"/>
    <x v="9"/>
    <n v="11.935283333333331"/>
    <n v="10.892787739898891"/>
    <n v="4.9730347222222214E-2"/>
    <n v="4.5386615582912043E-2"/>
    <n v="1"/>
    <n v="0.59676416666666654"/>
  </r>
  <r>
    <n v="1075"/>
    <x v="10"/>
    <n v="11.93820666666667"/>
    <n v="11.31941390211639"/>
    <n v="4.9742527777777788E-2"/>
    <n v="4.7164224592151617E-2"/>
    <n v="1"/>
    <n v="0.59691033333333343"/>
  </r>
  <r>
    <n v="1075"/>
    <x v="11"/>
    <n v="12.11977222222222"/>
    <n v="11.56627875661361"/>
    <n v="5.0499050925925916E-2"/>
    <n v="4.819282815255671E-2"/>
    <n v="1"/>
    <n v="0.60598861111111102"/>
  </r>
  <r>
    <n v="1076"/>
    <x v="0"/>
    <n v="10.771388888888888"/>
    <n v="10.387777777777778"/>
    <n v="4.4880787037037038E-2"/>
    <n v="4.3282407407407408E-2"/>
    <n v="1"/>
    <n v="0.53856944444444443"/>
  </r>
  <r>
    <n v="1076"/>
    <x v="1"/>
    <n v="11.909365833333331"/>
    <n v="11.74022950757556"/>
    <n v="4.9622357638888871E-2"/>
    <n v="4.8917622948231494E-2"/>
    <n v="1"/>
    <n v="0.59546829166666648"/>
  </r>
  <r>
    <n v="1076"/>
    <x v="2"/>
    <n v="11.90495833333333"/>
    <n v="11.833199361111109"/>
    <n v="4.9603993055555538E-2"/>
    <n v="4.9304997337962952E-2"/>
    <n v="1"/>
    <n v="0.59524791666666643"/>
  </r>
  <r>
    <n v="1076"/>
    <x v="3"/>
    <n v="11.95238055555556"/>
    <n v="11.33159793650778"/>
    <n v="4.9801585648148163E-2"/>
    <n v="4.7214991402115748E-2"/>
    <n v="1"/>
    <n v="0.59761902777777798"/>
  </r>
  <r>
    <n v="1076"/>
    <x v="4"/>
    <n v="11.61894194444444"/>
    <n v="11.531537986111109"/>
    <n v="4.8412258101851839E-2"/>
    <n v="4.804807494212962E-2"/>
    <n v="1"/>
    <n v="0.58094709722222204"/>
  </r>
  <r>
    <n v="1076"/>
    <x v="5"/>
    <n v="11.679392500000001"/>
    <n v="11.54850158333333"/>
    <n v="4.8664135416666671E-2"/>
    <n v="4.8118756597222208E-2"/>
    <n v="1"/>
    <n v="0.58396962500000005"/>
  </r>
  <r>
    <n v="1076"/>
    <x v="6"/>
    <n v="11.64673416666667"/>
    <n v="10.53490281746028"/>
    <n v="4.8528059027777792E-2"/>
    <n v="4.3895428406084493E-2"/>
    <n v="1"/>
    <n v="0.58233670833333351"/>
  </r>
  <r>
    <n v="1076"/>
    <x v="7"/>
    <n v="11.61964361111111"/>
    <n v="11.45671118357472"/>
    <n v="4.8415181712962961E-2"/>
    <n v="4.7736296598227999E-2"/>
    <n v="1"/>
    <n v="0.58098218055555551"/>
  </r>
  <r>
    <n v="1076"/>
    <x v="8"/>
    <n v="11.557048333333331"/>
    <n v="10.33295773611111"/>
    <n v="4.8154368055555542E-2"/>
    <n v="4.3053990567129628E-2"/>
    <n v="1"/>
    <n v="0.57785241666666654"/>
  </r>
  <r>
    <n v="1076"/>
    <x v="9"/>
    <n v="11.84715083333333"/>
    <n v="11.526291994949441"/>
    <n v="4.9363128472222212E-2"/>
    <n v="4.802621664562267E-2"/>
    <n v="1"/>
    <n v="0.59235754166666654"/>
  </r>
  <r>
    <n v="1076"/>
    <x v="10"/>
    <n v="11.91417388888889"/>
    <n v="11.299479709595831"/>
    <n v="4.9642391203703708E-2"/>
    <n v="4.7081165456649289E-2"/>
    <n v="1"/>
    <n v="0.59570869444444452"/>
  </r>
  <r>
    <n v="1076"/>
    <x v="11"/>
    <n v="11.605634999999999"/>
    <n v="11.51579601851833"/>
    <n v="4.8356812499999992E-2"/>
    <n v="4.7982483410493042E-2"/>
    <n v="1"/>
    <n v="0.58028174999999993"/>
  </r>
  <r>
    <n v="1077"/>
    <x v="0"/>
    <n v="10.323611111111111"/>
    <n v="9.9669444444444437"/>
    <n v="4.3015046296296294E-2"/>
    <n v="4.1528935185185183E-2"/>
    <n v="1"/>
    <n v="0.51618055555555553"/>
  </r>
  <r>
    <n v="1077"/>
    <x v="1"/>
    <n v="10.93893805555556"/>
    <n v="10.821642436868609"/>
    <n v="4.5578908564814835E-2"/>
    <n v="4.5090176820285877E-2"/>
    <n v="1"/>
    <n v="0.54694690277777802"/>
  </r>
  <r>
    <n v="1077"/>
    <x v="2"/>
    <n v="10.97629083333333"/>
    <n v="10.93127765277778"/>
    <n v="4.5734545138888881E-2"/>
    <n v="4.5546990219907414E-2"/>
    <n v="1"/>
    <n v="0.54881454166666654"/>
  </r>
  <r>
    <n v="1077"/>
    <x v="3"/>
    <n v="10.94770555555556"/>
    <n v="10.466133915343891"/>
    <n v="4.5615439814814834E-2"/>
    <n v="4.3608891313932883E-2"/>
    <n v="1"/>
    <n v="0.54738527777777801"/>
  </r>
  <r>
    <n v="1077"/>
    <x v="4"/>
    <n v="11.43016083333333"/>
    <n v="10.958091874999999"/>
    <n v="4.7625670138888875E-2"/>
    <n v="4.5658716145833333E-2"/>
    <n v="1"/>
    <n v="0.57150804166666647"/>
  </r>
  <r>
    <n v="1077"/>
    <x v="5"/>
    <n v="10.95655472222222"/>
    <n v="10.92766679166667"/>
    <n v="4.5652311342592587E-2"/>
    <n v="4.5531944965277793E-2"/>
    <n v="1"/>
    <n v="0.54782773611111102"/>
  </r>
  <r>
    <n v="1077"/>
    <x v="6"/>
    <n v="10.9561575"/>
    <n v="10.834406625"/>
    <n v="4.5650656249999998E-2"/>
    <n v="4.5143360937499995E-2"/>
    <n v="1"/>
    <n v="0.54780787499999994"/>
  </r>
  <r>
    <n v="1077"/>
    <x v="7"/>
    <n v="10.960802777777779"/>
    <n v="10.93128032608695"/>
    <n v="4.5670011574074076E-2"/>
    <n v="4.5547001358695625E-2"/>
    <n v="1"/>
    <n v="0.54804013888888892"/>
  </r>
  <r>
    <n v="1077"/>
    <x v="8"/>
    <n v="11.86287583333333"/>
    <n v="11.00450354166667"/>
    <n v="4.9428649305555544E-2"/>
    <n v="4.5852098090277793E-2"/>
    <n v="1"/>
    <n v="0.59314379166666653"/>
  </r>
  <r>
    <n v="1077"/>
    <x v="9"/>
    <n v="10.94105722222222"/>
    <n v="10.8904037752525"/>
    <n v="4.5587738425925915E-2"/>
    <n v="4.5376682396885415E-2"/>
    <n v="1"/>
    <n v="0.54705286111111096"/>
  </r>
  <r>
    <n v="1077"/>
    <x v="10"/>
    <n v="12.187718333333329"/>
    <n v="10.97418419191917"/>
    <n v="5.0782159722222199E-2"/>
    <n v="4.5725767466329871E-2"/>
    <n v="1"/>
    <n v="0.60938591666666642"/>
  </r>
  <r>
    <n v="1077"/>
    <x v="11"/>
    <n v="11.723117500000001"/>
    <n v="10.86299707671945"/>
    <n v="4.8846322916666664E-2"/>
    <n v="4.5262487819664375E-2"/>
    <n v="1"/>
    <n v="0.58615587499999999"/>
  </r>
  <r>
    <n v="1078"/>
    <x v="0"/>
    <n v="10.240555555555554"/>
    <n v="9.4386111111111113"/>
    <n v="4.2668981481481481E-2"/>
    <n v="3.9327546296296298E-2"/>
    <n v="1"/>
    <n v="0.51202777777777775"/>
  </r>
  <r>
    <n v="1078"/>
    <x v="1"/>
    <n v="11.950258333333331"/>
    <n v="11.494248901515"/>
    <n v="4.979274305555554E-2"/>
    <n v="4.78927037563125E-2"/>
    <n v="1"/>
    <n v="0.5975129166666665"/>
  </r>
  <r>
    <n v="1078"/>
    <x v="2"/>
    <n v="9.3335477777777776"/>
    <n v="6.099845208333333"/>
    <n v="3.8889782407407404E-2"/>
    <n v="2.5416021701388888E-2"/>
    <n v="1"/>
    <n v="0.46667738888888888"/>
  </r>
  <r>
    <n v="1078"/>
    <x v="3"/>
    <n v="6.6681197222222224"/>
    <n v="5.4587980291002776"/>
    <n v="2.7783832175925924E-2"/>
    <n v="2.2744991787917824E-2"/>
    <n v="1"/>
    <n v="0.33340598611111111"/>
  </r>
  <r>
    <n v="1078"/>
    <x v="4"/>
    <n v="11.950294444444451"/>
    <n v="9.1886168749999992"/>
    <n v="4.9792893518518545E-2"/>
    <n v="3.8285903645833334E-2"/>
    <n v="1"/>
    <n v="0.59751472222222257"/>
  </r>
  <r>
    <n v="1078"/>
    <x v="5"/>
    <n v="11.979952777777781"/>
    <n v="11.74944426388889"/>
    <n v="4.9916469907407418E-2"/>
    <n v="4.8956017766203709E-2"/>
    <n v="1"/>
    <n v="0.59899763888888902"/>
  </r>
  <r>
    <n v="1078"/>
    <x v="6"/>
    <n v="11.70518361111111"/>
    <n v="11.108222526455"/>
    <n v="4.8771598379629626E-2"/>
    <n v="4.6284260526895833E-2"/>
    <n v="1"/>
    <n v="0.58525918055555548"/>
  </r>
  <r>
    <n v="1078"/>
    <x v="7"/>
    <n v="11.926356388888889"/>
    <n v="11.63946997584528"/>
    <n v="4.9693151620370378E-2"/>
    <n v="4.8497791566021999E-2"/>
    <n v="1"/>
    <n v="0.59631781944444451"/>
  </r>
  <r>
    <n v="1078"/>
    <x v="8"/>
    <n v="11.874990555555559"/>
    <n v="11.630459319444441"/>
    <n v="4.9479127314814832E-2"/>
    <n v="4.8460247164351843E-2"/>
    <n v="1"/>
    <n v="0.59374952777777801"/>
  </r>
  <r>
    <n v="1078"/>
    <x v="9"/>
    <n v="11.70940722222222"/>
    <n v="11.65006046717167"/>
    <n v="4.8789196759259246E-2"/>
    <n v="4.8541918613215294E-2"/>
    <n v="1"/>
    <n v="0.58547036111111095"/>
  </r>
  <r>
    <n v="1078"/>
    <x v="10"/>
    <n v="11.885657222222219"/>
    <n v="11.64625102272722"/>
    <n v="4.9523571759259248E-2"/>
    <n v="4.8526045928030087E-2"/>
    <n v="1"/>
    <n v="0.59428286111111095"/>
  </r>
  <r>
    <n v="1078"/>
    <x v="11"/>
    <n v="11.900966666666671"/>
    <n v="11.596900701058059"/>
    <n v="4.9587361111111124E-2"/>
    <n v="4.8320419587741914E-2"/>
    <n v="1"/>
    <n v="0.59504833333333351"/>
  </r>
  <r>
    <n v="1079"/>
    <x v="0"/>
    <n v="10.101111111111113"/>
    <n v="9.9638888888888903"/>
    <n v="4.2087962962962966E-2"/>
    <n v="4.1516203703703708E-2"/>
    <n v="1"/>
    <n v="0.50505555555555559"/>
  </r>
  <r>
    <n v="1079"/>
    <x v="1"/>
    <n v="10.96555833333333"/>
    <n v="10.71842530303028"/>
    <n v="4.5689826388888875E-2"/>
    <n v="4.4660105429292829E-2"/>
    <n v="1"/>
    <n v="0.54827791666666648"/>
  </r>
  <r>
    <n v="1079"/>
    <x v="2"/>
    <n v="11.3080075"/>
    <n v="10.958767847222219"/>
    <n v="4.7116697916666672E-2"/>
    <n v="4.5661532696759245E-2"/>
    <n v="1"/>
    <n v="0.56540037500000007"/>
  </r>
  <r>
    <n v="1079"/>
    <x v="3"/>
    <n v="10.98594555555556"/>
    <n v="10.87883834656083"/>
    <n v="4.5774773148148172E-2"/>
    <n v="4.532849311067013E-2"/>
    <n v="1"/>
    <n v="0.54929727777777804"/>
  </r>
  <r>
    <n v="1079"/>
    <x v="4"/>
    <n v="11.01215861111111"/>
    <n v="10.957111888888891"/>
    <n v="4.5883994212962957E-2"/>
    <n v="4.565463287037038E-2"/>
    <n v="1"/>
    <n v="0.55060793055555546"/>
  </r>
  <r>
    <n v="1079"/>
    <x v="5"/>
    <n v="11.01984805555556"/>
    <n v="10.946151319444439"/>
    <n v="4.5916033564814829E-2"/>
    <n v="4.5608963831018499E-2"/>
    <n v="1"/>
    <n v="0.55099240277777795"/>
  </r>
  <r>
    <n v="1079"/>
    <x v="6"/>
    <n v="10.99918722222222"/>
    <n v="10.444152552909999"/>
    <n v="4.5829946759259249E-2"/>
    <n v="4.3517302303791666E-2"/>
    <n v="1"/>
    <n v="0.54995936111111099"/>
  </r>
  <r>
    <n v="1079"/>
    <x v="7"/>
    <n v="11.01850388888889"/>
    <n v="10.97077097826083"/>
    <n v="4.5910432870370381E-2"/>
    <n v="4.5711545742753462E-2"/>
    <n v="1"/>
    <n v="0.55092519444444454"/>
  </r>
  <r>
    <n v="1079"/>
    <x v="8"/>
    <n v="10.967126944444439"/>
    <n v="10.922806069444441"/>
    <n v="4.5696362268518496E-2"/>
    <n v="4.5511691956018507E-2"/>
    <n v="1"/>
    <n v="0.54835634722222193"/>
  </r>
  <r>
    <n v="1079"/>
    <x v="9"/>
    <n v="10.973869444444439"/>
    <n v="10.92616905303028"/>
    <n v="4.5724456018518496E-2"/>
    <n v="4.5525704387626174E-2"/>
    <n v="1"/>
    <n v="0.54869347222222198"/>
  </r>
  <r>
    <n v="1079"/>
    <x v="10"/>
    <n v="10.99133055555555"/>
    <n v="10.93817244949472"/>
    <n v="4.5797210648148123E-2"/>
    <n v="4.5575718539561334E-2"/>
    <n v="1"/>
    <n v="0.54956652777777748"/>
  </r>
  <r>
    <n v="1079"/>
    <x v="11"/>
    <n v="10.97043027777778"/>
    <n v="10.904301626983891"/>
    <n v="4.5710126157407417E-2"/>
    <n v="4.5434590112432872E-2"/>
    <n v="1"/>
    <n v="0.54852151388888903"/>
  </r>
  <r>
    <n v="1080"/>
    <x v="0"/>
    <n v="10.048055555555555"/>
    <n v="9.8322222222222209"/>
    <n v="4.1866898148148146E-2"/>
    <n v="4.096759259259259E-2"/>
    <n v="1"/>
    <n v="0.50240277777777775"/>
  </r>
  <r>
    <n v="1080"/>
    <x v="1"/>
    <n v="11.129524999999999"/>
    <n v="10.58393566919167"/>
    <n v="4.6373020833333334E-2"/>
    <n v="4.4099731954965284E-2"/>
    <n v="1"/>
    <n v="0.55647625000000001"/>
  </r>
  <r>
    <n v="1080"/>
    <x v="2"/>
    <n v="11.16150166666667"/>
    <n v="11.01897061111111"/>
    <n v="4.6506256944444456E-2"/>
    <n v="4.591237754629629E-2"/>
    <n v="1"/>
    <n v="0.55807508333333344"/>
  </r>
  <r>
    <n v="1080"/>
    <x v="3"/>
    <n v="11.15649638888889"/>
    <n v="10.67338766666667"/>
    <n v="4.6485401620370376E-2"/>
    <n v="4.4472448611111125E-2"/>
    <n v="1"/>
    <n v="0.55782481944444451"/>
  </r>
  <r>
    <n v="1080"/>
    <x v="4"/>
    <n v="10.88285555555556"/>
    <n v="10.765687840908891"/>
    <n v="4.53452314814815E-2"/>
    <n v="4.4857032670453711E-2"/>
    <n v="1"/>
    <n v="0.54414277777777798"/>
  </r>
  <r>
    <n v="1080"/>
    <x v="5"/>
    <n v="10.890775833333331"/>
    <n v="10.667683555555559"/>
    <n v="4.5378232638888877E-2"/>
    <n v="4.444868148148149E-2"/>
    <n v="1"/>
    <n v="0.54453879166666652"/>
  </r>
  <r>
    <n v="1080"/>
    <x v="6"/>
    <n v="10.88532222222222"/>
    <n v="10.633413624999999"/>
    <n v="4.5355509259259248E-2"/>
    <n v="4.4305890104166662E-2"/>
    <n v="1"/>
    <n v="0.54426611111111101"/>
  </r>
  <r>
    <n v="1080"/>
    <x v="7"/>
    <n v="10.890195555555559"/>
    <n v="10.841028804347779"/>
    <n v="4.5375814814814834E-2"/>
    <n v="4.5170953351449078E-2"/>
    <n v="1"/>
    <n v="0.54450977777777798"/>
  </r>
  <r>
    <n v="1080"/>
    <x v="8"/>
    <n v="10.854091666666671"/>
    <n v="10.75837754166667"/>
    <n v="4.5225381944444455E-2"/>
    <n v="4.4826573090277794E-2"/>
    <n v="1"/>
    <n v="0.54270458333333349"/>
  </r>
  <r>
    <n v="1080"/>
    <x v="9"/>
    <n v="10.859242500000001"/>
    <n v="10.766313939393889"/>
    <n v="4.5246843750000008E-2"/>
    <n v="4.4859641414141206E-2"/>
    <n v="1"/>
    <n v="0.54296212500000007"/>
  </r>
  <r>
    <n v="1080"/>
    <x v="10"/>
    <n v="10.86219805555556"/>
    <n v="10.500492391304171"/>
    <n v="4.5259158564814828E-2"/>
    <n v="4.3752051630434045E-2"/>
    <n v="1"/>
    <n v="0.54310990277777793"/>
  </r>
  <r>
    <n v="1080"/>
    <x v="11"/>
    <n v="11.001389722222219"/>
    <n v="10.77641406084639"/>
    <n v="4.5839123842592581E-2"/>
    <n v="4.4901725253526627E-2"/>
    <n v="1"/>
    <n v="0.55006948611111095"/>
  </r>
  <r>
    <n v="1081"/>
    <x v="0"/>
    <n v="9.9047222222222224"/>
    <n v="6.5911111111111103"/>
    <n v="4.1269675925925925E-2"/>
    <n v="2.7462962962962956E-2"/>
    <n v="1"/>
    <n v="0.4952361111111111"/>
  </r>
  <r>
    <n v="1081"/>
    <x v="1"/>
    <n v="7.8132852777777781"/>
    <n v="6.5436019065655557"/>
    <n v="3.2555355324074074E-2"/>
    <n v="2.7265007944023149E-2"/>
    <n v="1"/>
    <n v="0.39066426388888886"/>
  </r>
  <r>
    <n v="1081"/>
    <x v="2"/>
    <n v="9.2299163888888884"/>
    <n v="7.1383724722222226"/>
    <n v="3.84579849537037E-2"/>
    <n v="2.9743218634259262E-2"/>
    <n v="1"/>
    <n v="0.4614958194444444"/>
  </r>
  <r>
    <n v="1081"/>
    <x v="3"/>
    <n v="10.54255583333333"/>
    <n v="6.7684606084655554"/>
    <n v="4.3927315972222207E-2"/>
    <n v="2.8201919201939814E-2"/>
    <n v="1"/>
    <n v="0.52712779166666646"/>
  </r>
  <r>
    <n v="1081"/>
    <x v="4"/>
    <n v="7.2805055555555551"/>
    <n v="6.9504918194444443"/>
    <n v="3.0335439814814815E-2"/>
    <n v="2.8960382581018518E-2"/>
    <n v="1"/>
    <n v="0.36402527777777777"/>
  </r>
  <r>
    <n v="1081"/>
    <x v="5"/>
    <n v="9.6881119444444437"/>
    <n v="6.9071535138888889"/>
    <n v="4.0367133101851853E-2"/>
    <n v="2.877980630787037E-2"/>
    <n v="1"/>
    <n v="0.48440559722222221"/>
  </r>
  <r>
    <n v="1081"/>
    <x v="6"/>
    <n v="12.060656944444441"/>
    <n v="7.3651673809522222"/>
    <n v="5.0252737268518505E-2"/>
    <n v="3.068819742063426E-2"/>
    <n v="1"/>
    <n v="0.60303284722222206"/>
  </r>
  <r>
    <n v="1081"/>
    <x v="7"/>
    <n v="12.456596111111111"/>
    <n v="7.9805817512074997"/>
    <n v="5.1902483796296299E-2"/>
    <n v="3.3252423963364579E-2"/>
    <n v="1"/>
    <n v="0.62282980555555556"/>
  </r>
  <r>
    <n v="1081"/>
    <x v="8"/>
    <n v="10.004945833333331"/>
    <n v="7.0923520833333331"/>
    <n v="4.1687274305555543E-2"/>
    <n v="2.9551467013888888E-2"/>
    <n v="1"/>
    <n v="0.50024729166666648"/>
  </r>
  <r>
    <n v="1081"/>
    <x v="9"/>
    <n v="13.410901666666669"/>
    <n v="7.52382260101"/>
    <n v="5.5878756944444462E-2"/>
    <n v="3.1349260837541665E-2"/>
    <n v="1"/>
    <n v="0.67054508333333351"/>
  </r>
  <r>
    <n v="1081"/>
    <x v="10"/>
    <n v="13.06836833333333"/>
    <n v="7.186829204545278"/>
    <n v="5.4451534722222215E-2"/>
    <n v="2.9945121685605324E-2"/>
    <n v="1"/>
    <n v="0.65341841666666656"/>
  </r>
  <r>
    <n v="1081"/>
    <x v="11"/>
    <n v="13.29820472222222"/>
    <n v="7.6334766798941667"/>
    <n v="5.5409186342592585E-2"/>
    <n v="3.1806152832892363E-2"/>
    <n v="1"/>
    <n v="0.664910236111111"/>
  </r>
  <r>
    <n v="1082"/>
    <x v="0"/>
    <n v="9.7138888888888903"/>
    <n v="8.1125000000000007"/>
    <n v="4.0474537037037045E-2"/>
    <n v="3.3802083333333337E-2"/>
    <n v="1"/>
    <n v="0.48569444444444454"/>
  </r>
  <r>
    <n v="1082"/>
    <x v="1"/>
    <n v="22.826178611111111"/>
    <n v="22.529627449494718"/>
    <n v="9.5109077546296286E-2"/>
    <n v="9.3873447706228005E-2"/>
    <n v="2"/>
    <n v="1.1413089305555555"/>
  </r>
  <r>
    <n v="1082"/>
    <x v="2"/>
    <n v="22.820715"/>
    <n v="22.642058458333331"/>
    <n v="9.5086312499999992E-2"/>
    <n v="9.4341910243055549E-2"/>
    <n v="2"/>
    <n v="1.1410357499999999"/>
  </r>
  <r>
    <n v="1082"/>
    <x v="3"/>
    <n v="22.82527138888889"/>
    <n v="22.711031005290831"/>
    <n v="9.5105297453703705E-2"/>
    <n v="9.4629295855378451E-2"/>
    <n v="2"/>
    <n v="1.1412635694444444"/>
  </r>
  <r>
    <n v="1082"/>
    <x v="4"/>
    <n v="13.49182527777778"/>
    <n v="4.009385833333333"/>
    <n v="5.621593865740742E-2"/>
    <n v="1.6705774305555556E-2"/>
    <n v="1"/>
    <n v="0.67459126388888901"/>
  </r>
  <r>
    <n v="1082"/>
    <x v="5"/>
    <n v="5.5119630555555554"/>
    <n v="3.8052317638888891"/>
    <n v="2.2966512731481481E-2"/>
    <n v="1.5855132349537036E-2"/>
    <n v="1"/>
    <n v="0.27559815277777777"/>
  </r>
  <r>
    <n v="1082"/>
    <x v="6"/>
    <n v="5.1838422222222222"/>
    <n v="3.5310836640211112"/>
    <n v="2.1599342592592594E-2"/>
    <n v="1.4712848600087964E-2"/>
    <n v="1"/>
    <n v="0.25919211111111112"/>
  </r>
  <r>
    <n v="1082"/>
    <x v="7"/>
    <n v="4.5207752777777781"/>
    <n v="3.530698369565"/>
    <n v="1.883656365740741E-2"/>
    <n v="1.4711243206520834E-2"/>
    <n v="1"/>
    <n v="0.22603876388888894"/>
  </r>
  <r>
    <n v="1082"/>
    <x v="8"/>
    <n v="4.5061805555555559"/>
    <n v="3.5147406944444439"/>
    <n v="1.8775752314814816E-2"/>
    <n v="1.4644752893518515E-2"/>
    <n v="1"/>
    <n v="0.22530902777777778"/>
  </r>
  <r>
    <n v="1082"/>
    <x v="9"/>
    <n v="5.2973549999999996"/>
    <n v="3.7912103535352779"/>
    <n v="2.2072312499999996E-2"/>
    <n v="1.5796709806396993E-2"/>
    <n v="1"/>
    <n v="0.26486774999999996"/>
  </r>
  <r>
    <n v="1082"/>
    <x v="10"/>
    <n v="4.6606411111111106"/>
    <n v="3.6345329671716669"/>
    <n v="1.9419337962962961E-2"/>
    <n v="1.5143887363215279E-2"/>
    <n v="1"/>
    <n v="0.23303205555555553"/>
  </r>
  <r>
    <n v="1082"/>
    <x v="11"/>
    <n v="4.920319444444444"/>
    <n v="3.6498674603172221"/>
    <n v="2.0501331018518518E-2"/>
    <n v="1.5207781084655092E-2"/>
    <n v="1"/>
    <n v="0.24601597222222221"/>
  </r>
  <r>
    <n v="1083"/>
    <x v="0"/>
    <n v="9.442499999999999"/>
    <n v="8.9563888888888883"/>
    <n v="3.9343749999999997E-2"/>
    <n v="3.7318287037037039E-2"/>
    <n v="1"/>
    <n v="0.47212499999999996"/>
  </r>
  <r>
    <n v="1083"/>
    <x v="1"/>
    <n v="10.245148333333329"/>
    <n v="9.8916008712119439"/>
    <n v="4.2688118055555536E-2"/>
    <n v="4.1215003630049769E-2"/>
    <n v="1"/>
    <n v="0.51225741666666647"/>
  </r>
  <r>
    <n v="1083"/>
    <x v="2"/>
    <n v="10.24330944444444"/>
    <n v="9.738059319444444"/>
    <n v="4.2680456018518498E-2"/>
    <n v="4.0575247164351853E-2"/>
    <n v="1"/>
    <n v="0.51216547222222197"/>
  </r>
  <r>
    <n v="1083"/>
    <x v="3"/>
    <n v="10.184978611111109"/>
    <n v="9.6854121031744445"/>
    <n v="4.2437410879629621E-2"/>
    <n v="4.0355883763226852E-2"/>
    <n v="1"/>
    <n v="0.50924893055555542"/>
  </r>
  <r>
    <n v="1083"/>
    <x v="4"/>
    <n v="10.192423888888889"/>
    <n v="10.009325125"/>
    <n v="4.2468432870370366E-2"/>
    <n v="4.1705521354166664E-2"/>
    <n v="1"/>
    <n v="0.50962119444444443"/>
  </r>
  <r>
    <n v="1083"/>
    <x v="5"/>
    <n v="10.21355555555555"/>
    <n v="8.5660930833333335"/>
    <n v="4.2556481481481452E-2"/>
    <n v="3.5692054513888891E-2"/>
    <n v="1"/>
    <n v="0.51067777777777745"/>
  </r>
  <r>
    <n v="1083"/>
    <x v="6"/>
    <n v="10.17104138888889"/>
    <n v="9.558880952380834"/>
    <n v="4.2379339120370375E-2"/>
    <n v="3.9828670634920141E-2"/>
    <n v="1"/>
    <n v="0.50855206944444453"/>
  </r>
  <r>
    <n v="1083"/>
    <x v="7"/>
    <n v="10.180623055555561"/>
    <n v="10.058157451690549"/>
    <n v="4.24192627314815E-2"/>
    <n v="4.190898938204396E-2"/>
    <n v="1"/>
    <n v="0.509031152777778"/>
  </r>
  <r>
    <n v="1083"/>
    <x v="8"/>
    <n v="10.150033333333329"/>
    <n v="9.9512283055555564"/>
    <n v="4.2291805555555541E-2"/>
    <n v="4.1463451273148148E-2"/>
    <n v="1"/>
    <n v="0.50750166666666652"/>
  </r>
  <r>
    <n v="1083"/>
    <x v="9"/>
    <n v="10.47630361111111"/>
    <n v="10.05197222222222"/>
    <n v="4.3651265046296295E-2"/>
    <n v="4.1883217592592586E-2"/>
    <n v="1"/>
    <n v="0.52381518055555554"/>
  </r>
  <r>
    <n v="1083"/>
    <x v="10"/>
    <n v="10.89740388888889"/>
    <n v="9.9894473106058328"/>
    <n v="4.5405849537037045E-2"/>
    <n v="4.1622697127524304E-2"/>
    <n v="1"/>
    <n v="0.54487019444444451"/>
  </r>
  <r>
    <n v="1083"/>
    <x v="11"/>
    <n v="10.35232027777778"/>
    <n v="9.976110317460277"/>
    <n v="4.3134667824074081E-2"/>
    <n v="4.1567126322751155E-2"/>
    <n v="1"/>
    <n v="0.517616013888889"/>
  </r>
  <r>
    <n v="1084"/>
    <x v="0"/>
    <n v="9.4333333333333336"/>
    <n v="2.8713888888888888"/>
    <n v="3.9305555555555559E-2"/>
    <n v="1.196412037037037E-2"/>
    <n v="1"/>
    <n v="0.47166666666666668"/>
  </r>
  <r>
    <n v="1084"/>
    <x v="1"/>
    <n v="8.9037000000000006"/>
    <n v="3.1179038011694451"/>
    <n v="3.7098750000000007E-2"/>
    <n v="1.299126583820602E-2"/>
    <n v="1"/>
    <n v="0.44518500000000005"/>
  </r>
  <r>
    <n v="1084"/>
    <x v="2"/>
    <n v="7.6196383333333344"/>
    <n v="3.4086521250000001"/>
    <n v="3.1748493055555556E-2"/>
    <n v="1.42027171875E-2"/>
    <n v="1"/>
    <n v="0.3809819166666667"/>
  </r>
  <r>
    <n v="1084"/>
    <x v="3"/>
    <n v="9.2818675000000006"/>
    <n v="2.9531810052908329"/>
    <n v="3.8674447916666667E-2"/>
    <n v="1.2304920855378472E-2"/>
    <n v="1"/>
    <n v="0.46409337500000003"/>
  </r>
  <r>
    <n v="1084"/>
    <x v="4"/>
    <n v="10.29631222222222"/>
    <n v="3.0692236419752779"/>
    <n v="4.2901300925925916E-2"/>
    <n v="1.2788431841563657E-2"/>
    <n v="1"/>
    <n v="0.51481561111111096"/>
  </r>
  <r>
    <n v="1084"/>
    <x v="5"/>
    <n v="10.45597888888889"/>
    <n v="4.2164920029238893"/>
    <n v="4.3566578703703708E-2"/>
    <n v="1.7568716678849541E-2"/>
    <n v="1"/>
    <n v="0.52279894444444452"/>
  </r>
  <r>
    <n v="1084"/>
    <x v="6"/>
    <n v="8.9432330555555559"/>
    <n v="3.3630134305555561"/>
    <n v="3.726347106481482E-2"/>
    <n v="1.4012555960648149E-2"/>
    <n v="1"/>
    <n v="0.44716165277777786"/>
  </r>
  <r>
    <n v="1084"/>
    <x v="7"/>
    <n v="13.108458055555561"/>
    <n v="2.901895555555555"/>
    <n v="5.4618575231481503E-2"/>
    <n v="1.2091231481481479E-2"/>
    <n v="1"/>
    <n v="0.65542290277777804"/>
  </r>
  <r>
    <n v="1084"/>
    <x v="8"/>
    <n v="11.542979722222221"/>
    <n v="2.8260231944444438"/>
    <n v="4.809574884259258E-2"/>
    <n v="1.1775096643518515E-2"/>
    <n v="1"/>
    <n v="0.57714898611111098"/>
  </r>
  <r>
    <n v="1084"/>
    <x v="9"/>
    <n v="8.9745238888888892"/>
    <n v="2.1871737247472218"/>
    <n v="3.739384953703704E-2"/>
    <n v="9.1132238531134238E-3"/>
    <n v="1"/>
    <n v="0.4487261944444445"/>
  </r>
  <r>
    <n v="1084"/>
    <x v="10"/>
    <n v="13.087601111111111"/>
    <n v="3.698315423280278"/>
    <n v="5.4531671296296297E-2"/>
    <n v="1.5409647597001157E-2"/>
    <n v="1"/>
    <n v="0.65438005555555556"/>
  </r>
  <r>
    <n v="1084"/>
    <x v="11"/>
    <n v="10.9831375"/>
    <n v="2.713666058200833"/>
    <n v="4.5763072916666668E-2"/>
    <n v="1.1306941909170138E-2"/>
    <n v="1"/>
    <n v="0.54915687499999999"/>
  </r>
  <r>
    <n v="1085"/>
    <x v="0"/>
    <n v="9.4149999999999991"/>
    <n v="4.3605555555555551"/>
    <n v="3.9229166666666662E-2"/>
    <n v="1.816898148148148E-2"/>
    <n v="1"/>
    <n v="0.47074999999999995"/>
  </r>
  <r>
    <n v="1085"/>
    <x v="1"/>
    <n v="13.871437500000001"/>
    <n v="5.7812630050502776"/>
    <n v="5.7797656250000003E-2"/>
    <n v="2.4088595854376157E-2"/>
    <n v="1"/>
    <n v="0.69357187500000006"/>
  </r>
  <r>
    <n v="1085"/>
    <x v="2"/>
    <n v="19.184753888888888"/>
    <n v="5.5711414043208336"/>
    <n v="7.9936474537037033E-2"/>
    <n v="2.3213089184670143E-2"/>
    <n v="1"/>
    <n v="0.9592376944444444"/>
  </r>
  <r>
    <n v="1085"/>
    <x v="3"/>
    <n v="7.9190399999999999"/>
    <n v="4.5241725396824997"/>
    <n v="3.2995999999999998E-2"/>
    <n v="1.8850718915343748E-2"/>
    <n v="1"/>
    <n v="0.39595199999999997"/>
  </r>
  <r>
    <n v="1085"/>
    <x v="4"/>
    <n v="6.3911888888888893"/>
    <n v="4.3120283472222223"/>
    <n v="2.6629953703703704E-2"/>
    <n v="1.7966784780092591E-2"/>
    <n v="1"/>
    <n v="0.31955944444444445"/>
  </r>
  <r>
    <n v="1085"/>
    <x v="5"/>
    <n v="7.5545658333333332"/>
    <n v="3.8556922083333331"/>
    <n v="3.1477357638888891E-2"/>
    <n v="1.606538420138889E-2"/>
    <n v="1"/>
    <n v="0.37772829166666666"/>
  </r>
  <r>
    <n v="1085"/>
    <x v="6"/>
    <n v="7.7636630555555559"/>
    <n v="3.912318624338611"/>
    <n v="3.234859606481482E-2"/>
    <n v="1.630132760141088E-2"/>
    <n v="1"/>
    <n v="0.38818315277777782"/>
  </r>
  <r>
    <n v="1085"/>
    <x v="7"/>
    <n v="6.8328813888888886"/>
    <n v="4.119570036231667"/>
    <n v="2.8470339120370367E-2"/>
    <n v="1.7164875150965278E-2"/>
    <n v="1"/>
    <n v="0.34164406944444442"/>
  </r>
  <r>
    <n v="1085"/>
    <x v="8"/>
    <n v="8.2879541666666672"/>
    <n v="5.2277726388888892"/>
    <n v="3.4533142361111109E-2"/>
    <n v="2.1782385995370371E-2"/>
    <n v="1"/>
    <n v="0.41439770833333334"/>
  </r>
  <r>
    <n v="1085"/>
    <x v="9"/>
    <n v="19.86590277777778"/>
    <n v="5.1602925757575004"/>
    <n v="8.277459490740742E-2"/>
    <n v="2.150121906565625E-2"/>
    <n v="1"/>
    <n v="0.9932951388888891"/>
  </r>
  <r>
    <n v="1085"/>
    <x v="10"/>
    <n v="7.9519177777777781"/>
    <n v="4.8527828409088887"/>
    <n v="3.3132990740740741E-2"/>
    <n v="2.0219928503787035E-2"/>
    <n v="1"/>
    <n v="0.39759588888888886"/>
  </r>
  <r>
    <n v="1085"/>
    <x v="11"/>
    <n v="7.3538627777777776"/>
    <n v="5.0094651058200004"/>
    <n v="3.0641094907407407E-2"/>
    <n v="2.0872771274249999E-2"/>
    <n v="1"/>
    <n v="0.36769313888888888"/>
  </r>
  <r>
    <n v="1086"/>
    <x v="0"/>
    <n v="18.549444444444443"/>
    <n v="7.0252777777777773"/>
    <n v="7.7289351851851845E-2"/>
    <n v="2.9271990740740741E-2"/>
    <n v="1"/>
    <n v="0.92747222222222214"/>
  </r>
  <r>
    <n v="1086"/>
    <x v="1"/>
    <n v="26.972752222222219"/>
    <n v="24.186109785353331"/>
    <n v="0.11238646759259258"/>
    <n v="0.1007754574389722"/>
    <n v="2"/>
    <n v="1.3486376111111109"/>
  </r>
  <r>
    <n v="1086"/>
    <x v="2"/>
    <n v="26.901117500000002"/>
    <n v="14.372375944444441"/>
    <n v="0.11208798958333334"/>
    <n v="5.9884899768518497E-2"/>
    <n v="2"/>
    <n v="1.3450558750000001"/>
  </r>
  <r>
    <n v="1086"/>
    <x v="3"/>
    <n v="56.188894444444443"/>
    <n v="3.3887749999999999"/>
    <n v="0.23412039351851852"/>
    <n v="1.4119895833333333E-2"/>
    <n v="3"/>
    <n v="2.8094447222222221"/>
  </r>
  <r>
    <n v="1086"/>
    <x v="4"/>
    <n v="0.96115916666666668"/>
    <n v="0.1237369027777778"/>
    <n v="4.0048298611111109E-3"/>
    <n v="5.1557042824074085E-4"/>
    <n v="1"/>
    <n v="4.8057958333333331E-2"/>
  </r>
  <r>
    <n v="1086"/>
    <x v="5"/>
    <n v="0.27263305555555561"/>
    <n v="7.9012326388888887E-2"/>
    <n v="1.1359710648148151E-3"/>
    <n v="3.292180266203704E-4"/>
    <n v="1"/>
    <n v="1.3631652777777781E-2"/>
  </r>
  <r>
    <n v="1087"/>
    <x v="0"/>
    <n v="9.2211111111111101"/>
    <n v="9.0908333333333342"/>
    <n v="3.8421296296296294E-2"/>
    <n v="3.787847222222223E-2"/>
    <n v="1"/>
    <n v="0.46105555555555555"/>
  </r>
  <r>
    <n v="1087"/>
    <x v="1"/>
    <n v="10.040634166666671"/>
    <n v="9.882079191919166"/>
    <n v="4.1835975694444465E-2"/>
    <n v="4.117532996632986E-2"/>
    <n v="1"/>
    <n v="0.50203170833333355"/>
  </r>
  <r>
    <n v="1087"/>
    <x v="2"/>
    <n v="10.04767222222222"/>
    <n v="9.938548472222223"/>
    <n v="4.1865300925925913E-2"/>
    <n v="4.1410618634259259E-2"/>
    <n v="1"/>
    <n v="0.50238361111111096"/>
  </r>
  <r>
    <n v="1087"/>
    <x v="3"/>
    <n v="10.044596388888889"/>
    <n v="9.860170939153333"/>
    <n v="4.1852484953703702E-2"/>
    <n v="4.1084045579805557E-2"/>
    <n v="1"/>
    <n v="0.50222981944444445"/>
  </r>
  <r>
    <n v="1087"/>
    <x v="4"/>
    <n v="10.08401388888889"/>
    <n v="9.8238663611111114"/>
    <n v="4.2016724537037038E-2"/>
    <n v="4.0932776504629627E-2"/>
    <n v="1"/>
    <n v="0.50420069444444449"/>
  </r>
  <r>
    <n v="1087"/>
    <x v="5"/>
    <n v="10.044487222222219"/>
    <n v="9.959023222222223"/>
    <n v="4.1852030092592585E-2"/>
    <n v="4.1495930092592594E-2"/>
    <n v="1"/>
    <n v="0.50222436111111102"/>
  </r>
  <r>
    <n v="1087"/>
    <x v="6"/>
    <n v="10.04586388888889"/>
    <n v="9.8598272777777769"/>
    <n v="4.1857766203703711E-2"/>
    <n v="4.1082613657407403E-2"/>
    <n v="1"/>
    <n v="0.50229319444444454"/>
  </r>
  <r>
    <n v="1087"/>
    <x v="7"/>
    <n v="10.20943611111111"/>
    <n v="9.9926185024152776"/>
    <n v="4.2539317129629627E-2"/>
    <n v="4.1635910426730323E-2"/>
    <n v="1"/>
    <n v="0.51047180555555549"/>
  </r>
  <r>
    <n v="1087"/>
    <x v="8"/>
    <n v="10.018212222222219"/>
    <n v="9.9469856527777782"/>
    <n v="4.1742550925925916E-2"/>
    <n v="4.1445773553240743E-2"/>
    <n v="1"/>
    <n v="0.50091061111111101"/>
  </r>
  <r>
    <n v="1087"/>
    <x v="9"/>
    <n v="10.02109611111111"/>
    <n v="9.9593144570705547"/>
    <n v="4.1754567129629626E-2"/>
    <n v="4.1497143571127312E-2"/>
    <n v="1"/>
    <n v="0.50105480555555548"/>
  </r>
  <r>
    <n v="1087"/>
    <x v="10"/>
    <n v="10.07889611111111"/>
    <n v="9.9405596717169438"/>
    <n v="4.1995400462962962E-2"/>
    <n v="4.1418998632153932E-2"/>
    <n v="1"/>
    <n v="0.50394480555555554"/>
  </r>
  <r>
    <n v="1087"/>
    <x v="11"/>
    <n v="10.01556111111111"/>
    <n v="9.9261978306877783"/>
    <n v="4.1731504629629622E-2"/>
    <n v="4.1359157627865746E-2"/>
    <n v="1"/>
    <n v="0.50077805555555543"/>
  </r>
  <r>
    <n v="1088"/>
    <x v="0"/>
    <n v="9.1505555555555542"/>
    <n v="9.0605555555555561"/>
    <n v="3.8127314814814808E-2"/>
    <n v="3.7752314814814815E-2"/>
    <n v="1"/>
    <n v="0.4575277777777777"/>
  </r>
  <r>
    <n v="1088"/>
    <x v="1"/>
    <n v="9.977321388888889"/>
    <n v="9.8141076136361107"/>
    <n v="4.1572172453703704E-2"/>
    <n v="4.0892115056817127E-2"/>
    <n v="1"/>
    <n v="0.49886606944444445"/>
  </r>
  <r>
    <n v="1088"/>
    <x v="2"/>
    <n v="9.9755000000000003"/>
    <n v="9.9169425138888894"/>
    <n v="4.1564583333333335E-2"/>
    <n v="4.1320593807870371E-2"/>
    <n v="1"/>
    <n v="0.49877500000000002"/>
  </r>
  <r>
    <n v="1088"/>
    <x v="3"/>
    <n v="9.963719444444445"/>
    <n v="9.8394300000000001"/>
    <n v="4.1515497685185192E-2"/>
    <n v="4.0997625000000003E-2"/>
    <n v="1"/>
    <n v="0.49818597222222227"/>
  </r>
  <r>
    <n v="1088"/>
    <x v="4"/>
    <n v="9.9622825000000006"/>
    <n v="9.9304938055555549"/>
    <n v="4.1509510416666666E-2"/>
    <n v="4.1377057523148145E-2"/>
    <n v="1"/>
    <n v="0.49811412499999996"/>
  </r>
  <r>
    <n v="1088"/>
    <x v="5"/>
    <n v="9.9706499999999991"/>
    <n v="9.8282007916666672"/>
    <n v="4.1544374999999995E-2"/>
    <n v="4.0950836631944446E-2"/>
    <n v="1"/>
    <n v="0.49853249999999993"/>
  </r>
  <r>
    <n v="1088"/>
    <x v="6"/>
    <n v="10.03870805555556"/>
    <n v="9.9447362222222218"/>
    <n v="4.1827950231481503E-2"/>
    <n v="4.1436400925925924E-2"/>
    <n v="1"/>
    <n v="0.50193540277777804"/>
  </r>
  <r>
    <n v="1088"/>
    <x v="7"/>
    <n v="9.9712908333333328"/>
    <n v="9.9131475362316674"/>
    <n v="4.1547045138888884E-2"/>
    <n v="4.1304781400965281E-2"/>
    <n v="1"/>
    <n v="0.49856454166666664"/>
  </r>
  <r>
    <n v="1088"/>
    <x v="8"/>
    <n v="9.9473075000000009"/>
    <n v="9.8977786944444439"/>
    <n v="4.144711458333334E-2"/>
    <n v="4.1240744560185179E-2"/>
    <n v="1"/>
    <n v="0.49736537500000011"/>
  </r>
  <r>
    <n v="1088"/>
    <x v="9"/>
    <n v="10.08061861111111"/>
    <n v="9.9180646717169445"/>
    <n v="4.2002577546296292E-2"/>
    <n v="4.1325269465487265E-2"/>
    <n v="1"/>
    <n v="0.50403093055555548"/>
  </r>
  <r>
    <n v="1088"/>
    <x v="10"/>
    <n v="9.9632063888888887"/>
    <n v="9.8989757828280549"/>
    <n v="4.1513359953703706E-2"/>
    <n v="4.1245732428450227E-2"/>
    <n v="1"/>
    <n v="0.4981603194444445"/>
  </r>
  <r>
    <n v="1088"/>
    <x v="11"/>
    <n v="9.9543047222222221"/>
    <n v="9.8237225264550005"/>
    <n v="4.1476269675925929E-2"/>
    <n v="4.0932177193562506E-2"/>
    <n v="1"/>
    <n v="0.49771523611111113"/>
  </r>
  <r>
    <n v="1089"/>
    <x v="0"/>
    <n v="9.0461111111111112"/>
    <n v="8.1636111111111109"/>
    <n v="3.7692129629629631E-2"/>
    <n v="3.4015046296296293E-2"/>
    <n v="1"/>
    <n v="0.45230555555555557"/>
  </r>
  <r>
    <n v="1089"/>
    <x v="1"/>
    <n v="9.018527777777777"/>
    <n v="8.9118661868686111"/>
    <n v="3.7577199074074072E-2"/>
    <n v="3.7132775778619211E-2"/>
    <n v="1"/>
    <n v="0.45092638888888886"/>
  </r>
  <r>
    <n v="1089"/>
    <x v="2"/>
    <n v="10.36280555555556"/>
    <n v="8.9300771111111104"/>
    <n v="4.3178356481481502E-2"/>
    <n v="3.7208654629629627E-2"/>
    <n v="1"/>
    <n v="0.51814027777777805"/>
  </r>
  <r>
    <n v="1089"/>
    <x v="3"/>
    <n v="8.9563483333333327"/>
    <n v="8.7480553306877784"/>
    <n v="3.7318118055555551E-2"/>
    <n v="3.6450230544532412E-2"/>
    <n v="1"/>
    <n v="0.44781741666666663"/>
  </r>
  <r>
    <n v="1089"/>
    <x v="4"/>
    <n v="9.0418516666666662"/>
    <n v="8.1673395000000006"/>
    <n v="3.7674381944444439E-2"/>
    <n v="3.4030581250000004E-2"/>
    <n v="1"/>
    <n v="0.45209258333333324"/>
  </r>
  <r>
    <n v="1089"/>
    <x v="5"/>
    <n v="9.0565813888888886"/>
    <n v="8.9240434305555549"/>
    <n v="3.7735755787037036E-2"/>
    <n v="3.7183514293981479E-2"/>
    <n v="1"/>
    <n v="0.45282906944444445"/>
  </r>
  <r>
    <n v="1089"/>
    <x v="6"/>
    <n v="9.0067130555555561"/>
    <n v="8.4305652116399994"/>
    <n v="3.752797106481482E-2"/>
    <n v="3.5127355048500002E-2"/>
    <n v="1"/>
    <n v="0.45033565277777787"/>
  </r>
  <r>
    <n v="1089"/>
    <x v="7"/>
    <n v="9.1623527777777785"/>
    <n v="8.8768050362316675"/>
    <n v="3.8176469907407411E-2"/>
    <n v="3.6986687650965279E-2"/>
    <n v="1"/>
    <n v="0.4581176388888889"/>
  </r>
  <r>
    <n v="1089"/>
    <x v="8"/>
    <n v="14.52230611111111"/>
    <n v="10.34347004166667"/>
    <n v="6.0509608796296292E-2"/>
    <n v="4.3097791840277788E-2"/>
    <n v="1"/>
    <n v="0.72611530555555548"/>
  </r>
  <r>
    <n v="1089"/>
    <x v="9"/>
    <n v="9.6179583333333341"/>
    <n v="8.8237060227272224"/>
    <n v="4.0074826388888894E-2"/>
    <n v="3.6765441761363427E-2"/>
    <n v="1"/>
    <n v="0.4808979166666667"/>
  </r>
  <r>
    <n v="1089"/>
    <x v="10"/>
    <n v="10.674969166666671"/>
    <n v="8.8878129924241662"/>
    <n v="4.4479038194444459E-2"/>
    <n v="3.7032554135100697E-2"/>
    <n v="1"/>
    <n v="0.53374845833333351"/>
  </r>
  <r>
    <n v="1089"/>
    <x v="11"/>
    <n v="9.1328963888888897"/>
    <n v="8.9166299074072217"/>
    <n v="3.8053734953703705E-2"/>
    <n v="3.7152624614196758E-2"/>
    <n v="1"/>
    <n v="0.45664481944444446"/>
  </r>
  <r>
    <n v="1090"/>
    <x v="0"/>
    <n v="8.8822222222222216"/>
    <n v="1.8369444444444445"/>
    <n v="3.7009259259259256E-2"/>
    <n v="7.6539351851851846E-3"/>
    <n v="1"/>
    <n v="0.44411111111111107"/>
  </r>
  <r>
    <n v="1090"/>
    <x v="1"/>
    <n v="11.906021944444451"/>
    <n v="2.715324936868611"/>
    <n v="4.9608424768518546E-2"/>
    <n v="1.1313853903619213E-2"/>
    <n v="1"/>
    <n v="0.59530109722222257"/>
  </r>
  <r>
    <n v="1090"/>
    <x v="2"/>
    <n v="10.58959472222222"/>
    <n v="2.270959833333333"/>
    <n v="4.4123311342592585E-2"/>
    <n v="9.4623326388888884E-3"/>
    <n v="1"/>
    <n v="0.52947973611111099"/>
  </r>
  <r>
    <n v="1090"/>
    <x v="3"/>
    <n v="11.977575277777779"/>
    <n v="2.0219810978833328"/>
    <n v="4.9906563657407414E-2"/>
    <n v="8.4249212411805531E-3"/>
    <n v="1"/>
    <n v="0.59887876388888894"/>
  </r>
  <r>
    <n v="1090"/>
    <x v="4"/>
    <n v="10.508550833333331"/>
    <n v="2.2239684305555549"/>
    <n v="4.3785628472222206E-2"/>
    <n v="9.2665351273148126E-3"/>
    <n v="1"/>
    <n v="0.5254275416666665"/>
  </r>
  <r>
    <n v="1090"/>
    <x v="5"/>
    <n v="11.95990416666667"/>
    <n v="2.803762847222222"/>
    <n v="4.9832934027777796E-2"/>
    <n v="1.1682345196759258E-2"/>
    <n v="1"/>
    <n v="0.59799520833333353"/>
  </r>
  <r>
    <n v="1090"/>
    <x v="6"/>
    <n v="7.0655216666666663"/>
    <n v="1.6628562222222221"/>
    <n v="2.9439673611111109E-2"/>
    <n v="6.9285675925925922E-3"/>
    <n v="1"/>
    <n v="0.35327608333333332"/>
  </r>
  <r>
    <n v="1090"/>
    <x v="7"/>
    <n v="8.3410449999999994"/>
    <n v="1.8228951811591669"/>
    <n v="3.4754354166666661E-2"/>
    <n v="7.595396588163196E-3"/>
    <n v="1"/>
    <n v="0.4170522499999999"/>
  </r>
  <r>
    <n v="1090"/>
    <x v="8"/>
    <n v="5.5594566666666667"/>
    <n v="1.273359652777778"/>
    <n v="2.3164402777777777E-2"/>
    <n v="5.3056652199074085E-3"/>
    <n v="1"/>
    <n v="0.27797283333333334"/>
  </r>
  <r>
    <n v="1090"/>
    <x v="9"/>
    <n v="7.5480263888888892"/>
    <n v="1.3917904924241671"/>
    <n v="3.1450109953703703E-2"/>
    <n v="5.7991270517673624E-3"/>
    <n v="1"/>
    <n v="0.37740131944444444"/>
  </r>
  <r>
    <n v="1090"/>
    <x v="10"/>
    <n v="11.953816111111109"/>
    <n v="1.9357561363636111"/>
    <n v="4.9807567129629617E-2"/>
    <n v="8.0656505681817123E-3"/>
    <n v="1"/>
    <n v="0.59769080555555543"/>
  </r>
  <r>
    <n v="1090"/>
    <x v="11"/>
    <n v="9.1748458333333325"/>
    <n v="1.9182989947088891"/>
    <n v="3.8228524305555553E-2"/>
    <n v="7.992912477953704E-3"/>
    <n v="1"/>
    <n v="0.45874229166666664"/>
  </r>
  <r>
    <n v="1091"/>
    <x v="0"/>
    <n v="8.7280555555555548"/>
    <n v="2.3977777777777778"/>
    <n v="3.6366898148148148E-2"/>
    <n v="9.990740740740741E-3"/>
    <n v="1"/>
    <n v="0.43640277777777781"/>
  </r>
  <r>
    <n v="1091"/>
    <x v="1"/>
    <n v="14.180636944444441"/>
    <n v="2.8087611666666672"/>
    <n v="5.9085987268518499E-2"/>
    <n v="1.170317152777778E-2"/>
    <n v="1"/>
    <n v="0.70903184722222201"/>
  </r>
  <r>
    <n v="1091"/>
    <x v="2"/>
    <n v="6.1220802777777781"/>
    <n v="2.1423449603172222"/>
    <n v="2.5508667824074075E-2"/>
    <n v="8.9264373346550924E-3"/>
    <n v="1"/>
    <n v="0.30610401388888892"/>
  </r>
  <r>
    <n v="1091"/>
    <x v="3"/>
    <n v="7.4711036111111113"/>
    <n v="2.0643718376066671"/>
    <n v="3.1129598379629631E-2"/>
    <n v="8.6015493233611139E-3"/>
    <n v="1"/>
    <n v="0.37355518055555559"/>
  </r>
  <r>
    <n v="1091"/>
    <x v="4"/>
    <n v="3.5098427777777781"/>
    <n v="1.170695813491945"/>
    <n v="1.4624344907407409E-2"/>
    <n v="4.8778992228831041E-3"/>
    <n v="1"/>
    <n v="0.1754921388888889"/>
  </r>
  <r>
    <n v="1091"/>
    <x v="5"/>
    <n v="56.152403888888891"/>
    <n v="16.64542662037028"/>
    <n v="0.23396834953703705"/>
    <n v="6.9355944251542831E-2"/>
    <n v="3"/>
    <n v="2.8076201944444446"/>
  </r>
  <r>
    <n v="1091"/>
    <x v="6"/>
    <n v="3.2925213888888889"/>
    <n v="0.75124551587277777"/>
    <n v="1.371883912037037E-2"/>
    <n v="3.1301896494699073E-3"/>
    <n v="1"/>
    <n v="0.16462606944444444"/>
  </r>
  <r>
    <n v="1091"/>
    <x v="7"/>
    <n v="0.53965888888888891"/>
    <n v="0.31747956349194439"/>
    <n v="2.2485787037037036E-3"/>
    <n v="1.3228315145497683E-3"/>
    <n v="1"/>
    <n v="2.6982944444444441E-2"/>
  </r>
  <r>
    <n v="1091"/>
    <x v="8"/>
    <n v="3.8048277777777781"/>
    <n v="0.77966985042722226"/>
    <n v="1.5853449074074075E-2"/>
    <n v="3.2486243767800931E-3"/>
    <n v="1"/>
    <n v="0.19024138888888892"/>
  </r>
  <r>
    <n v="1091"/>
    <x v="9"/>
    <n v="4.5236863888888887"/>
    <n v="1.084096198830278"/>
    <n v="1.8848693287037036E-2"/>
    <n v="4.5170674951261584E-3"/>
    <n v="1"/>
    <n v="0.22618431944444445"/>
  </r>
  <r>
    <n v="1091"/>
    <x v="10"/>
    <n v="4.3780749999999999"/>
    <n v="0.67664537698388894"/>
    <n v="1.8241979166666668E-2"/>
    <n v="2.8193557374328708E-3"/>
    <n v="1"/>
    <n v="0.21890375000000001"/>
  </r>
  <r>
    <n v="1091"/>
    <x v="11"/>
    <n v="0.75945305555555553"/>
    <n v="0.33068688492055548"/>
    <n v="3.1643877314814811E-3"/>
    <n v="1.3778620205023146E-3"/>
    <n v="1"/>
    <n v="3.7972652777777775E-2"/>
  </r>
  <r>
    <n v="1092"/>
    <x v="0"/>
    <n v="8.6283333333333339"/>
    <n v="2.0613888888888892"/>
    <n v="3.5951388888888887E-2"/>
    <n v="8.589120370370372E-3"/>
    <n v="1"/>
    <n v="0.43141666666666667"/>
  </r>
  <r>
    <n v="1092"/>
    <x v="1"/>
    <n v="3.3334297222222218"/>
    <n v="1.3047787037036109"/>
    <n v="1.3889290509259258E-2"/>
    <n v="5.4365779320983791E-3"/>
    <n v="1"/>
    <n v="0.1666714861111111"/>
  </r>
  <r>
    <n v="1092"/>
    <x v="2"/>
    <n v="4.7974047222222218"/>
    <n v="1.7696965972222221"/>
    <n v="1.9989186342592589E-2"/>
    <n v="7.373735821759258E-3"/>
    <n v="1"/>
    <n v="0.23987023611111108"/>
  </r>
  <r>
    <n v="1092"/>
    <x v="3"/>
    <n v="4.7774675000000002"/>
    <n v="2.0499303124999999"/>
    <n v="1.9906114583333332E-2"/>
    <n v="8.5413763020833321E-3"/>
    <n v="1"/>
    <n v="0.238873375"/>
  </r>
  <r>
    <n v="1092"/>
    <x v="4"/>
    <n v="6.6880555555555554E-2"/>
    <n v="4.6640055555555553E-2"/>
    <n v="2.7866898148148147E-4"/>
    <n v="1.943335648148148E-4"/>
    <n v="1"/>
    <n v="3.3440277777777774E-3"/>
  </r>
  <r>
    <n v="1092"/>
    <x v="5"/>
    <n v="4.2103091666666668"/>
    <n v="2.2312194444444451"/>
    <n v="1.7542954861111112E-2"/>
    <n v="9.2967476851851874E-3"/>
    <n v="1"/>
    <n v="0.21051545833333335"/>
  </r>
  <r>
    <n v="1092"/>
    <x v="6"/>
    <n v="8.1868400000000001"/>
    <n v="1.8887757870369439"/>
    <n v="3.4111833333333334E-2"/>
    <n v="7.8698991126539327E-3"/>
    <n v="1"/>
    <n v="0.40934199999999998"/>
  </r>
  <r>
    <n v="1092"/>
    <x v="7"/>
    <n v="23.532960277777779"/>
    <n v="2.417346085858334"/>
    <n v="9.8054001157407408E-2"/>
    <n v="1.0072275357743058E-2"/>
    <n v="2"/>
    <n v="1.1766480138888888"/>
  </r>
  <r>
    <n v="1092"/>
    <x v="8"/>
    <n v="45.912235555555547"/>
    <n v="11.85167344444444"/>
    <n v="0.19130098148148145"/>
    <n v="4.9381972685185162E-2"/>
    <n v="3"/>
    <n v="2.2956117777777774"/>
  </r>
  <r>
    <n v="1092"/>
    <x v="9"/>
    <n v="2.4561647222222218"/>
    <n v="0.42463796296277778"/>
    <n v="1.0234019675925925E-2"/>
    <n v="1.7693248456782408E-3"/>
    <n v="1"/>
    <n v="0.12280823611111111"/>
  </r>
  <r>
    <n v="1092"/>
    <x v="10"/>
    <n v="5.0163836111111113"/>
    <n v="0.56561294191916667"/>
    <n v="2.090159837962963E-2"/>
    <n v="2.356720591329861E-3"/>
    <n v="1"/>
    <n v="0.25081918055555558"/>
  </r>
  <r>
    <n v="1092"/>
    <x v="11"/>
    <n v="1.2475108333333329"/>
    <n v="0.18516869047611109"/>
    <n v="5.1979618055555538E-3"/>
    <n v="7.7153621031712946E-4"/>
    <n v="1"/>
    <n v="6.2375541666666645E-2"/>
  </r>
  <r>
    <n v="1093"/>
    <x v="0"/>
    <n v="15.064722222222223"/>
    <n v="7.7066666666666661"/>
    <n v="6.276967592592593E-2"/>
    <n v="3.2111111111111111E-2"/>
    <n v="1"/>
    <n v="0.75323611111111122"/>
  </r>
  <r>
    <n v="1093"/>
    <x v="1"/>
    <n v="31.152512222222221"/>
    <n v="25.425915"/>
    <n v="0.12980213425925927"/>
    <n v="0.1059413125"/>
    <n v="2"/>
    <n v="1.5576256111111113"/>
  </r>
  <r>
    <n v="1093"/>
    <x v="2"/>
    <n v="31.055378611111109"/>
    <n v="8.7416697222222215"/>
    <n v="0.12939741087962961"/>
    <n v="3.6423623842592588E-2"/>
    <n v="2"/>
    <n v="1.5527689305555552"/>
  </r>
  <r>
    <n v="1093"/>
    <x v="3"/>
    <n v="27.90933861111111"/>
    <n v="11.802543518518331"/>
    <n v="0.11628891087962963"/>
    <n v="4.9177264660493047E-2"/>
    <n v="2"/>
    <n v="1.3954669305555556"/>
  </r>
  <r>
    <n v="1093"/>
    <x v="5"/>
    <n v="8.4228611111111115E-2"/>
    <n v="8.4228611111111115E-2"/>
    <n v="3.5095254629629631E-4"/>
    <n v="3.5095254629629631E-4"/>
    <n v="1"/>
    <n v="4.2114305555555559E-3"/>
  </r>
  <r>
    <n v="1093"/>
    <x v="11"/>
    <n v="0.18543138888888891"/>
    <n v="0.18543138888888891"/>
    <n v="7.7263078703703706E-4"/>
    <n v="7.7263078703703706E-4"/>
    <n v="1"/>
    <n v="9.2715694444444451E-3"/>
  </r>
  <r>
    <n v="1094"/>
    <x v="0"/>
    <n v="7.4861111111111116"/>
    <n v="3.5872222222222221"/>
    <n v="3.1192129629629629E-2"/>
    <n v="1.4946759259259259E-2"/>
    <n v="1"/>
    <n v="0.37430555555555556"/>
  </r>
  <r>
    <n v="1094"/>
    <x v="1"/>
    <n v="12.25247583333333"/>
    <n v="6.1877326262625001"/>
    <n v="5.1051982638888875E-2"/>
    <n v="2.5782219276093751E-2"/>
    <n v="1"/>
    <n v="0.61262379166666647"/>
  </r>
  <r>
    <n v="1094"/>
    <x v="2"/>
    <n v="10.36826111111111"/>
    <n v="4.2965979305555564"/>
    <n v="4.3201087962962958E-2"/>
    <n v="1.7902491377314818E-2"/>
    <n v="1"/>
    <n v="0.5184130555555555"/>
  </r>
  <r>
    <n v="1094"/>
    <x v="3"/>
    <n v="7.5938063888888889"/>
    <n v="3.7745183862433329"/>
    <n v="3.16408599537037E-2"/>
    <n v="1.5727159942680553E-2"/>
    <n v="1"/>
    <n v="0.37969031944444442"/>
  </r>
  <r>
    <n v="1094"/>
    <x v="4"/>
    <n v="12.443276944444451"/>
    <n v="5.2813224583333334"/>
    <n v="5.1846987268518545E-2"/>
    <n v="2.2005510243055554E-2"/>
    <n v="1"/>
    <n v="0.62216384722222251"/>
  </r>
  <r>
    <n v="1094"/>
    <x v="5"/>
    <n v="10.628250833333331"/>
    <n v="4.0737865277777781"/>
    <n v="4.4284378472222212E-2"/>
    <n v="1.6974110532407407E-2"/>
    <n v="1"/>
    <n v="0.53141254166666652"/>
  </r>
  <r>
    <n v="1094"/>
    <x v="6"/>
    <n v="11.371456388888889"/>
    <n v="3.547439444444445"/>
    <n v="4.7381068287037038E-2"/>
    <n v="1.4780997685185189E-2"/>
    <n v="1"/>
    <n v="0.56857281944444449"/>
  </r>
  <r>
    <n v="1094"/>
    <x v="7"/>
    <n v="4.9636463888888889"/>
    <n v="3.711458647342778"/>
    <n v="2.0681859953703703E-2"/>
    <n v="1.5464411030594908E-2"/>
    <n v="1"/>
    <n v="0.24818231944444444"/>
  </r>
  <r>
    <n v="1094"/>
    <x v="8"/>
    <n v="2.547939722222222"/>
    <n v="1.187294166666667"/>
    <n v="1.0616415509259259E-2"/>
    <n v="4.9470590277777794E-3"/>
    <n v="1"/>
    <n v="0.12739698611111111"/>
  </r>
  <r>
    <n v="1094"/>
    <x v="9"/>
    <n v="5.3953286111111112"/>
    <n v="3.353897209595833"/>
    <n v="2.2480535879629629E-2"/>
    <n v="1.3974571706649305E-2"/>
    <n v="1"/>
    <n v="0.26976643055555555"/>
  </r>
  <r>
    <n v="1094"/>
    <x v="10"/>
    <n v="7.1526788888888886"/>
    <n v="4.0423068181816664"/>
    <n v="2.9802828703703699E-2"/>
    <n v="1.6842945075756944E-2"/>
    <n v="1"/>
    <n v="0.35763394444444441"/>
  </r>
  <r>
    <n v="1094"/>
    <x v="11"/>
    <n v="5.114068333333333"/>
    <n v="3.5874537962961108"/>
    <n v="2.1308618055555551E-2"/>
    <n v="1.4947724151233794E-2"/>
    <n v="1"/>
    <n v="0.25570341666666663"/>
  </r>
  <r>
    <n v="1095"/>
    <x v="0"/>
    <n v="6.9444444444444446"/>
    <n v="1.7358333333333333"/>
    <n v="2.8935185185185185E-2"/>
    <n v="7.2326388888888891E-3"/>
    <n v="1"/>
    <n v="0.34722222222222221"/>
  </r>
  <r>
    <n v="1095"/>
    <x v="1"/>
    <n v="3.571295555555555"/>
    <n v="1.230233267195556"/>
    <n v="1.4880398148148144E-2"/>
    <n v="5.1259719466481496E-3"/>
    <n v="1"/>
    <n v="0.17856477777777774"/>
  </r>
  <r>
    <n v="1095"/>
    <x v="2"/>
    <n v="7.598779722222222"/>
    <n v="2.38862825"/>
    <n v="3.1661582175925927E-2"/>
    <n v="9.9526177083333334E-3"/>
    <n v="1"/>
    <n v="0.3799389861111111"/>
  </r>
  <r>
    <n v="1095"/>
    <x v="3"/>
    <n v="14.060801944444441"/>
    <n v="2.1903454894177781"/>
    <n v="5.8586674768518504E-2"/>
    <n v="9.1264395392407424E-3"/>
    <n v="1"/>
    <n v="0.70304009722222205"/>
  </r>
  <r>
    <n v="1095"/>
    <x v="4"/>
    <n v="6.9830469444444443"/>
    <n v="1.5689165"/>
    <n v="2.9096028935185186E-2"/>
    <n v="6.5371520833333334E-3"/>
    <n v="1"/>
    <n v="0.34915234722222221"/>
  </r>
  <r>
    <n v="1095"/>
    <x v="5"/>
    <n v="10.24032694444444"/>
    <n v="2.5716343888888891"/>
    <n v="4.2668028935185169E-2"/>
    <n v="1.0715143287037038E-2"/>
    <n v="1"/>
    <n v="0.512016347222222"/>
  </r>
  <r>
    <n v="1095"/>
    <x v="6"/>
    <n v="6.5798191666666668"/>
    <n v="1.736305608465555"/>
    <n v="2.7415913194444447E-2"/>
    <n v="7.2346067019398129E-3"/>
    <n v="1"/>
    <n v="0.32899095833333336"/>
  </r>
  <r>
    <n v="1095"/>
    <x v="7"/>
    <n v="7.4075177777777776"/>
    <n v="2.7721363043477778"/>
    <n v="3.0864657407407407E-2"/>
    <n v="1.1550567934782407E-2"/>
    <n v="1"/>
    <n v="0.37037588888888889"/>
  </r>
  <r>
    <n v="1095"/>
    <x v="8"/>
    <n v="5.5459094444444448"/>
    <n v="1.241696569444444"/>
    <n v="2.3107956018518519E-2"/>
    <n v="5.1737357060185167E-3"/>
    <n v="1"/>
    <n v="0.27729547222222223"/>
  </r>
  <r>
    <n v="1095"/>
    <x v="9"/>
    <n v="7.4200430555555554"/>
    <n v="1.2844990343913889"/>
    <n v="3.0916846064814815E-2"/>
    <n v="5.3520793099641204E-3"/>
    <n v="1"/>
    <n v="0.37100215277777776"/>
  </r>
  <r>
    <n v="1095"/>
    <x v="10"/>
    <n v="6.8113527777777776"/>
    <n v="1.748369040403889"/>
    <n v="2.838063657407407E-2"/>
    <n v="7.2848710016828709E-3"/>
    <n v="1"/>
    <n v="0.34056763888888886"/>
  </r>
  <r>
    <n v="1095"/>
    <x v="11"/>
    <n v="7.113825277777778"/>
    <n v="2.0943373280422222"/>
    <n v="2.9640938657407408E-2"/>
    <n v="8.7264055335092589E-3"/>
    <n v="1"/>
    <n v="0.35569126388888889"/>
  </r>
  <r>
    <n v="1096"/>
    <x v="0"/>
    <n v="6.8880555555555558"/>
    <n v="1.3077777777777777"/>
    <n v="2.8700231481481483E-2"/>
    <n v="5.4490740740740741E-3"/>
    <n v="1"/>
    <n v="0.34440277777777778"/>
  </r>
  <r>
    <n v="1096"/>
    <x v="1"/>
    <n v="16.622248055555559"/>
    <n v="1.313106260683611"/>
    <n v="6.925936689814817E-2"/>
    <n v="5.4712760861817126E-3"/>
    <n v="1"/>
    <n v="0.83111240277777809"/>
  </r>
  <r>
    <n v="1096"/>
    <x v="2"/>
    <n v="27.637058333333329"/>
    <n v="10.02404008547"/>
    <n v="0.1151544097222222"/>
    <n v="4.1766833689458334E-2"/>
    <n v="2"/>
    <n v="1.3818529166666664"/>
  </r>
  <r>
    <n v="1096"/>
    <x v="3"/>
    <n v="6.19259"/>
    <n v="1.6327806250000001"/>
    <n v="2.5802458333333333E-2"/>
    <n v="6.8032526041666673E-3"/>
    <n v="1"/>
    <n v="0.3096295"/>
  </r>
  <r>
    <n v="1096"/>
    <x v="4"/>
    <n v="8.2354577777777784"/>
    <n v="0.45410266666666671"/>
    <n v="3.4314407407407412E-2"/>
    <n v="1.8920944444444446E-3"/>
    <n v="1"/>
    <n v="0.41177288888888897"/>
  </r>
  <r>
    <n v="1096"/>
    <x v="5"/>
    <n v="0.78669416666666669"/>
    <n v="0.13341922222222219"/>
    <n v="3.2778923611111112E-3"/>
    <n v="5.5591342592592582E-4"/>
    <n v="1"/>
    <n v="3.9334708333333336E-2"/>
  </r>
  <r>
    <n v="1096"/>
    <x v="6"/>
    <n v="8.4022555555555556"/>
    <n v="0.87004880952361108"/>
    <n v="3.5009398148148151E-2"/>
    <n v="3.6252033730150464E-3"/>
    <n v="1"/>
    <n v="0.42011277777777778"/>
  </r>
  <r>
    <n v="1096"/>
    <x v="7"/>
    <n v="5.2391480555555558"/>
    <n v="0.36226327294666671"/>
    <n v="2.1829783564814815E-2"/>
    <n v="1.5094303039444445E-3"/>
    <n v="1"/>
    <n v="0.26195740277777779"/>
  </r>
  <r>
    <n v="1096"/>
    <x v="8"/>
    <n v="0.1131808333333333"/>
    <n v="6.4504777777777772E-2"/>
    <n v="4.7158680555555539E-4"/>
    <n v="2.6876990740740738E-4"/>
    <n v="1"/>
    <n v="5.6590416666666647E-3"/>
  </r>
  <r>
    <n v="1096"/>
    <x v="9"/>
    <n v="1.2339024999999999"/>
    <n v="0.17087816137555559"/>
    <n v="5.1412604166666664E-3"/>
    <n v="7.1199233906481501E-4"/>
    <n v="1"/>
    <n v="6.1695124999999996E-2"/>
  </r>
  <r>
    <n v="1096"/>
    <x v="10"/>
    <n v="7.8348361111111107"/>
    <n v="0.58965338383833332"/>
    <n v="3.2645150462962964E-2"/>
    <n v="2.456889099326389E-3"/>
    <n v="1"/>
    <n v="0.3917418055555556"/>
  </r>
  <r>
    <n v="1096"/>
    <x v="11"/>
    <n v="0.35658416666666659"/>
    <n v="7.7236230158611113E-2"/>
    <n v="1.4857673611111107E-3"/>
    <n v="3.2181762566087967E-4"/>
    <n v="1"/>
    <n v="1.7829208333333329E-2"/>
  </r>
  <r>
    <n v="1097"/>
    <x v="0"/>
    <n v="6.692222222222223"/>
    <n v="3.9605555555555556"/>
    <n v="2.7884259259259261E-2"/>
    <n v="1.6502314814814813E-2"/>
    <n v="1"/>
    <n v="0.33461111111111114"/>
  </r>
  <r>
    <n v="1097"/>
    <x v="1"/>
    <n v="6.736735277777778"/>
    <n v="3.954904204545278"/>
    <n v="2.8069730324074074E-2"/>
    <n v="1.6478767518938658E-2"/>
    <n v="1"/>
    <n v="0.33683676388888889"/>
  </r>
  <r>
    <n v="1097"/>
    <x v="2"/>
    <n v="5.4491686111111113"/>
    <n v="3.823885208333333"/>
    <n v="2.2704869212962966E-2"/>
    <n v="1.5932855034722221E-2"/>
    <n v="1"/>
    <n v="0.27245843055555558"/>
  </r>
  <r>
    <n v="1097"/>
    <x v="3"/>
    <n v="4.8055816666666669"/>
    <n v="3.3464713756611109"/>
    <n v="2.0023256944444446E-2"/>
    <n v="1.3943630731921295E-2"/>
    <n v="1"/>
    <n v="0.24027908333333337"/>
  </r>
  <r>
    <n v="1097"/>
    <x v="4"/>
    <n v="6.0833197222222219"/>
    <n v="3.794982791666667"/>
    <n v="2.5347165509259261E-2"/>
    <n v="1.5812428298611111E-2"/>
    <n v="1"/>
    <n v="0.30416598611111112"/>
  </r>
  <r>
    <n v="1097"/>
    <x v="5"/>
    <n v="9.2851547222222219"/>
    <n v="4.7582236250000003"/>
    <n v="3.8688144675925927E-2"/>
    <n v="1.9825931770833336E-2"/>
    <n v="1"/>
    <n v="0.4642577361111111"/>
  </r>
  <r>
    <n v="1097"/>
    <x v="6"/>
    <n v="8.6196649999999995"/>
    <n v="4.9066406140350001"/>
    <n v="3.5915270833333332E-2"/>
    <n v="2.04443358918125E-2"/>
    <n v="1"/>
    <n v="0.43098324999999998"/>
  </r>
  <r>
    <n v="1097"/>
    <x v="7"/>
    <n v="10.77150472222222"/>
    <n v="5.789998661616111"/>
    <n v="4.4881269675925921E-2"/>
    <n v="2.4124994423400464E-2"/>
    <n v="1"/>
    <n v="0.53857523611111102"/>
  </r>
  <r>
    <n v="1097"/>
    <x v="8"/>
    <n v="7.0758305555555552"/>
    <n v="3.809870861111111"/>
    <n v="2.9482627314814814E-2"/>
    <n v="1.5874461921296296E-2"/>
    <n v="1"/>
    <n v="0.35379152777777778"/>
  </r>
  <r>
    <n v="1097"/>
    <x v="9"/>
    <n v="5.9119927777777779"/>
    <n v="4.3084805808080553"/>
    <n v="2.4633303240740742E-2"/>
    <n v="1.7952002420033562E-2"/>
    <n v="1"/>
    <n v="0.2955996388888889"/>
  </r>
  <r>
    <n v="1097"/>
    <x v="10"/>
    <n v="8.2703252777777774"/>
    <n v="4.2208021843433334"/>
    <n v="3.4459688657407402E-2"/>
    <n v="1.7586675768097224E-2"/>
    <n v="1"/>
    <n v="0.41351626388888885"/>
  </r>
  <r>
    <n v="1097"/>
    <x v="11"/>
    <n v="7.2948047222222234"/>
    <n v="4.8092599867722221"/>
    <n v="3.0395019675925932E-2"/>
    <n v="2.003858327821759E-2"/>
    <n v="1"/>
    <n v="0.36474023611111117"/>
  </r>
  <r>
    <n v="1098"/>
    <x v="0"/>
    <n v="6.5497222222222229"/>
    <n v="2.7891666666666666"/>
    <n v="2.7290509259259261E-2"/>
    <n v="1.1621527777777777E-2"/>
    <n v="1"/>
    <n v="0.32748611111111114"/>
  </r>
  <r>
    <n v="1098"/>
    <x v="1"/>
    <n v="10.61738222222222"/>
    <n v="4.4796801388888889"/>
    <n v="4.4239092592592587E-2"/>
    <n v="1.8665333912037039E-2"/>
    <n v="1"/>
    <n v="0.53086911111111101"/>
  </r>
  <r>
    <n v="1098"/>
    <x v="2"/>
    <n v="4.9298880555555558"/>
    <n v="2.9070828888888891"/>
    <n v="2.0541200231481482E-2"/>
    <n v="1.211284537037037E-2"/>
    <n v="1"/>
    <n v="0.24649440277777779"/>
  </r>
  <r>
    <n v="1098"/>
    <x v="3"/>
    <n v="12.01369361111111"/>
    <n v="3.9138787962961108"/>
    <n v="5.0057056712962955E-2"/>
    <n v="1.6307828317900463E-2"/>
    <n v="1"/>
    <n v="0.60068468055555546"/>
  </r>
  <r>
    <n v="1098"/>
    <x v="4"/>
    <n v="9.2298452777777786"/>
    <n v="3.7295387638888888"/>
    <n v="3.845768865740741E-2"/>
    <n v="1.5539744849537037E-2"/>
    <n v="1"/>
    <n v="0.46149226388888892"/>
  </r>
  <r>
    <n v="1098"/>
    <x v="5"/>
    <n v="11.22664055555556"/>
    <n v="3.6262137361111111"/>
    <n v="4.6777668981481502E-2"/>
    <n v="1.5109223900462964E-2"/>
    <n v="1"/>
    <n v="0.56133202777777802"/>
  </r>
  <r>
    <n v="1098"/>
    <x v="6"/>
    <n v="9.2767366666666664"/>
    <n v="5.1631809305555558"/>
    <n v="3.8653069444444445E-2"/>
    <n v="2.1513253877314814E-2"/>
    <n v="1"/>
    <n v="0.46383683333333336"/>
  </r>
  <r>
    <n v="1098"/>
    <x v="7"/>
    <n v="8.3383186111111112"/>
    <n v="4.7660485265699997"/>
    <n v="3.4742994212962959E-2"/>
    <n v="1.9858535527374998E-2"/>
    <n v="1"/>
    <n v="0.41691593055555554"/>
  </r>
  <r>
    <n v="1098"/>
    <x v="8"/>
    <n v="2.077922222222222"/>
    <n v="0.89664755555555553"/>
    <n v="8.6580092592592594E-3"/>
    <n v="3.7360314814814818E-3"/>
    <n v="1"/>
    <n v="0.10389611111111111"/>
  </r>
  <r>
    <n v="1098"/>
    <x v="9"/>
    <n v="0.83174083333333337"/>
    <n v="0.70489511363611113"/>
    <n v="3.465586805555556E-3"/>
    <n v="2.9370629734837964E-3"/>
    <n v="1"/>
    <n v="4.1587041666666671E-2"/>
  </r>
  <r>
    <n v="1098"/>
    <x v="10"/>
    <n v="2.2523463888888888"/>
    <n v="1.018250952380833"/>
    <n v="9.3847766203703706E-3"/>
    <n v="4.2427123015868042E-3"/>
    <n v="1"/>
    <n v="0.11261731944444445"/>
  </r>
  <r>
    <n v="1098"/>
    <x v="11"/>
    <n v="7.8020619444444446"/>
    <n v="2.2623441137563889"/>
    <n v="3.250859143518519E-2"/>
    <n v="9.4264338073182866E-3"/>
    <n v="1"/>
    <n v="0.39010309722222225"/>
  </r>
  <r>
    <n v="1099"/>
    <x v="0"/>
    <n v="6.5177777777777779"/>
    <n v="3.171388888888889"/>
    <n v="2.7157407407407408E-2"/>
    <n v="1.3214120370370371E-2"/>
    <n v="1"/>
    <n v="0.32588888888888889"/>
  </r>
  <r>
    <n v="1099"/>
    <x v="1"/>
    <n v="9.9825611111111119"/>
    <n v="3.2360158574877782"/>
    <n v="4.1594004629629637E-2"/>
    <n v="1.3483399406199076E-2"/>
    <n v="1"/>
    <n v="0.49912805555555562"/>
  </r>
  <r>
    <n v="1099"/>
    <x v="2"/>
    <n v="4.6802469444444448"/>
    <n v="3.1615442361111108"/>
    <n v="1.9501028935185186E-2"/>
    <n v="1.3173100983796295E-2"/>
    <n v="1"/>
    <n v="0.23401234722222225"/>
  </r>
  <r>
    <n v="1099"/>
    <x v="3"/>
    <n v="8.343600277777778"/>
    <n v="3.2745578306877778"/>
    <n v="3.476500115740741E-2"/>
    <n v="1.3643990961199073E-2"/>
    <n v="1"/>
    <n v="0.41718001388888892"/>
  </r>
  <r>
    <n v="1099"/>
    <x v="4"/>
    <n v="5.167378888888889"/>
    <n v="3.2858692083333332"/>
    <n v="2.1530745370370374E-2"/>
    <n v="1.3691121701388887E-2"/>
    <n v="1"/>
    <n v="0.25836894444444447"/>
  </r>
  <r>
    <n v="1099"/>
    <x v="5"/>
    <n v="5.8640955555555552"/>
    <n v="3.2450249206347221"/>
    <n v="2.443373148148148E-2"/>
    <n v="1.3520937169311341E-2"/>
    <n v="1"/>
    <n v="0.29320477777777776"/>
  </r>
  <r>
    <n v="1099"/>
    <x v="6"/>
    <n v="4.5781169444444441"/>
    <n v="3.3529168915341661"/>
    <n v="1.9075487268518519E-2"/>
    <n v="1.3970487048059026E-2"/>
    <n v="1"/>
    <n v="0.22890584722222224"/>
  </r>
  <r>
    <n v="1099"/>
    <x v="7"/>
    <n v="10.15853805555555"/>
    <n v="3.9012182246374998"/>
    <n v="4.2327241898148127E-2"/>
    <n v="1.6255075935989582E-2"/>
    <n v="1"/>
    <n v="0.50792690277777752"/>
  </r>
  <r>
    <n v="1099"/>
    <x v="8"/>
    <n v="4.8657666666666666"/>
    <n v="3.293124444444445"/>
    <n v="2.0274027777777776E-2"/>
    <n v="1.3721351851851854E-2"/>
    <n v="1"/>
    <n v="0.24328833333333333"/>
  </r>
  <r>
    <n v="1099"/>
    <x v="9"/>
    <n v="10.152377777777779"/>
    <n v="4.1729219065655556"/>
    <n v="4.2301574074074082E-2"/>
    <n v="1.7387174610689813E-2"/>
    <n v="1"/>
    <n v="0.50761888888888895"/>
  </r>
  <r>
    <n v="1099"/>
    <x v="10"/>
    <n v="10.103024166666669"/>
    <n v="3.743700410627778"/>
    <n v="4.2095934027777789E-2"/>
    <n v="1.5598751710949077E-2"/>
    <n v="1"/>
    <n v="0.50515120833333349"/>
  </r>
  <r>
    <n v="1099"/>
    <x v="11"/>
    <n v="4.314399166666667"/>
    <n v="3.3867884523808329"/>
    <n v="1.7976663194444447E-2"/>
    <n v="1.4111618551586803E-2"/>
    <n v="1"/>
    <n v="0.21571995833333335"/>
  </r>
  <r>
    <n v="1100"/>
    <x v="0"/>
    <n v="6.4730555555555558"/>
    <n v="4.4847222222222216"/>
    <n v="2.6971064814814816E-2"/>
    <n v="1.8686342592592591E-2"/>
    <n v="1"/>
    <n v="0.32365277777777779"/>
  </r>
  <r>
    <n v="1100"/>
    <x v="1"/>
    <n v="9.1891213888888892"/>
    <n v="5.122437133838333"/>
    <n v="3.828800578703704E-2"/>
    <n v="2.1343488057659721E-2"/>
    <n v="1"/>
    <n v="0.4594560694444445"/>
  </r>
  <r>
    <n v="1100"/>
    <x v="2"/>
    <n v="9.5748355555555555"/>
    <n v="5.8022671666666668"/>
    <n v="3.9895148148148145E-2"/>
    <n v="2.4176113194444446E-2"/>
    <n v="1"/>
    <n v="0.47874177777777771"/>
  </r>
  <r>
    <n v="1100"/>
    <x v="3"/>
    <n v="10.822221944444451"/>
    <n v="7.3029206878305546"/>
    <n v="4.5092591435185209E-2"/>
    <n v="3.0428836199293974E-2"/>
    <n v="1"/>
    <n v="0.5411110972222225"/>
  </r>
  <r>
    <n v="1100"/>
    <x v="4"/>
    <n v="7.3627463888888887"/>
    <n v="4.867127833333333"/>
    <n v="3.0678109953703705E-2"/>
    <n v="2.0279699305555555E-2"/>
    <n v="1"/>
    <n v="0.36813731944444444"/>
  </r>
  <r>
    <n v="1100"/>
    <x v="5"/>
    <n v="7.0932783333333331"/>
    <n v="5.0740241250000002"/>
    <n v="2.9555326388888886E-2"/>
    <n v="2.1141767187500004E-2"/>
    <n v="1"/>
    <n v="0.35466391666666663"/>
  </r>
  <r>
    <n v="1100"/>
    <x v="6"/>
    <n v="5.7102047222222234"/>
    <n v="4.5192461904761112"/>
    <n v="2.3792519675925928E-2"/>
    <n v="1.8830192460317131E-2"/>
    <n v="1"/>
    <n v="0.28551023611111115"/>
  </r>
  <r>
    <n v="1100"/>
    <x v="7"/>
    <n v="8.6461113888888885"/>
    <n v="6.8111841545891663"/>
    <n v="3.6025464120370367E-2"/>
    <n v="2.837993397745486E-2"/>
    <n v="1"/>
    <n v="0.43230556944444443"/>
  </r>
  <r>
    <n v="1100"/>
    <x v="8"/>
    <n v="2.236250555555555"/>
    <n v="1.297887158119444"/>
    <n v="9.3177106481481461E-3"/>
    <n v="5.4078631588310166E-3"/>
    <n v="1"/>
    <n v="0.11181252777777775"/>
  </r>
  <r>
    <n v="1100"/>
    <x v="9"/>
    <n v="5.045820833333333"/>
    <n v="4.1290880555555551"/>
    <n v="2.1024253472222223E-2"/>
    <n v="1.7204533564814814E-2"/>
    <n v="1"/>
    <n v="0.25229104166666666"/>
  </r>
  <r>
    <n v="1100"/>
    <x v="10"/>
    <n v="3.7137513888888889"/>
    <n v="2.6352796212119438"/>
    <n v="1.5473964120370371E-2"/>
    <n v="1.0980331755049767E-2"/>
    <n v="1"/>
    <n v="0.18568756944444445"/>
  </r>
  <r>
    <n v="1100"/>
    <x v="11"/>
    <n v="8.2816074999999998"/>
    <n v="6.2549120502644442"/>
    <n v="3.4506697916666669E-2"/>
    <n v="2.6062133542768515E-2"/>
    <n v="1"/>
    <n v="0.41408037500000006"/>
  </r>
  <r>
    <n v="1101"/>
    <x v="0"/>
    <n v="6.2277777777777779"/>
    <n v="2.4822222222222221"/>
    <n v="2.5949074074074072E-2"/>
    <n v="1.0342592592592592E-2"/>
    <n v="1"/>
    <n v="0.31138888888888888"/>
  </r>
  <r>
    <n v="1101"/>
    <x v="1"/>
    <n v="7.9761758333333326"/>
    <n v="7.9191851767674999"/>
    <n v="3.323406597222222E-2"/>
    <n v="3.2996604903197918E-2"/>
    <n v="1"/>
    <n v="0.39880879166666661"/>
  </r>
  <r>
    <n v="1101"/>
    <x v="2"/>
    <n v="7.9911369444444436"/>
    <n v="7.9276444305555556"/>
    <n v="3.3296403935185181E-2"/>
    <n v="3.3031851793981486E-2"/>
    <n v="1"/>
    <n v="0.39955684722222218"/>
  </r>
  <r>
    <n v="1101"/>
    <x v="3"/>
    <n v="7.9723563888888886"/>
    <n v="7.8626759259258332"/>
    <n v="3.3218151620370368E-2"/>
    <n v="3.2761149691357634E-2"/>
    <n v="1"/>
    <n v="0.39861781944444441"/>
  </r>
  <r>
    <n v="1101"/>
    <x v="4"/>
    <n v="9.0062216666666668"/>
    <n v="1.3162148611111111"/>
    <n v="3.7525923611111116E-2"/>
    <n v="5.4842285879629629E-3"/>
    <n v="1"/>
    <n v="0.45031108333333336"/>
  </r>
  <r>
    <n v="1101"/>
    <x v="5"/>
    <n v="6.1852591666666674"/>
    <n v="0.92153179012333331"/>
    <n v="2.5771913194444451E-2"/>
    <n v="3.8397157921805556E-3"/>
    <n v="1"/>
    <n v="0.30926295833333339"/>
  </r>
  <r>
    <n v="1101"/>
    <x v="6"/>
    <n v="5.7398908333333329"/>
    <n v="0.43077454166666668"/>
    <n v="2.3916211805555556E-2"/>
    <n v="1.7948939236111111E-3"/>
    <n v="1"/>
    <n v="0.28699454166666666"/>
  </r>
  <r>
    <n v="1101"/>
    <x v="7"/>
    <n v="5.9992708333333331"/>
    <n v="0.51621746376805555"/>
    <n v="2.4996961805555554E-2"/>
    <n v="2.1509060990335649E-3"/>
    <n v="1"/>
    <n v="0.29996354166666667"/>
  </r>
  <r>
    <n v="1101"/>
    <x v="8"/>
    <n v="6.1254425000000001"/>
    <n v="0.62482477777777778"/>
    <n v="2.5522677083333334E-2"/>
    <n v="2.6034365740740741E-3"/>
    <n v="1"/>
    <n v="0.30627212500000001"/>
  </r>
  <r>
    <n v="1101"/>
    <x v="9"/>
    <n v="6.7995130555555559"/>
    <n v="0.6140810227272222"/>
    <n v="2.8331304398148151E-2"/>
    <n v="2.5586709280300923E-3"/>
    <n v="1"/>
    <n v="0.3399756527777778"/>
  </r>
  <r>
    <n v="1101"/>
    <x v="10"/>
    <n v="6.9454874999999996"/>
    <n v="1.087039783950555"/>
    <n v="2.8939531249999997E-2"/>
    <n v="4.5293324331273123E-3"/>
    <n v="1"/>
    <n v="0.34727437499999997"/>
  </r>
  <r>
    <n v="1101"/>
    <x v="11"/>
    <n v="3.990963888888889"/>
    <n v="0.56618432539666663"/>
    <n v="1.6629016203703703E-2"/>
    <n v="2.3591013558194444E-3"/>
    <n v="1"/>
    <n v="0.19954819444444444"/>
  </r>
  <r>
    <n v="1102"/>
    <x v="0"/>
    <n v="5.9886111111111111"/>
    <n v="4.2188888888888885"/>
    <n v="2.4952546296296296E-2"/>
    <n v="1.7578703703703704E-2"/>
    <n v="1"/>
    <n v="0.29943055555555553"/>
  </r>
  <r>
    <n v="1102"/>
    <x v="1"/>
    <n v="10.904022222222221"/>
    <n v="10.79706930555556"/>
    <n v="4.5433425925925919E-2"/>
    <n v="4.4987788773148164E-2"/>
    <n v="1"/>
    <n v="0.54520111111111103"/>
  </r>
  <r>
    <n v="1102"/>
    <x v="2"/>
    <n v="10.91478138888889"/>
    <n v="10.71226252777778"/>
    <n v="4.5478255787037042E-2"/>
    <n v="4.4634427199074088E-2"/>
    <n v="1"/>
    <n v="0.5457390694444445"/>
  </r>
  <r>
    <n v="1102"/>
    <x v="3"/>
    <n v="10.903684999999999"/>
    <n v="9.950676164021111"/>
    <n v="4.5432020833333329E-2"/>
    <n v="4.1461150683421294E-2"/>
    <n v="1"/>
    <n v="0.54518424999999993"/>
  </r>
  <r>
    <n v="1102"/>
    <x v="4"/>
    <n v="2.893184166666666"/>
    <n v="1.6949656527777781"/>
    <n v="1.2054934027777775E-2"/>
    <n v="7.062356886574076E-3"/>
    <n v="1"/>
    <n v="0.14465920833333329"/>
  </r>
  <r>
    <n v="1102"/>
    <x v="5"/>
    <n v="10.903469166666669"/>
    <n v="2.306580541666666"/>
    <n v="4.5431121527777785E-2"/>
    <n v="9.6107522569444416E-3"/>
    <n v="1"/>
    <n v="0.54517345833333342"/>
  </r>
  <r>
    <n v="1102"/>
    <x v="6"/>
    <n v="4.0356541666666663"/>
    <n v="2.2721412638888889"/>
    <n v="1.6815225694444443E-2"/>
    <n v="9.467255266203704E-3"/>
    <n v="1"/>
    <n v="0.20178270833333331"/>
  </r>
  <r>
    <n v="1102"/>
    <x v="7"/>
    <n v="4.0191994444444443"/>
    <n v="2.3055893478258329"/>
    <n v="1.6746664351851851E-2"/>
    <n v="9.6066222826076374E-3"/>
    <n v="1"/>
    <n v="0.20095997222222223"/>
  </r>
  <r>
    <n v="1102"/>
    <x v="8"/>
    <n v="4.2516158333333331"/>
    <n v="2.8460108333333332"/>
    <n v="1.7715065972222221E-2"/>
    <n v="1.1858378472222222E-2"/>
    <n v="1"/>
    <n v="0.21258079166666666"/>
  </r>
  <r>
    <n v="1102"/>
    <x v="9"/>
    <n v="5.1844802777777774"/>
    <n v="2.7856181060605549"/>
    <n v="2.1602001157407406E-2"/>
    <n v="1.1606742108585645E-2"/>
    <n v="1"/>
    <n v="0.25922401388888888"/>
  </r>
  <r>
    <n v="1102"/>
    <x v="10"/>
    <n v="4.8081830555555554"/>
    <n v="2.721960845959444"/>
    <n v="2.0034096064814814E-2"/>
    <n v="1.1341503524831016E-2"/>
    <n v="1"/>
    <n v="0.24040915277777777"/>
  </r>
  <r>
    <n v="1102"/>
    <x v="11"/>
    <n v="3.0441172222222219"/>
    <n v="2.231401798941667"/>
    <n v="1.2683821759259258E-2"/>
    <n v="9.2975074955902789E-3"/>
    <n v="1"/>
    <n v="0.15220586111111109"/>
  </r>
  <r>
    <n v="1103"/>
    <x v="0"/>
    <n v="5.8491666666666662"/>
    <n v="3.4336111111111114"/>
    <n v="2.4371527777777777E-2"/>
    <n v="1.4306712962962964E-2"/>
    <n v="1"/>
    <n v="0.29245833333333332"/>
  </r>
  <r>
    <n v="1103"/>
    <x v="1"/>
    <n v="4.1938722222222218"/>
    <n v="3.5620744318180551"/>
    <n v="1.747446759259259E-2"/>
    <n v="1.4841976799241896E-2"/>
    <n v="1"/>
    <n v="0.20969361111111107"/>
  </r>
  <r>
    <n v="1103"/>
    <x v="2"/>
    <n v="10.307913055555559"/>
    <n v="3.687154152777778"/>
    <n v="4.2949637731481499E-2"/>
    <n v="1.5363142303240741E-2"/>
    <n v="1"/>
    <n v="0.51539565277777799"/>
  </r>
  <r>
    <n v="1103"/>
    <x v="3"/>
    <n v="9.8334663888888887"/>
    <n v="3.7134565476188892"/>
    <n v="4.0972776620370369E-2"/>
    <n v="1.5472735615078705E-2"/>
    <n v="1"/>
    <n v="0.49167331944444442"/>
  </r>
  <r>
    <n v="1103"/>
    <x v="4"/>
    <n v="5.8543811111111106"/>
    <n v="3.758154777777778"/>
    <n v="2.4393254629629629E-2"/>
    <n v="1.565897824074074E-2"/>
    <n v="1"/>
    <n v="0.29271905555555555"/>
  </r>
  <r>
    <n v="1103"/>
    <x v="5"/>
    <n v="5.7929222222222219"/>
    <n v="3.6084816111111109"/>
    <n v="2.4137175925925927E-2"/>
    <n v="1.5035340046296294E-2"/>
    <n v="1"/>
    <n v="0.2896461111111111"/>
  </r>
  <r>
    <n v="1103"/>
    <x v="6"/>
    <n v="5.5258688888888887"/>
    <n v="3.4661991137563888"/>
    <n v="2.3024453703703703E-2"/>
    <n v="1.4442496307318286E-2"/>
    <n v="1"/>
    <n v="0.27629344444444442"/>
  </r>
  <r>
    <n v="1103"/>
    <x v="7"/>
    <n v="4.9369797222222216"/>
    <n v="3.3938762560386109"/>
    <n v="2.0570748842592589E-2"/>
    <n v="1.4141151066827546E-2"/>
    <n v="1"/>
    <n v="0.24684898611111106"/>
  </r>
  <r>
    <n v="1103"/>
    <x v="8"/>
    <n v="5.9901855555555557"/>
    <n v="3.888490569444444"/>
    <n v="2.4959106481481485E-2"/>
    <n v="1.620204403935185E-2"/>
    <n v="1"/>
    <n v="0.2995092777777778"/>
  </r>
  <r>
    <n v="1103"/>
    <x v="9"/>
    <n v="6.12704"/>
    <n v="3.9852561237372219"/>
    <n v="2.5529333333333334E-2"/>
    <n v="1.6605233848905093E-2"/>
    <n v="1"/>
    <n v="0.30635200000000001"/>
  </r>
  <r>
    <n v="1103"/>
    <x v="10"/>
    <n v="5.9300747222222219"/>
    <n v="4.0378561237372219"/>
    <n v="2.4708644675925925E-2"/>
    <n v="1.6824400515571759E-2"/>
    <n v="1"/>
    <n v="0.29650373611111108"/>
  </r>
  <r>
    <n v="1103"/>
    <x v="11"/>
    <n v="5.6952697222222222"/>
    <n v="4.0990914153438887"/>
    <n v="2.3730290509259261E-2"/>
    <n v="1.707954756393287E-2"/>
    <n v="1"/>
    <n v="0.28476348611111113"/>
  </r>
  <r>
    <n v="1104"/>
    <x v="0"/>
    <n v="5.7702777777777774"/>
    <n v="2.0483333333333333"/>
    <n v="2.4042824074074071E-2"/>
    <n v="8.5347222222222231E-3"/>
    <n v="1"/>
    <n v="0.28851388888888885"/>
  </r>
  <r>
    <n v="1104"/>
    <x v="1"/>
    <n v="9.2145777777777784"/>
    <n v="2.0552090151513891"/>
    <n v="3.8394074074074074E-2"/>
    <n v="8.5633708964641207E-3"/>
    <n v="1"/>
    <n v="0.46072888888888885"/>
  </r>
  <r>
    <n v="1104"/>
    <x v="2"/>
    <n v="5.7677674999999997"/>
    <n v="1.822426444444444"/>
    <n v="2.403236458333333E-2"/>
    <n v="7.5934435185185173E-3"/>
    <n v="1"/>
    <n v="0.28838837499999997"/>
  </r>
  <r>
    <n v="1104"/>
    <x v="3"/>
    <n v="7.6660391666666667"/>
    <n v="2.6623550925925001"/>
    <n v="3.1941829861111111E-2"/>
    <n v="1.1093146219135416E-2"/>
    <n v="1"/>
    <n v="0.38330195833333336"/>
  </r>
  <r>
    <n v="1104"/>
    <x v="4"/>
    <n v="10.466542499999999"/>
    <n v="4.1451177361111107"/>
    <n v="4.3610593750000003E-2"/>
    <n v="1.7271323900462963E-2"/>
    <n v="1"/>
    <n v="0.523327125"/>
  </r>
  <r>
    <n v="1104"/>
    <x v="5"/>
    <n v="5.393556666666667"/>
    <n v="2.2589561805555549"/>
    <n v="2.2473152777777779E-2"/>
    <n v="9.4123174189814796E-3"/>
    <n v="1"/>
    <n v="0.26967783333333334"/>
  </r>
  <r>
    <n v="1104"/>
    <x v="6"/>
    <n v="5.34185"/>
    <n v="2.2075415972222219"/>
    <n v="2.2257708333333334E-2"/>
    <n v="9.198089988425924E-3"/>
    <n v="1"/>
    <n v="0.26709250000000001"/>
  </r>
  <r>
    <n v="1104"/>
    <x v="7"/>
    <n v="4.9607208333333332"/>
    <n v="1.7480399275361109"/>
    <n v="2.0669670138888888E-2"/>
    <n v="7.2834996980671281E-3"/>
    <n v="1"/>
    <n v="0.24803604166666665"/>
  </r>
  <r>
    <n v="1104"/>
    <x v="8"/>
    <n v="5.1723841666666663"/>
    <n v="1.872318172514444"/>
    <n v="2.155160069444444E-2"/>
    <n v="7.8013257188101828E-3"/>
    <n v="1"/>
    <n v="0.25861920833333329"/>
  </r>
  <r>
    <n v="1104"/>
    <x v="9"/>
    <n v="5.7481633333333333"/>
    <n v="2.1741031084655562"/>
    <n v="2.3950680555555558E-2"/>
    <n v="9.0587629519398184E-3"/>
    <n v="1"/>
    <n v="0.28740816666666669"/>
  </r>
  <r>
    <n v="1104"/>
    <x v="10"/>
    <n v="5.4393750000000001"/>
    <n v="2.265153017676667"/>
    <n v="2.2664062499999998E-2"/>
    <n v="9.438137573652779E-3"/>
    <n v="1"/>
    <n v="0.27196874999999998"/>
  </r>
  <r>
    <n v="1104"/>
    <x v="11"/>
    <n v="4.0714047222222218"/>
    <n v="1.3655951190475"/>
    <n v="1.6964186342592589E-2"/>
    <n v="5.689979662697916E-3"/>
    <n v="1"/>
    <n v="0.20357023611111108"/>
  </r>
  <r>
    <n v="1105"/>
    <x v="0"/>
    <n v="4.8647222222222224"/>
    <n v="1.1594444444444443"/>
    <n v="2.0269675925925927E-2"/>
    <n v="4.8310185185185183E-3"/>
    <n v="1"/>
    <n v="0.24323611111111113"/>
  </r>
  <r>
    <n v="1105"/>
    <x v="1"/>
    <n v="9.5502166666666675"/>
    <n v="2.1808061231883329"/>
    <n v="3.9792569444444446E-2"/>
    <n v="9.0866921799513875E-3"/>
    <n v="1"/>
    <n v="0.47751083333333333"/>
  </r>
  <r>
    <n v="1105"/>
    <x v="2"/>
    <n v="11.9581225"/>
    <n v="1.3592650115738889"/>
    <n v="4.9825510416666663E-2"/>
    <n v="5.6636042148912038E-3"/>
    <n v="1"/>
    <n v="0.59790612499999995"/>
  </r>
  <r>
    <n v="1105"/>
    <x v="3"/>
    <n v="11.110947222222221"/>
    <n v="1.538945309828889"/>
    <n v="4.6295613425925919E-2"/>
    <n v="6.4122721242870382E-3"/>
    <n v="1"/>
    <n v="0.55554736111111103"/>
  </r>
  <r>
    <n v="1105"/>
    <x v="4"/>
    <n v="8.9157055555555562"/>
    <n v="4.9677362615738891"/>
    <n v="3.714877314814815E-2"/>
    <n v="2.0698901089891204E-2"/>
    <n v="1"/>
    <n v="0.44578527777777777"/>
  </r>
  <r>
    <n v="1105"/>
    <x v="5"/>
    <n v="8.7720149999999997"/>
    <n v="3.3932252662036109"/>
    <n v="3.6550062500000001E-2"/>
    <n v="1.4138438609181713E-2"/>
    <n v="1"/>
    <n v="0.43860074999999998"/>
  </r>
  <r>
    <n v="1105"/>
    <x v="6"/>
    <n v="1.5102777777777779E-2"/>
    <n v="8.7535144924999995E-3"/>
    <n v="6.2928240740740742E-5"/>
    <n v="3.6472977052083329E-5"/>
    <n v="1"/>
    <n v="7.5513888888888896E-4"/>
  </r>
  <r>
    <n v="1105"/>
    <x v="7"/>
    <n v="7.1554855555555559"/>
    <n v="0.39156535024138889"/>
    <n v="2.9814523148148152E-2"/>
    <n v="1.6315222926724538E-3"/>
    <n v="1"/>
    <n v="0.35777427777777782"/>
  </r>
  <r>
    <n v="1105"/>
    <x v="8"/>
    <n v="5.1694444444444444E-3"/>
    <n v="4.5173472222222221E-3"/>
    <n v="2.1539351851851852E-5"/>
    <n v="1.8822280092592593E-5"/>
    <n v="1"/>
    <n v="2.5847222222222222E-4"/>
  </r>
  <r>
    <n v="1105"/>
    <x v="9"/>
    <n v="0.32195861111111113"/>
    <n v="1.912867424222222E-2"/>
    <n v="1.341494212962963E-3"/>
    <n v="7.9702809342592582E-5"/>
    <n v="1"/>
    <n v="1.6097930555555556E-2"/>
  </r>
  <r>
    <n v="1105"/>
    <x v="10"/>
    <n v="0.43069249999999998"/>
    <n v="3.6957702019999997E-2"/>
    <n v="1.7945520833333331E-3"/>
    <n v="1.5399042508333331E-4"/>
    <n v="1"/>
    <n v="2.1534624999999998E-2"/>
  </r>
  <r>
    <n v="1105"/>
    <x v="11"/>
    <n v="0.1401375"/>
    <n v="1.0943465608333329E-2"/>
    <n v="5.8390625000000001E-4"/>
    <n v="4.5597773368055533E-5"/>
    <n v="1"/>
    <n v="7.0068750000000001E-3"/>
  </r>
  <r>
    <n v="1106"/>
    <x v="0"/>
    <n v="9.1969444444444459"/>
    <n v="6.7813888888888885"/>
    <n v="3.8320601851851856E-2"/>
    <n v="2.8255787037037034E-2"/>
    <n v="1"/>
    <n v="0.4598472222222223"/>
  </r>
  <r>
    <n v="1106"/>
    <x v="7"/>
    <n v="4.337682222222222"/>
    <n v="1.5329931481480561"/>
    <n v="1.8073675925925927E-2"/>
    <n v="6.3874714506169002E-3"/>
    <n v="1"/>
    <n v="0.21688411111111111"/>
  </r>
  <r>
    <n v="1106"/>
    <x v="8"/>
    <n v="11.929781388888889"/>
    <n v="5.567470138888889"/>
    <n v="4.9707422453703708E-2"/>
    <n v="2.3197792245370372E-2"/>
    <n v="1"/>
    <n v="0.59648906944444446"/>
  </r>
  <r>
    <n v="1106"/>
    <x v="9"/>
    <n v="15.049278611111109"/>
    <n v="12.00804082070694"/>
    <n v="6.2705327546296291E-2"/>
    <n v="5.0033503419612248E-2"/>
    <n v="1"/>
    <n v="0.75246393055555549"/>
  </r>
  <r>
    <n v="1106"/>
    <x v="10"/>
    <n v="11.93818527777778"/>
    <n v="11.45251744708972"/>
    <n v="4.9742438657407413E-2"/>
    <n v="4.7718822696207169E-2"/>
    <n v="1"/>
    <n v="0.59690926388888899"/>
  </r>
  <r>
    <n v="1106"/>
    <x v="11"/>
    <n v="11.92522111111111"/>
    <n v="10.12703706349194"/>
    <n v="4.9688421296296297E-2"/>
    <n v="4.2195987764549747E-2"/>
    <n v="1"/>
    <n v="0.59626105555555553"/>
  </r>
  <r>
    <n v="1107"/>
    <x v="0"/>
    <n v="4.9930555555555554"/>
    <n v="3.6583333333333332"/>
    <n v="2.0804398148148148E-2"/>
    <n v="1.5243055555555557E-2"/>
    <n v="1"/>
    <n v="0.24965277777777778"/>
  </r>
  <r>
    <n v="1107"/>
    <x v="1"/>
    <n v="0.79872583333333336"/>
    <n v="0.79872583333333336"/>
    <n v="3.3280243055555554E-3"/>
    <n v="3.3280243055555554E-3"/>
    <n v="1"/>
    <n v="3.9936291666666665E-2"/>
  </r>
  <r>
    <n v="1107"/>
    <x v="2"/>
    <n v="0.58881944444444445"/>
    <n v="0.58881944444444445"/>
    <n v="2.453414351851852E-3"/>
    <n v="2.453414351851852E-3"/>
    <n v="1"/>
    <n v="2.9440972222222223E-2"/>
  </r>
  <r>
    <n v="1107"/>
    <x v="4"/>
    <n v="4.7740416666666663"/>
    <n v="4.7740416666666663"/>
    <n v="1.9891840277777777E-2"/>
    <n v="1.9891840277777777E-2"/>
    <n v="1"/>
    <n v="0.23870208333333331"/>
  </r>
  <r>
    <n v="1107"/>
    <x v="5"/>
    <n v="8.3012591666666662"/>
    <n v="4.2086174999999999"/>
    <n v="3.4588579861111107E-2"/>
    <n v="1.753590625E-2"/>
    <n v="1"/>
    <n v="0.41506295833333329"/>
  </r>
  <r>
    <n v="1107"/>
    <x v="6"/>
    <n v="6.8438619444444448"/>
    <n v="6.8438619444444448"/>
    <n v="2.8516091435185187E-2"/>
    <n v="2.8516091435185187E-2"/>
    <n v="1"/>
    <n v="0.34219309722222224"/>
  </r>
  <r>
    <n v="1107"/>
    <x v="7"/>
    <n v="3.568401944444445"/>
    <n v="1.9834677777777781"/>
    <n v="1.4868341435185187E-2"/>
    <n v="8.2644490740740751E-3"/>
    <n v="1"/>
    <n v="0.17842009722222224"/>
  </r>
  <r>
    <n v="1107"/>
    <x v="8"/>
    <n v="4.9490722222222221"/>
    <n v="4.9490722222222221"/>
    <n v="2.0621134259259259E-2"/>
    <n v="2.0621134259259259E-2"/>
    <n v="1"/>
    <n v="0.24745361111111111"/>
  </r>
  <r>
    <n v="1107"/>
    <x v="9"/>
    <n v="6.1151138888888887"/>
    <n v="3.610761597222222"/>
    <n v="2.5479641203703704E-2"/>
    <n v="1.5044839988425924E-2"/>
    <n v="1"/>
    <n v="0.30575569444444445"/>
  </r>
  <r>
    <n v="1107"/>
    <x v="10"/>
    <n v="8.6082416666666663"/>
    <n v="8.6082416666666663"/>
    <n v="3.5867673611111109E-2"/>
    <n v="3.5867673611111109E-2"/>
    <n v="1"/>
    <n v="0.43041208333333331"/>
  </r>
  <r>
    <n v="1107"/>
    <x v="11"/>
    <n v="10.375678611111111"/>
    <n v="3.8731187962961111"/>
    <n v="4.3231994212962956E-2"/>
    <n v="1.6137994984567128E-2"/>
    <n v="1"/>
    <n v="0.51878393055555549"/>
  </r>
  <r>
    <n v="1108"/>
    <x v="0"/>
    <n v="18.250833333333333"/>
    <n v="7.1941666666666659"/>
    <n v="7.6045138888888877E-2"/>
    <n v="2.997569444444444E-2"/>
    <n v="1"/>
    <n v="0.91254166666666658"/>
  </r>
  <r>
    <n v="1108"/>
    <x v="8"/>
    <n v="16.495941388888891"/>
    <n v="10.887650583333331"/>
    <n v="6.8733089120370378E-2"/>
    <n v="4.5365210763888879E-2"/>
    <n v="1"/>
    <n v="0.82479706944444453"/>
  </r>
  <r>
    <n v="1108"/>
    <x v="10"/>
    <n v="38.256144444444438"/>
    <n v="10.694313383838329"/>
    <n v="0.15940060185185181"/>
    <n v="4.4559639099326372E-2"/>
    <n v="2"/>
    <n v="1.9128072222222219"/>
  </r>
  <r>
    <n v="1109"/>
    <x v="0"/>
    <n v="4.3902777777777784"/>
    <n v="0.76305555555555549"/>
    <n v="1.8292824074074076E-2"/>
    <n v="3.1793981481481478E-3"/>
    <n v="1"/>
    <n v="0.2195138888888889"/>
  </r>
  <r>
    <n v="1109"/>
    <x v="1"/>
    <n v="3.6411572222222222"/>
    <n v="0.35444393939388891"/>
    <n v="1.5171488425925925E-2"/>
    <n v="1.476849747474537E-3"/>
    <n v="1"/>
    <n v="0.18205786111111111"/>
  </r>
  <r>
    <n v="1109"/>
    <x v="2"/>
    <n v="4.5552269444444446"/>
    <n v="0.40301145833333341"/>
    <n v="1.898011226851852E-2"/>
    <n v="1.6792144097222226E-3"/>
    <n v="1"/>
    <n v="0.22776134722222224"/>
  </r>
  <r>
    <n v="1109"/>
    <x v="3"/>
    <n v="3.348085555555556"/>
    <n v="0.36629533068777781"/>
    <n v="1.3950356481481484E-2"/>
    <n v="1.5262305445324076E-3"/>
    <n v="1"/>
    <n v="0.1674042777777778"/>
  </r>
  <r>
    <n v="1109"/>
    <x v="4"/>
    <n v="2.990223055555556"/>
    <n v="0.57621586111111112"/>
    <n v="1.2459262731481483E-2"/>
    <n v="2.4008994212962962E-3"/>
    <n v="1"/>
    <n v="0.14951115277777779"/>
  </r>
  <r>
    <n v="1109"/>
    <x v="5"/>
    <n v="5.2021808333333333"/>
    <n v="0.76692173611111114"/>
    <n v="2.1675753472222222E-2"/>
    <n v="3.1955072337962963E-3"/>
    <n v="1"/>
    <n v="0.26010904166666665"/>
  </r>
  <r>
    <n v="1109"/>
    <x v="6"/>
    <n v="6.7282502777777777"/>
    <n v="1.076941208333333"/>
    <n v="2.8034376157407406E-2"/>
    <n v="4.4872550347222206E-3"/>
    <n v="1"/>
    <n v="0.33641251388888888"/>
  </r>
  <r>
    <n v="1109"/>
    <x v="7"/>
    <n v="5.4522872222222221"/>
    <n v="0.94332653381638887"/>
    <n v="2.2717863425925924E-2"/>
    <n v="3.930527224234954E-3"/>
    <n v="1"/>
    <n v="0.27261436111111109"/>
  </r>
  <r>
    <n v="1109"/>
    <x v="8"/>
    <n v="3.2697258333333332"/>
    <n v="0.56835786324777782"/>
    <n v="1.3623857638888889E-2"/>
    <n v="2.3681577635324075E-3"/>
    <n v="1"/>
    <n v="0.16348629166666667"/>
  </r>
  <r>
    <n v="1109"/>
    <x v="9"/>
    <n v="6.1416391666666668"/>
    <n v="1.2815519191916671"/>
    <n v="2.5590163194444446E-2"/>
    <n v="5.3397996632986132E-3"/>
    <n v="1"/>
    <n v="0.30708195833333335"/>
  </r>
  <r>
    <n v="1109"/>
    <x v="10"/>
    <n v="5.8276044444444448"/>
    <n v="1.579556365740556"/>
    <n v="2.4281685185185187E-2"/>
    <n v="6.5814848572523163E-3"/>
    <n v="1"/>
    <n v="0.29138022222222226"/>
  </r>
  <r>
    <n v="1109"/>
    <x v="11"/>
    <n v="5.5239630555555559"/>
    <n v="1.237418201058055"/>
    <n v="2.3016512731481486E-2"/>
    <n v="5.1559091710752297E-3"/>
    <n v="1"/>
    <n v="0.27619815277777782"/>
  </r>
  <r>
    <n v="1110"/>
    <x v="0"/>
    <n v="4.3019444444444446"/>
    <n v="3.7425000000000002"/>
    <n v="1.7924768518518517E-2"/>
    <n v="1.5593750000000002E-2"/>
    <n v="1"/>
    <n v="0.21509722222222222"/>
  </r>
  <r>
    <n v="1110"/>
    <x v="1"/>
    <n v="0.28703333333333331"/>
    <n v="0.1450779545452778"/>
    <n v="1.1959722222222222E-3"/>
    <n v="6.0449147727199089E-4"/>
    <n v="1"/>
    <n v="1.4351666666666665E-2"/>
  </r>
  <r>
    <n v="1110"/>
    <x v="2"/>
    <n v="0.19048777777777781"/>
    <n v="0.13681913888888891"/>
    <n v="7.9369907407407427E-4"/>
    <n v="5.7007974537037049E-4"/>
    <n v="1"/>
    <n v="9.5243888888888913E-3"/>
  </r>
  <r>
    <n v="1110"/>
    <x v="3"/>
    <n v="0.19088861111111111"/>
    <n v="0.14321973544972219"/>
    <n v="7.95369212962963E-4"/>
    <n v="5.9674889770717577E-4"/>
    <n v="1"/>
    <n v="9.544430555555556E-3"/>
  </r>
  <r>
    <n v="1110"/>
    <x v="4"/>
    <n v="0.25177333333333329"/>
    <n v="0.15452538888888889"/>
    <n v="1.0490555555555555E-3"/>
    <n v="6.4385578703703703E-4"/>
    <n v="1"/>
    <n v="1.2588666666666665E-2"/>
  </r>
  <r>
    <n v="1110"/>
    <x v="5"/>
    <n v="0.19916500000000001"/>
    <n v="0.15104777777777781"/>
    <n v="8.2985416666666667E-4"/>
    <n v="6.2936574074074088E-4"/>
    <n v="1"/>
    <n v="9.9582500000000001E-3"/>
  </r>
  <r>
    <n v="1110"/>
    <x v="6"/>
    <n v="0.2286488888888889"/>
    <n v="0.1578647222222222"/>
    <n v="9.5270370370370376E-4"/>
    <n v="6.577696759259258E-4"/>
    <n v="1"/>
    <n v="1.1432444444444445E-2"/>
  </r>
  <r>
    <n v="1110"/>
    <x v="7"/>
    <n v="10.07293916666667"/>
    <n v="4.1080167632849998"/>
    <n v="4.1970579861111128E-2"/>
    <n v="1.7116736513687499E-2"/>
    <n v="1"/>
    <n v="0.50364695833333351"/>
  </r>
  <r>
    <n v="1110"/>
    <x v="8"/>
    <n v="10.047849166666669"/>
    <n v="9.9882942361111109"/>
    <n v="4.1866038194444455E-2"/>
    <n v="4.1617892650462958E-2"/>
    <n v="1"/>
    <n v="0.50239245833333346"/>
  </r>
  <r>
    <n v="1110"/>
    <x v="9"/>
    <n v="10.04328527777778"/>
    <n v="10.002639191919171"/>
    <n v="4.1847021990740751E-2"/>
    <n v="4.1677663299663215E-2"/>
    <n v="1"/>
    <n v="0.50216426388888902"/>
  </r>
  <r>
    <n v="1110"/>
    <x v="10"/>
    <n v="10.04281277777778"/>
    <n v="9.9177898989897226"/>
    <n v="4.1845053240740747E-2"/>
    <n v="4.1324124579123843E-2"/>
    <n v="1"/>
    <n v="0.50214063888888893"/>
  </r>
  <r>
    <n v="1110"/>
    <x v="11"/>
    <n v="10.06560833333333"/>
    <n v="10.00278912698389"/>
    <n v="4.1940034722222207E-2"/>
    <n v="4.1678288029099543E-2"/>
    <n v="1"/>
    <n v="0.50328041666666645"/>
  </r>
  <r>
    <n v="1111"/>
    <x v="0"/>
    <n v="3.9894444444444446"/>
    <n v="3.5611111111111109"/>
    <n v="1.6622685185185185E-2"/>
    <n v="1.4837962962962963E-2"/>
    <n v="1"/>
    <n v="0.19947222222222222"/>
  </r>
  <r>
    <n v="1111"/>
    <x v="1"/>
    <n v="3.0977725"/>
    <n v="2.9979385732322221"/>
    <n v="1.2907385416666667E-2"/>
    <n v="1.2491410721800926E-2"/>
    <n v="1"/>
    <n v="0.154888625"/>
  </r>
  <r>
    <n v="1111"/>
    <x v="2"/>
    <n v="3.3299325"/>
    <n v="2.8921842916666671"/>
    <n v="1.3874718750000001E-2"/>
    <n v="1.2050767881944447E-2"/>
    <n v="1"/>
    <n v="0.16649662500000001"/>
  </r>
  <r>
    <n v="1111"/>
    <x v="3"/>
    <n v="3.0475211111111111"/>
    <n v="2.799123082010555"/>
    <n v="1.269800462962963E-2"/>
    <n v="1.1663012841710646E-2"/>
    <n v="1"/>
    <n v="0.15237605555555556"/>
  </r>
  <r>
    <n v="1111"/>
    <x v="4"/>
    <n v="3.1318383333333339"/>
    <n v="2.9236548472222221"/>
    <n v="1.3049326388888892E-2"/>
    <n v="1.218189519675926E-2"/>
    <n v="1"/>
    <n v="0.15659191666666669"/>
  </r>
  <r>
    <n v="1111"/>
    <x v="5"/>
    <n v="4.9523358333333336"/>
    <n v="3.2363562638888892"/>
    <n v="2.0634732638888889E-2"/>
    <n v="1.3484817766203706E-2"/>
    <n v="1"/>
    <n v="0.24761679166666667"/>
  </r>
  <r>
    <n v="1111"/>
    <x v="6"/>
    <n v="4.8282961111111113"/>
    <n v="4.1932136243386111"/>
    <n v="2.0117900462962964E-2"/>
    <n v="1.7471723434744211E-2"/>
    <n v="1"/>
    <n v="0.24141480555555556"/>
  </r>
  <r>
    <n v="1111"/>
    <x v="7"/>
    <n v="5.0439613888888886"/>
    <n v="4.4734990579708329"/>
    <n v="2.1016505787037038E-2"/>
    <n v="1.8639579408211805E-2"/>
    <n v="1"/>
    <n v="0.25219806944444445"/>
  </r>
  <r>
    <n v="1111"/>
    <x v="8"/>
    <n v="5.1353038888888891"/>
    <n v="4.89753025"/>
    <n v="2.1397099537037039E-2"/>
    <n v="2.0406376041666667E-2"/>
    <n v="1"/>
    <n v="0.25676519444444446"/>
  </r>
  <r>
    <n v="1111"/>
    <x v="9"/>
    <n v="4.9038588888888892"/>
    <n v="4.673951123737222"/>
    <n v="2.0432745370370372E-2"/>
    <n v="1.9474796348905091E-2"/>
    <n v="1"/>
    <n v="0.24519294444444445"/>
  </r>
  <r>
    <n v="1111"/>
    <x v="10"/>
    <n v="5.2166113888888894"/>
    <n v="4.7459298989897221"/>
    <n v="2.1735880787037042E-2"/>
    <n v="1.9774707912457175E-2"/>
    <n v="1"/>
    <n v="0.26083056944444449"/>
  </r>
  <r>
    <n v="1111"/>
    <x v="11"/>
    <n v="5.1849986111111113"/>
    <n v="4.8986488492061113"/>
    <n v="2.160416087962963E-2"/>
    <n v="2.0411036871692132E-2"/>
    <n v="1"/>
    <n v="0.25924993055555556"/>
  </r>
  <r>
    <n v="1112"/>
    <x v="0"/>
    <n v="3.5622222222222222"/>
    <n v="1.9786111111111111"/>
    <n v="1.4842592592592593E-2"/>
    <n v="8.2442129629629619E-3"/>
    <n v="1"/>
    <n v="0.17811111111111111"/>
  </r>
  <r>
    <n v="1112"/>
    <x v="1"/>
    <n v="3.623842777777778"/>
    <n v="2.576024356060556"/>
    <n v="1.5099344907407409E-2"/>
    <n v="1.0733434816918984E-2"/>
    <n v="1"/>
    <n v="0.18119213888888891"/>
  </r>
  <r>
    <n v="1112"/>
    <x v="2"/>
    <n v="3.0990655555555562"/>
    <n v="2.2095351944444439"/>
    <n v="1.2912773148148151E-2"/>
    <n v="9.2063966435185166E-3"/>
    <n v="1"/>
    <n v="0.15495327777777781"/>
  </r>
  <r>
    <n v="1112"/>
    <x v="3"/>
    <n v="7.6975591666666663"/>
    <n v="2.4656373677247219"/>
    <n v="3.2073163194444441E-2"/>
    <n v="1.0273489032186341E-2"/>
    <n v="1"/>
    <n v="0.38487795833333327"/>
  </r>
  <r>
    <n v="1112"/>
    <x v="4"/>
    <n v="3.9963322222222222"/>
    <n v="2.578681722222222"/>
    <n v="1.6651384259259258E-2"/>
    <n v="1.0744507175925925E-2"/>
    <n v="1"/>
    <n v="0.1998166111111111"/>
  </r>
  <r>
    <n v="1112"/>
    <x v="5"/>
    <n v="5.4788772222222226"/>
    <n v="3.1958598611111109"/>
    <n v="2.2828655092592593E-2"/>
    <n v="1.331608275462963E-2"/>
    <n v="1"/>
    <n v="0.27394386111111113"/>
  </r>
  <r>
    <n v="1112"/>
    <x v="6"/>
    <n v="6.4290119444444436"/>
    <n v="2.022216319444444"/>
    <n v="2.6787549768518517E-2"/>
    <n v="8.4259013310185159E-3"/>
    <n v="1"/>
    <n v="0.32145059722222219"/>
  </r>
  <r>
    <n v="1112"/>
    <x v="7"/>
    <n v="2.8881702777777778"/>
    <n v="1.825963115941944"/>
    <n v="1.2034042824074075E-2"/>
    <n v="7.6081796497581003E-3"/>
    <n v="1"/>
    <n v="0.1444085138888889"/>
  </r>
  <r>
    <n v="1112"/>
    <x v="8"/>
    <n v="2.4219955555555561"/>
    <n v="1.579192972222222"/>
    <n v="1.009164814814815E-2"/>
    <n v="6.5799707175925913E-3"/>
    <n v="1"/>
    <n v="0.12109977777777781"/>
  </r>
  <r>
    <n v="1112"/>
    <x v="9"/>
    <n v="2.578183333333333"/>
    <n v="1.9481401767675"/>
    <n v="1.0742430555555555E-2"/>
    <n v="8.1172507365312504E-3"/>
    <n v="1"/>
    <n v="0.12890916666666666"/>
  </r>
  <r>
    <n v="1112"/>
    <x v="10"/>
    <n v="2.0057980555555561"/>
    <n v="1.518366401515"/>
    <n v="8.3574918981481495E-3"/>
    <n v="6.326526672979167E-3"/>
    <n v="1"/>
    <n v="0.1002899027777778"/>
  </r>
  <r>
    <n v="1112"/>
    <x v="11"/>
    <n v="2.5252750000000002"/>
    <n v="1.823495621693056"/>
    <n v="1.0521979166666667E-2"/>
    <n v="7.5978984237210665E-3"/>
    <n v="1"/>
    <n v="0.12626375000000001"/>
  </r>
  <r>
    <n v="1113"/>
    <x v="0"/>
    <n v="3.0322222222222224"/>
    <n v="0.74055555555555552"/>
    <n v="1.263425925925926E-2"/>
    <n v="3.0856481481481481E-3"/>
    <n v="1"/>
    <n v="0.15161111111111111"/>
  </r>
  <r>
    <n v="1113"/>
    <x v="1"/>
    <n v="2.1067297222222221"/>
    <n v="0.6240343055555555"/>
    <n v="8.7780405092592589E-3"/>
    <n v="2.6001429398148147E-3"/>
    <n v="1"/>
    <n v="0.1053364861111111"/>
  </r>
  <r>
    <n v="1113"/>
    <x v="2"/>
    <n v="1.218158333333333"/>
    <n v="0.43188797222222219"/>
    <n v="5.075659722222221E-3"/>
    <n v="1.7995332175925925E-3"/>
    <n v="1"/>
    <n v="6.0907916666666652E-2"/>
  </r>
  <r>
    <n v="1113"/>
    <x v="3"/>
    <n v="1.969973611111111"/>
    <n v="0.34164900793638892"/>
    <n v="8.2082233796296287E-3"/>
    <n v="1.4235375330682871E-3"/>
    <n v="1"/>
    <n v="9.8498680555555551E-2"/>
  </r>
  <r>
    <n v="1113"/>
    <x v="4"/>
    <n v="1.5159377777777781"/>
    <n v="0.32918695833333328"/>
    <n v="6.3164074074074086E-3"/>
    <n v="1.3716123263888887E-3"/>
    <n v="1"/>
    <n v="7.57968888888889E-2"/>
  </r>
  <r>
    <n v="1113"/>
    <x v="5"/>
    <n v="6.6139975"/>
    <n v="0.85829126388888888"/>
    <n v="2.7558322916666666E-2"/>
    <n v="3.5762135995370367E-3"/>
    <n v="1"/>
    <n v="0.33069987499999998"/>
  </r>
  <r>
    <n v="1113"/>
    <x v="6"/>
    <n v="1.514139166666667"/>
    <n v="0.61880164021138884"/>
    <n v="6.308913194444446E-3"/>
    <n v="2.5783401675474535E-3"/>
    <n v="1"/>
    <n v="7.5706958333333352E-2"/>
  </r>
  <r>
    <n v="1113"/>
    <x v="7"/>
    <n v="4.1245424999999996"/>
    <n v="1.0762020893719439"/>
    <n v="1.7185593749999999E-2"/>
    <n v="4.4841753723831E-3"/>
    <n v="1"/>
    <n v="0.20622712499999998"/>
  </r>
  <r>
    <n v="1113"/>
    <x v="8"/>
    <n v="3.3867702777777779"/>
    <n v="1.1708972499999999"/>
    <n v="1.4111542824074076E-2"/>
    <n v="4.878738541666666E-3"/>
    <n v="1"/>
    <n v="0.1693385138888889"/>
  </r>
  <r>
    <n v="1113"/>
    <x v="9"/>
    <n v="3.6338369444444441"/>
    <n v="1.0505724873736111"/>
    <n v="1.5140987268518516E-2"/>
    <n v="4.3773853640567129E-3"/>
    <n v="1"/>
    <n v="0.1816918472222222"/>
  </r>
  <r>
    <n v="1113"/>
    <x v="10"/>
    <n v="3.405709166666667"/>
    <n v="1.1826886489897219"/>
    <n v="1.4190454861111113E-2"/>
    <n v="4.9278693707905082E-3"/>
    <n v="1"/>
    <n v="0.17028545833333336"/>
  </r>
  <r>
    <n v="1113"/>
    <x v="11"/>
    <n v="6.8964944444444436"/>
    <n v="1.200095304232778"/>
    <n v="2.8735393518518514E-2"/>
    <n v="5.0003971009699088E-3"/>
    <n v="1"/>
    <n v="0.34482472222222216"/>
  </r>
  <r>
    <n v="1114"/>
    <x v="0"/>
    <n v="6.0141666666666671"/>
    <n v="1.4808333333333332"/>
    <n v="2.5059027777777781E-2"/>
    <n v="6.1701388888888882E-3"/>
    <n v="1"/>
    <n v="0.30070833333333336"/>
  </r>
  <r>
    <n v="1114"/>
    <x v="7"/>
    <n v="9.7828347222222227"/>
    <n v="3.4315200631311109"/>
    <n v="4.0761811342592595E-2"/>
    <n v="1.4298000263046296E-2"/>
    <n v="1"/>
    <n v="0.48914173611111111"/>
  </r>
  <r>
    <n v="1114"/>
    <x v="8"/>
    <n v="10.673224166666669"/>
    <n v="1.854987305555555"/>
    <n v="4.4471767361111116E-2"/>
    <n v="7.7291137731481455E-3"/>
    <n v="1"/>
    <n v="0.53366120833333341"/>
  </r>
  <r>
    <n v="1114"/>
    <x v="9"/>
    <n v="3.2591722222222219"/>
    <n v="1.0847371717169449"/>
    <n v="1.3579884259259259E-2"/>
    <n v="4.5197382154872701E-3"/>
    <n v="1"/>
    <n v="0.1629586111111111"/>
  </r>
  <r>
    <n v="1114"/>
    <x v="10"/>
    <n v="1.5466983333333331"/>
    <n v="0.85078982323222219"/>
    <n v="6.4445763888888877E-3"/>
    <n v="3.544957596800926E-3"/>
    <n v="1"/>
    <n v="7.7334916666666656E-2"/>
  </r>
  <r>
    <n v="1114"/>
    <x v="11"/>
    <n v="10.821420833333329"/>
    <n v="1.661328783068611"/>
    <n v="4.5089253472222202E-2"/>
    <n v="6.922203262785879E-3"/>
    <n v="1"/>
    <n v="0.54107104166666642"/>
  </r>
  <r>
    <n v="1115"/>
    <x v="0"/>
    <n v="2.8011111111111111"/>
    <n v="1.418611111111111"/>
    <n v="1.1671296296296296E-2"/>
    <n v="5.9108796296296296E-3"/>
    <n v="1"/>
    <n v="0.14005555555555554"/>
  </r>
  <r>
    <n v="1115"/>
    <x v="1"/>
    <n v="3.1597425000000001"/>
    <n v="1.5210658695649999"/>
    <n v="1.3165593750000001E-2"/>
    <n v="6.3377744565208324E-3"/>
    <n v="1"/>
    <n v="0.15798712500000001"/>
  </r>
  <r>
    <n v="1115"/>
    <x v="2"/>
    <n v="3.0572463888888892"/>
    <n v="1.665943763888889"/>
    <n v="1.2738526620370371E-2"/>
    <n v="6.9414323495370382E-3"/>
    <n v="1"/>
    <n v="0.15286231944444445"/>
  </r>
  <r>
    <n v="1115"/>
    <x v="3"/>
    <n v="2.7214594444444451"/>
    <n v="1.688572354497222"/>
    <n v="1.1339414351851854E-2"/>
    <n v="7.0357181437384246E-3"/>
    <n v="1"/>
    <n v="0.13607297222222225"/>
  </r>
  <r>
    <n v="1115"/>
    <x v="4"/>
    <n v="2.9399822222222221"/>
    <n v="1.474321414141389"/>
    <n v="1.2249925925925926E-2"/>
    <n v="6.1430058922557875E-3"/>
    <n v="1"/>
    <n v="0.14699911111111111"/>
  </r>
  <r>
    <n v="1115"/>
    <x v="5"/>
    <n v="3.211903611111111"/>
    <n v="1.458718181818055"/>
    <n v="1.3382931712962962E-2"/>
    <n v="6.0779924242418959E-3"/>
    <n v="1"/>
    <n v="0.16059518055555555"/>
  </r>
  <r>
    <n v="1115"/>
    <x v="6"/>
    <n v="2.4997813888888891"/>
    <n v="1.4468619708994439"/>
    <n v="1.0415755787037038E-2"/>
    <n v="6.0285915454143498E-3"/>
    <n v="1"/>
    <n v="0.12498906944444446"/>
  </r>
  <r>
    <n v="1115"/>
    <x v="7"/>
    <n v="5.0438527777777784"/>
    <n v="1.7412448309177779"/>
    <n v="2.1016053240740743E-2"/>
    <n v="7.2551867954907421E-3"/>
    <n v="1"/>
    <n v="0.25219263888888893"/>
  </r>
  <r>
    <n v="1115"/>
    <x v="8"/>
    <n v="3.1203805555555562"/>
    <n v="1.5627475"/>
    <n v="1.3001585648148151E-2"/>
    <n v="6.5114479166666663E-3"/>
    <n v="1"/>
    <n v="0.15601902777777782"/>
  </r>
  <r>
    <n v="1115"/>
    <x v="9"/>
    <n v="2.2362852777777782"/>
    <n v="1.5232339772725001"/>
    <n v="9.3178553240740748E-3"/>
    <n v="6.3468082386354168E-3"/>
    <n v="1"/>
    <n v="0.1118142638888889"/>
  </r>
  <r>
    <n v="1115"/>
    <x v="10"/>
    <n v="3.287831666666666"/>
    <n v="1.459990398550556"/>
    <n v="1.369929861111111E-2"/>
    <n v="6.0832933272939836E-3"/>
    <n v="1"/>
    <n v="0.16439158333333331"/>
  </r>
  <r>
    <n v="1115"/>
    <x v="11"/>
    <n v="2.332697222222222"/>
    <n v="1.479181560846389"/>
    <n v="9.7195717592592577E-3"/>
    <n v="6.1632565035266212E-3"/>
    <n v="1"/>
    <n v="0.1166348611111111"/>
  </r>
  <r>
    <n v="1116"/>
    <x v="0"/>
    <n v="10.637499999999999"/>
    <n v="10.456944444444444"/>
    <n v="4.4322916666666663E-2"/>
    <n v="4.3570601851851853E-2"/>
    <n v="1"/>
    <n v="0.53187499999999999"/>
  </r>
  <r>
    <n v="1116"/>
    <x v="1"/>
    <n v="15.95948416666667"/>
    <n v="15.45549976010083"/>
    <n v="6.6497850694444458E-2"/>
    <n v="6.4397915667086789E-2"/>
    <n v="1"/>
    <n v="0.79797420833333343"/>
  </r>
  <r>
    <n v="1116"/>
    <x v="2"/>
    <n v="15.953008333333329"/>
    <n v="15.914662986111111"/>
    <n v="6.6470868055555535E-2"/>
    <n v="6.6311095775462958E-2"/>
    <n v="1"/>
    <n v="0.79765041666666647"/>
  </r>
  <r>
    <n v="1117"/>
    <x v="0"/>
    <n v="14.313055555555556"/>
    <n v="12.930277777777778"/>
    <n v="5.9637731481481486E-2"/>
    <n v="5.3876157407407414E-2"/>
    <n v="1"/>
    <n v="0.7156527777777778"/>
  </r>
  <r>
    <n v="1117"/>
    <x v="5"/>
    <n v="28.62556027777778"/>
    <n v="25.860003333333339"/>
    <n v="0.11927316782407409"/>
    <n v="0.1077500138888889"/>
    <n v="2"/>
    <n v="1.431278013888889"/>
  </r>
  <r>
    <n v="1118"/>
    <x v="0"/>
    <n v="2.3097222222222222"/>
    <n v="1.2025000000000001"/>
    <n v="9.6238425925925918E-3"/>
    <n v="5.0104166666666674E-3"/>
    <n v="1"/>
    <n v="0.11548611111111109"/>
  </r>
  <r>
    <n v="1118"/>
    <x v="1"/>
    <n v="1.7209675"/>
    <n v="1.090082171716944"/>
    <n v="7.1706979166666664E-3"/>
    <n v="4.5420090488206E-3"/>
    <n v="1"/>
    <n v="8.6048374999999996E-2"/>
  </r>
  <r>
    <n v="1118"/>
    <x v="2"/>
    <n v="1.1929713888888891"/>
    <n v="0.79404944444444447"/>
    <n v="4.970714120370371E-3"/>
    <n v="3.308539351851852E-3"/>
    <n v="1"/>
    <n v="5.9648569444444452E-2"/>
  </r>
  <r>
    <n v="1118"/>
    <x v="3"/>
    <n v="1.4229055555555561"/>
    <n v="1.048029378306667"/>
    <n v="5.9287731481481509E-3"/>
    <n v="4.3667890762777795E-3"/>
    <n v="1"/>
    <n v="7.1145277777777807E-2"/>
  </r>
  <r>
    <n v="1118"/>
    <x v="4"/>
    <n v="2.2105922222222221"/>
    <n v="1.3368172638888891"/>
    <n v="9.2108009259259261E-3"/>
    <n v="5.5700719328703715E-3"/>
    <n v="1"/>
    <n v="0.11052961111111112"/>
  </r>
  <r>
    <n v="1118"/>
    <x v="5"/>
    <n v="3.3225905555555562"/>
    <n v="1.271619222222222"/>
    <n v="1.3844127314814818E-2"/>
    <n v="5.2984134259259248E-3"/>
    <n v="1"/>
    <n v="0.16612952777777781"/>
  </r>
  <r>
    <n v="1118"/>
    <x v="6"/>
    <n v="4.9205002777777782"/>
    <n v="2.1813401322749999"/>
    <n v="2.0502084490740743E-2"/>
    <n v="9.0889172178124991E-3"/>
    <n v="1"/>
    <n v="0.24602501388888892"/>
  </r>
  <r>
    <n v="1118"/>
    <x v="7"/>
    <n v="1.0717888888888889"/>
    <n v="0.85687143719805559"/>
    <n v="4.4657870370370372E-3"/>
    <n v="3.570297654991898E-3"/>
    <n v="1"/>
    <n v="5.3589444444444446E-2"/>
  </r>
  <r>
    <n v="1118"/>
    <x v="8"/>
    <n v="2.5548483333333332"/>
    <n v="1.412075027777778"/>
    <n v="1.0645201388888888E-2"/>
    <n v="5.8836459490740753E-3"/>
    <n v="1"/>
    <n v="0.12774241666666666"/>
  </r>
  <r>
    <n v="1118"/>
    <x v="9"/>
    <n v="1.7226397222222221"/>
    <n v="1.405343661616111"/>
    <n v="7.1776655092592586E-3"/>
    <n v="5.8555985900671298E-3"/>
    <n v="1"/>
    <n v="8.61319861111111E-2"/>
  </r>
  <r>
    <n v="1118"/>
    <x v="10"/>
    <n v="2.0998897222222221"/>
    <n v="1.607193169191667"/>
    <n v="8.7495405092592581E-3"/>
    <n v="6.6966382049652787E-3"/>
    <n v="1"/>
    <n v="0.10499448611111109"/>
  </r>
  <r>
    <n v="1118"/>
    <x v="11"/>
    <n v="5.476726666666667"/>
    <n v="1.426237076719445"/>
    <n v="2.2819694444444445E-2"/>
    <n v="5.9426544863310201E-3"/>
    <n v="1"/>
    <n v="0.27383633333333335"/>
  </r>
  <r>
    <n v="1119"/>
    <x v="0"/>
    <n v="2.3052777777777775"/>
    <n v="1.0052777777777779"/>
    <n v="9.6053240740740734E-3"/>
    <n v="4.1886574074074083E-3"/>
    <n v="1"/>
    <n v="0.11526388888888889"/>
  </r>
  <r>
    <n v="1119"/>
    <x v="1"/>
    <n v="7.9462155555555558"/>
    <n v="4.2719887373736114"/>
    <n v="3.3109231481481483E-2"/>
    <n v="1.7799953072390049E-2"/>
    <n v="1"/>
    <n v="0.39731077777777779"/>
  </r>
  <r>
    <n v="1119"/>
    <x v="2"/>
    <n v="2.0615755555555562"/>
    <n v="0.72883505555555561"/>
    <n v="8.5898981481481503E-3"/>
    <n v="3.0368127314814816E-3"/>
    <n v="1"/>
    <n v="0.1030787777777778"/>
  </r>
  <r>
    <n v="1119"/>
    <x v="3"/>
    <n v="2.208755"/>
    <n v="0.96082773809499999"/>
    <n v="9.203145833333334E-3"/>
    <n v="4.0034489087291672E-3"/>
    <n v="1"/>
    <n v="0.11043775"/>
  </r>
  <r>
    <n v="1119"/>
    <x v="4"/>
    <n v="3.1871236111111112"/>
    <n v="1.0026378888888889"/>
    <n v="1.3279681712962963E-2"/>
    <n v="4.1776578703703708E-3"/>
    <n v="1"/>
    <n v="0.15935618055555556"/>
  </r>
  <r>
    <n v="1119"/>
    <x v="5"/>
    <n v="1.899421666666667"/>
    <n v="0.75304630555555552"/>
    <n v="7.914256944444446E-3"/>
    <n v="3.137692939814815E-3"/>
    <n v="1"/>
    <n v="9.4971083333333345E-2"/>
  </r>
  <r>
    <n v="1119"/>
    <x v="6"/>
    <n v="1.3918936111111111"/>
    <n v="0.52731444444444442"/>
    <n v="5.799556712962963E-3"/>
    <n v="2.1971435185185184E-3"/>
    <n v="1"/>
    <n v="6.9594680555555552E-2"/>
  </r>
  <r>
    <n v="1119"/>
    <x v="7"/>
    <n v="1.5364858333333331"/>
    <n v="0.64342187198055556"/>
    <n v="6.4020243055555549E-3"/>
    <n v="2.680924466585648E-3"/>
    <n v="1"/>
    <n v="7.6824291666666655E-2"/>
  </r>
  <r>
    <n v="1119"/>
    <x v="8"/>
    <n v="0.65883861111111108"/>
    <n v="0.41130380555555562"/>
    <n v="2.7451608796296295E-3"/>
    <n v="1.7137658564814818E-3"/>
    <n v="1"/>
    <n v="3.2941930555555554E-2"/>
  </r>
  <r>
    <n v="1119"/>
    <x v="9"/>
    <n v="1.921877222222222"/>
    <n v="0.87565133838361109"/>
    <n v="8.0078217592592579E-3"/>
    <n v="3.6485472432650459E-3"/>
    <n v="1"/>
    <n v="9.6093861111111095E-2"/>
  </r>
  <r>
    <n v="1119"/>
    <x v="10"/>
    <n v="1.6870597222222219"/>
    <n v="0.64739190656555556"/>
    <n v="7.0294155092592578E-3"/>
    <n v="2.6974662773564819E-3"/>
    <n v="1"/>
    <n v="8.4352986111111097E-2"/>
  </r>
  <r>
    <n v="1119"/>
    <x v="11"/>
    <n v="3.1634375000000001"/>
    <n v="1.2397419047616669"/>
    <n v="1.3180989583333335E-2"/>
    <n v="5.1655912698402784E-3"/>
    <n v="1"/>
    <n v="0.15817187500000002"/>
  </r>
  <r>
    <n v="1120"/>
    <x v="0"/>
    <n v="2.4874999999999998"/>
    <n v="1.6955555555555555"/>
    <n v="1.0364583333333332E-2"/>
    <n v="7.0648148148148146E-3"/>
    <n v="1"/>
    <n v="0.12437499999999999"/>
  </r>
  <r>
    <n v="1120"/>
    <x v="1"/>
    <n v="2.6011461111111109"/>
    <n v="0.58802599206333328"/>
    <n v="1.0838108796296297E-2"/>
    <n v="2.4501083002638887E-3"/>
    <n v="1"/>
    <n v="0.13005730555555556"/>
  </r>
  <r>
    <n v="1120"/>
    <x v="2"/>
    <n v="0.53003888888888884"/>
    <n v="0.25037673611111111"/>
    <n v="2.2084953703703702E-3"/>
    <n v="1.0432364004629628E-3"/>
    <n v="1"/>
    <n v="2.6501944444444443E-2"/>
  </r>
  <r>
    <n v="1120"/>
    <x v="3"/>
    <n v="0.70933694444444439"/>
    <n v="0.2583686507936111"/>
    <n v="2.955570601851852E-3"/>
    <n v="1.0765360449733795E-3"/>
    <n v="1"/>
    <n v="3.5466847222222223E-2"/>
  </r>
  <r>
    <n v="1120"/>
    <x v="5"/>
    <n v="0.13139833333333331"/>
    <n v="0.13139833333333331"/>
    <n v="5.4749305555555551E-4"/>
    <n v="5.4749305555555551E-4"/>
    <n v="1"/>
    <n v="6.5699166666666666E-3"/>
  </r>
  <r>
    <n v="1120"/>
    <x v="6"/>
    <n v="0.74312111111111112"/>
    <n v="0.32261361111111109"/>
    <n v="3.0963379629629626E-3"/>
    <n v="1.3442233796296295E-3"/>
    <n v="1"/>
    <n v="3.7156055555555553E-2"/>
  </r>
  <r>
    <n v="1120"/>
    <x v="7"/>
    <n v="6.0939147222222223"/>
    <n v="4.3234867735041664"/>
    <n v="2.5391311342592593E-2"/>
    <n v="1.8014528222934027E-2"/>
    <n v="1"/>
    <n v="0.30469573611111112"/>
  </r>
  <r>
    <n v="1120"/>
    <x v="8"/>
    <n v="2.1512250000000002"/>
    <n v="2.073366111111111"/>
    <n v="8.9634375000000009E-3"/>
    <n v="8.6390254629629629E-3"/>
    <n v="1"/>
    <n v="0.10756125000000001"/>
  </r>
  <r>
    <n v="1120"/>
    <x v="9"/>
    <n v="6.097917777777778"/>
    <n v="3.117133320706944"/>
    <n v="2.5407990740740741E-2"/>
    <n v="1.29880555029456E-2"/>
    <n v="1"/>
    <n v="0.30489588888888891"/>
  </r>
  <r>
    <n v="1120"/>
    <x v="10"/>
    <n v="2.1926511111111111"/>
    <n v="1.8141825"/>
    <n v="9.1360462962962966E-3"/>
    <n v="7.5590937499999998E-3"/>
    <n v="1"/>
    <n v="0.10963255555555557"/>
  </r>
  <r>
    <n v="1120"/>
    <x v="11"/>
    <n v="6.1116066666666669"/>
    <n v="5.7720007142855554"/>
    <n v="2.5465027777777777E-2"/>
    <n v="2.4050002976189814E-2"/>
    <n v="1"/>
    <n v="0.30558033333333334"/>
  </r>
  <r>
    <n v="1121"/>
    <x v="0"/>
    <n v="1.8608333333333333"/>
    <n v="0.63972222222222219"/>
    <n v="7.7534722222222215E-3"/>
    <n v="2.6655092592592594E-3"/>
    <n v="1"/>
    <n v="9.3041666666666661E-2"/>
  </r>
  <r>
    <n v="1121"/>
    <x v="1"/>
    <n v="3.201388888888889E-2"/>
    <n v="3.1803194444444453E-2"/>
    <n v="1.3339120370370371E-4"/>
    <n v="1.3251331018518522E-4"/>
    <n v="1"/>
    <n v="1.6006944444444445E-3"/>
  </r>
  <r>
    <n v="1121"/>
    <x v="2"/>
    <n v="3.2023055555555548E-2"/>
    <n v="3.0633750000000001E-2"/>
    <n v="1.3342939814814812E-4"/>
    <n v="1.2764062500000001E-4"/>
    <n v="1"/>
    <n v="1.6011527777777773E-3"/>
  </r>
  <r>
    <n v="1121"/>
    <x v="3"/>
    <n v="3.342888888888889E-2"/>
    <n v="3.1083055555555551E-2"/>
    <n v="1.3928703703703705E-4"/>
    <n v="1.2951273148148145E-4"/>
    <n v="1"/>
    <n v="1.6714444444444446E-3"/>
  </r>
  <r>
    <n v="1121"/>
    <x v="4"/>
    <n v="3.5525000000000001E-2"/>
    <n v="3.3048611111111112E-2"/>
    <n v="1.4802083333333334E-4"/>
    <n v="1.377025462962963E-4"/>
    <n v="1"/>
    <n v="1.7762500000000001E-3"/>
  </r>
  <r>
    <n v="1121"/>
    <x v="5"/>
    <n v="11.122765555555549"/>
    <n v="3.752391296296111"/>
    <n v="4.6344856481481456E-2"/>
    <n v="1.5634963734567128E-2"/>
    <n v="1"/>
    <n v="0.55613827777777747"/>
  </r>
  <r>
    <n v="1121"/>
    <x v="6"/>
    <n v="2.9166666666666671E-2"/>
    <n v="2.7313333333333328E-2"/>
    <n v="1.215277777777778E-4"/>
    <n v="1.1380555555555554E-4"/>
    <n v="1"/>
    <n v="1.4583333333333336E-3"/>
  </r>
  <r>
    <n v="1121"/>
    <x v="7"/>
    <n v="3.19925E-2"/>
    <n v="2.7864814814722218E-2"/>
    <n v="1.3330208333333334E-4"/>
    <n v="1.1610339506134258E-4"/>
    <n v="1"/>
    <n v="1.5996249999999999E-3"/>
  </r>
  <r>
    <n v="1121"/>
    <x v="8"/>
    <n v="10.672506388888889"/>
    <n v="3.577419166666667"/>
    <n v="4.4468776620370375E-2"/>
    <n v="1.4905913194444446E-2"/>
    <n v="1"/>
    <n v="0.53362531944444447"/>
  </r>
  <r>
    <n v="1121"/>
    <x v="9"/>
    <n v="3.0856388888888892E-2"/>
    <n v="2.9995694444444439E-2"/>
    <n v="1.2856828703703704E-4"/>
    <n v="1.2498206018518517E-4"/>
    <n v="1"/>
    <n v="1.5428194444444443E-3"/>
  </r>
  <r>
    <n v="1121"/>
    <x v="10"/>
    <n v="3.1313055555555552E-2"/>
    <n v="3.0356527777777781E-2"/>
    <n v="1.3047106481481479E-4"/>
    <n v="1.2648553240740743E-4"/>
    <n v="1"/>
    <n v="1.5656527777777774E-3"/>
  </r>
  <r>
    <n v="1121"/>
    <x v="11"/>
    <n v="0.27657611111111108"/>
    <n v="0.1025426666666667"/>
    <n v="1.1524004629629629E-3"/>
    <n v="4.2726111111111121E-4"/>
    <n v="1"/>
    <n v="1.3828805555555556E-2"/>
  </r>
  <r>
    <n v="1122"/>
    <x v="0"/>
    <n v="1.848888888888889"/>
    <n v="0.39111111111111108"/>
    <n v="7.7037037037037048E-3"/>
    <n v="1.6296296296296295E-3"/>
    <n v="1"/>
    <n v="9.2444444444444454E-2"/>
  </r>
  <r>
    <n v="1122"/>
    <x v="1"/>
    <n v="1.401788055555556"/>
    <n v="0.26015458333333341"/>
    <n v="5.840783564814816E-3"/>
    <n v="1.0839774305555559E-3"/>
    <n v="1"/>
    <n v="7.0089402777777796E-2"/>
  </r>
  <r>
    <n v="1122"/>
    <x v="2"/>
    <n v="3.634638888888889"/>
    <n v="0.64633351851833332"/>
    <n v="1.5144328703703705E-2"/>
    <n v="2.6930563271597222E-3"/>
    <n v="1"/>
    <n v="0.18173194444444446"/>
  </r>
  <r>
    <n v="1122"/>
    <x v="3"/>
    <n v="6.1573222222222226"/>
    <n v="0.95280838888888886"/>
    <n v="2.565550925925926E-2"/>
    <n v="3.9700349537037036E-3"/>
    <n v="1"/>
    <n v="0.30786611111111112"/>
  </r>
  <r>
    <n v="1122"/>
    <x v="4"/>
    <n v="5.3948"/>
    <n v="1.4945494097222221"/>
    <n v="2.2478333333333333E-2"/>
    <n v="6.2272892071759253E-3"/>
    <n v="1"/>
    <n v="0.26973999999999998"/>
  </r>
  <r>
    <n v="1122"/>
    <x v="5"/>
    <n v="1.5001558333333329"/>
    <n v="0.26404337962944452"/>
    <n v="6.2506493055555536E-3"/>
    <n v="1.1001807484560188E-3"/>
    <n v="1"/>
    <n v="7.5007791666666643E-2"/>
  </r>
  <r>
    <n v="1122"/>
    <x v="6"/>
    <n v="6.3850000000000001E-3"/>
    <n v="6.3850000000000001E-3"/>
    <n v="2.6604166666666665E-5"/>
    <n v="2.6604166666666665E-5"/>
    <n v="1"/>
    <n v="3.1924999999999998E-4"/>
  </r>
  <r>
    <n v="1122"/>
    <x v="7"/>
    <n v="0.75038972222222222"/>
    <n v="0.21715819444444451"/>
    <n v="3.1266238425925927E-3"/>
    <n v="9.0482581018518549E-4"/>
    <n v="1"/>
    <n v="3.7519486111111111E-2"/>
  </r>
  <r>
    <n v="1122"/>
    <x v="8"/>
    <n v="2.3013580555555562"/>
    <n v="0.56020074074055559"/>
    <n v="9.5889918981481512E-3"/>
    <n v="2.3341697530856482E-3"/>
    <n v="1"/>
    <n v="0.11506790277777781"/>
  </r>
  <r>
    <n v="1122"/>
    <x v="9"/>
    <n v="3.1678611111111109E-2"/>
    <n v="1.9780972222222221E-2"/>
    <n v="1.3199421296296296E-4"/>
    <n v="8.2420717592592593E-5"/>
    <n v="1"/>
    <n v="1.5839305555555554E-3"/>
  </r>
  <r>
    <n v="1122"/>
    <x v="10"/>
    <n v="0.53401583333333336"/>
    <n v="0.18123263888888891"/>
    <n v="2.2250659722222225E-3"/>
    <n v="7.5513599537037042E-4"/>
    <n v="1"/>
    <n v="2.6700791666666668E-2"/>
  </r>
  <r>
    <n v="1122"/>
    <x v="11"/>
    <n v="0.47365916666666669"/>
    <n v="8.8987716049166665E-2"/>
    <n v="1.9735798611111113E-3"/>
    <n v="3.7078215020486114E-4"/>
    <n v="1"/>
    <n v="2.3682958333333337E-2"/>
  </r>
  <r>
    <n v="1123"/>
    <x v="0"/>
    <n v="3.6230555555555553"/>
    <n v="2.2205555555555554"/>
    <n v="1.5096064814814814E-2"/>
    <n v="9.2523148148148139E-3"/>
    <n v="1"/>
    <n v="0.18115277777777777"/>
  </r>
  <r>
    <n v="1123"/>
    <x v="6"/>
    <n v="9.6907499999999994E-2"/>
    <n v="9.6907499999999994E-2"/>
    <n v="4.0378125000000001E-4"/>
    <n v="4.0378125000000001E-4"/>
    <n v="1"/>
    <n v="4.8453749999999999E-3"/>
  </r>
  <r>
    <n v="1123"/>
    <x v="7"/>
    <n v="1.257290833333333"/>
    <n v="0.51631769841249997"/>
    <n v="5.2387118055555537E-3"/>
    <n v="2.1513237433854163E-3"/>
    <n v="1"/>
    <n v="6.2864541666666648E-2"/>
  </r>
  <r>
    <n v="1123"/>
    <x v="8"/>
    <n v="12.11283888888889"/>
    <n v="10.35243155555556"/>
    <n v="5.0470162037037046E-2"/>
    <n v="4.3135131481481494E-2"/>
    <n v="1"/>
    <n v="0.60564194444444452"/>
  </r>
  <r>
    <n v="1123"/>
    <x v="10"/>
    <n v="5.7602630555555558"/>
    <n v="1.7368697916666671"/>
    <n v="2.4001096064814816E-2"/>
    <n v="7.2369574652777794E-3"/>
    <n v="1"/>
    <n v="0.28801315277777778"/>
  </r>
  <r>
    <n v="1123"/>
    <x v="11"/>
    <n v="2.5106572222222221"/>
    <n v="0.62071100000000001"/>
    <n v="1.046107175925926E-2"/>
    <n v="2.5862958333333335E-3"/>
    <n v="1"/>
    <n v="0.12553286111111112"/>
  </r>
  <r>
    <n v="1124"/>
    <x v="0"/>
    <n v="1.5508333333333333"/>
    <n v="1.3558333333333332"/>
    <n v="6.4618055555555548E-3"/>
    <n v="5.6493055555555559E-3"/>
    <n v="1"/>
    <n v="7.7541666666666662E-2"/>
  </r>
  <r>
    <n v="1124"/>
    <x v="1"/>
    <n v="1.558523055555556"/>
    <n v="1.5217679861111111"/>
    <n v="6.4938460648148169E-3"/>
    <n v="6.3406999421296295E-3"/>
    <n v="1"/>
    <n v="7.7926152777777799E-2"/>
  </r>
  <r>
    <n v="1124"/>
    <x v="2"/>
    <n v="1.5523222222222219"/>
    <n v="1.473997291666667"/>
    <n v="6.4680092592592575E-3"/>
    <n v="6.1416553819444468E-3"/>
    <n v="1"/>
    <n v="7.7616111111111094E-2"/>
  </r>
  <r>
    <n v="1124"/>
    <x v="3"/>
    <n v="1.7237813888888891"/>
    <n v="1.4317876190475001"/>
    <n v="7.1824224537037048E-3"/>
    <n v="5.9657817460312505E-3"/>
    <n v="1"/>
    <n v="8.618906944444446E-2"/>
  </r>
  <r>
    <n v="1124"/>
    <x v="4"/>
    <n v="2.2126066666666668"/>
    <n v="1.540369125"/>
    <n v="9.2191944444444448E-3"/>
    <n v="6.4182046875000008E-3"/>
    <n v="1"/>
    <n v="0.11063033333333333"/>
  </r>
  <r>
    <n v="1124"/>
    <x v="5"/>
    <n v="1.569440833333333"/>
    <n v="1.3563241388888889"/>
    <n v="6.5393368055555534E-3"/>
    <n v="5.6513505787037033E-3"/>
    <n v="1"/>
    <n v="7.8472041666666645E-2"/>
  </r>
  <r>
    <n v="1124"/>
    <x v="6"/>
    <n v="2.248600555555555"/>
    <n v="1.5030152645499999"/>
    <n v="9.3691689814814783E-3"/>
    <n v="6.2625636022916667E-3"/>
    <n v="1"/>
    <n v="0.11243002777777775"/>
  </r>
  <r>
    <n v="1124"/>
    <x v="7"/>
    <n v="1.5422186111111109"/>
    <n v="1.509005712560278"/>
    <n v="6.4259108796296286E-3"/>
    <n v="6.2875238023344911E-3"/>
    <n v="1"/>
    <n v="7.711093055555554E-2"/>
  </r>
  <r>
    <n v="1124"/>
    <x v="8"/>
    <n v="1.5405733333333329"/>
    <n v="1.467635375"/>
    <n v="6.4190555555555537E-3"/>
    <n v="6.1151473958333327E-3"/>
    <n v="1"/>
    <n v="7.7028666666666648E-2"/>
  </r>
  <r>
    <n v="1124"/>
    <x v="9"/>
    <n v="1.547450833333333"/>
    <n v="1.516840012626111"/>
    <n v="6.4477118055555546E-3"/>
    <n v="6.3201667192754633E-3"/>
    <n v="1"/>
    <n v="7.7372541666666655E-2"/>
  </r>
  <r>
    <n v="1124"/>
    <x v="10"/>
    <n v="1.555851944444445"/>
    <n v="1.439888648989722"/>
    <n v="6.4827164351851868E-3"/>
    <n v="5.9995360374571751E-3"/>
    <n v="1"/>
    <n v="7.7792597222222246E-2"/>
  </r>
  <r>
    <n v="1124"/>
    <x v="11"/>
    <n v="1.555613611111111"/>
    <n v="1.50822026455"/>
    <n v="6.4817233796296289E-3"/>
    <n v="6.2842511022916667E-3"/>
    <n v="1"/>
    <n v="7.7780680555555551E-2"/>
  </r>
  <r>
    <n v="1125"/>
    <x v="0"/>
    <n v="1.3238888888888889"/>
    <n v="0.85972222222222228"/>
    <n v="5.5162037037037037E-3"/>
    <n v="3.5821759259259262E-3"/>
    <n v="1"/>
    <n v="6.6194444444444445E-2"/>
  </r>
  <r>
    <n v="1125"/>
    <x v="1"/>
    <n v="1.325414166666667"/>
    <n v="0.79227593434333332"/>
    <n v="5.522559027777779E-3"/>
    <n v="3.3011497264305556E-3"/>
    <n v="1"/>
    <n v="6.6270708333333345E-2"/>
  </r>
  <r>
    <n v="1125"/>
    <x v="2"/>
    <n v="1.7848277777777779"/>
    <n v="0.79737909722222222"/>
    <n v="7.4367824074074084E-3"/>
    <n v="3.3224129050925927E-3"/>
    <n v="1"/>
    <n v="8.9241388888888898E-2"/>
  </r>
  <r>
    <n v="1125"/>
    <x v="3"/>
    <n v="0.9457444444444445"/>
    <n v="0.82660961640194441"/>
    <n v="3.9406018518518523E-3"/>
    <n v="3.4442067350081017E-3"/>
    <n v="1"/>
    <n v="4.728722222222223E-2"/>
  </r>
  <r>
    <n v="1125"/>
    <x v="4"/>
    <n v="1.075533888888889"/>
    <n v="0.90362752777777777"/>
    <n v="4.4813912037037044E-3"/>
    <n v="3.7651146990740742E-3"/>
    <n v="1"/>
    <n v="5.3776694444444453E-2"/>
  </r>
  <r>
    <n v="1125"/>
    <x v="5"/>
    <n v="1.1090288888888891"/>
    <n v="0.90081702380944439"/>
    <n v="4.6209537037037044E-3"/>
    <n v="3.7534042658726851E-3"/>
    <n v="1"/>
    <n v="5.5451444444444456E-2"/>
  </r>
  <r>
    <n v="1125"/>
    <x v="6"/>
    <n v="2.0566769444444439"/>
    <n v="0.92434850529083334"/>
    <n v="8.5694872685185153E-3"/>
    <n v="3.851452105378472E-3"/>
    <n v="1"/>
    <n v="0.10283384722222219"/>
  </r>
  <r>
    <n v="1125"/>
    <x v="7"/>
    <n v="1.184025277777778"/>
    <n v="0.94022322463749997"/>
    <n v="4.9334386574074081E-3"/>
    <n v="3.9175967693229168E-3"/>
    <n v="1"/>
    <n v="5.9201263888888897E-2"/>
  </r>
  <r>
    <n v="1125"/>
    <x v="8"/>
    <n v="1.4156383333333331"/>
    <n v="1.0885244027777781"/>
    <n v="5.8984930555555544E-3"/>
    <n v="4.5355183449074087E-3"/>
    <n v="1"/>
    <n v="7.0781916666666653E-2"/>
  </r>
  <r>
    <n v="1125"/>
    <x v="9"/>
    <n v="1.125453055555556"/>
    <n v="0.89608401515138891"/>
    <n v="4.6893877314814836E-3"/>
    <n v="3.7336833964641204E-3"/>
    <n v="1"/>
    <n v="5.6272652777777807E-2"/>
  </r>
  <r>
    <n v="1125"/>
    <x v="10"/>
    <n v="2.533778055555556"/>
    <n v="1.2728954589369439"/>
    <n v="1.0557408564814817E-2"/>
    <n v="5.3037310789039336E-3"/>
    <n v="1"/>
    <n v="0.12668890277777781"/>
  </r>
  <r>
    <n v="1125"/>
    <x v="11"/>
    <n v="1.3304297222222221"/>
    <n v="0.97321466931194445"/>
    <n v="5.5434571759259256E-3"/>
    <n v="4.0550611221331018E-3"/>
    <n v="1"/>
    <n v="6.6521486111111111E-2"/>
  </r>
  <r>
    <n v="1126"/>
    <x v="0"/>
    <n v="2.3925000000000001"/>
    <n v="0.97916666666666663"/>
    <n v="9.9687500000000002E-3"/>
    <n v="4.0798611111111114E-3"/>
    <n v="1"/>
    <n v="0.11962500000000001"/>
  </r>
  <r>
    <n v="1126"/>
    <x v="7"/>
    <n v="0.34531583333333332"/>
    <n v="0.1439692592591667"/>
    <n v="1.4388159722222222E-3"/>
    <n v="5.9987191357986126E-4"/>
    <n v="1"/>
    <n v="1.7265791666666665E-2"/>
  </r>
  <r>
    <n v="1126"/>
    <x v="8"/>
    <n v="4.8427194444444446"/>
    <n v="1.8839898472222221"/>
    <n v="2.0177997685185186E-2"/>
    <n v="7.8499576967592591E-3"/>
    <n v="1"/>
    <n v="0.24213597222222222"/>
  </r>
  <r>
    <n v="1126"/>
    <x v="9"/>
    <n v="4.1143566666666667"/>
    <n v="1.461712517361111"/>
    <n v="1.7143152777777778E-2"/>
    <n v="6.0904688223379624E-3"/>
    <n v="1"/>
    <n v="0.20571783333333332"/>
  </r>
  <r>
    <n v="1126"/>
    <x v="10"/>
    <n v="4.5513674999999996"/>
    <n v="2.2014380116958332"/>
    <n v="1.8964031249999999E-2"/>
    <n v="9.1726583820659711E-3"/>
    <n v="1"/>
    <n v="0.22756837499999999"/>
  </r>
  <r>
    <n v="1126"/>
    <x v="11"/>
    <n v="0.50005972222222217"/>
    <n v="0.1824560317458333"/>
    <n v="2.0835821759259258E-3"/>
    <n v="7.6023346560763873E-4"/>
    <n v="1"/>
    <n v="2.5002986111111111E-2"/>
  </r>
  <r>
    <n v="1127"/>
    <x v="0"/>
    <n v="1.1588888888888889"/>
    <n v="0.29194444444444445"/>
    <n v="4.828703703703704E-3"/>
    <n v="1.2164351851851852E-3"/>
    <n v="1"/>
    <n v="5.7944444444444451E-2"/>
  </r>
  <r>
    <n v="1127"/>
    <x v="1"/>
    <n v="3.2847575"/>
    <n v="0.33421885100999998"/>
    <n v="1.3686489583333334E-2"/>
    <n v="1.3925785458749999E-3"/>
    <n v="1"/>
    <n v="0.16423787500000001"/>
  </r>
  <r>
    <n v="1127"/>
    <x v="2"/>
    <n v="7.7825155555555554"/>
    <n v="1.238367805555556"/>
    <n v="3.2427148148148149E-2"/>
    <n v="5.1598658564814834E-3"/>
    <n v="1"/>
    <n v="0.38912577777777779"/>
  </r>
  <r>
    <n v="1127"/>
    <x v="3"/>
    <n v="0.83189999999999997"/>
    <n v="0.51460370370361108"/>
    <n v="3.4662500000000001E-3"/>
    <n v="2.1441820987650462E-3"/>
    <n v="1"/>
    <n v="4.1595E-2"/>
  </r>
  <r>
    <n v="1127"/>
    <x v="4"/>
    <n v="0.2354397222222222"/>
    <n v="0.2155323333333333"/>
    <n v="9.8099884259259256E-4"/>
    <n v="8.9805138888888884E-4"/>
    <n v="1"/>
    <n v="1.1771986111111112E-2"/>
  </r>
  <r>
    <n v="1127"/>
    <x v="5"/>
    <n v="0.24572416666666669"/>
    <n v="0.1369440972222222"/>
    <n v="1.0238506944444446E-3"/>
    <n v="5.7060040509259249E-4"/>
    <n v="1"/>
    <n v="1.2286208333333336E-2"/>
  </r>
  <r>
    <n v="1127"/>
    <x v="6"/>
    <n v="0.18906305555555561"/>
    <n v="0.1708710555555556"/>
    <n v="7.8776273148148173E-4"/>
    <n v="7.1196273148148163E-4"/>
    <n v="1"/>
    <n v="9.4531527777777808E-3"/>
  </r>
  <r>
    <n v="1127"/>
    <x v="7"/>
    <n v="0.1781722222222222"/>
    <n v="0.16849710144916669"/>
    <n v="7.4238425925925915E-4"/>
    <n v="7.0207125603819452E-4"/>
    <n v="1"/>
    <n v="8.9086111111111102E-3"/>
  </r>
  <r>
    <n v="1127"/>
    <x v="8"/>
    <n v="0.18146222222222219"/>
    <n v="0.1806483333333333"/>
    <n v="7.5609259259259249E-4"/>
    <n v="7.5270138888888869E-4"/>
    <n v="1"/>
    <n v="9.0731111111111099E-3"/>
  </r>
  <r>
    <n v="1127"/>
    <x v="9"/>
    <n v="0.1783044444444444"/>
    <n v="0.1707409848483333"/>
    <n v="7.4293518518518502E-4"/>
    <n v="7.1142077020138871E-4"/>
    <n v="1"/>
    <n v="8.9152222222222202E-3"/>
  </r>
  <r>
    <n v="1127"/>
    <x v="10"/>
    <n v="0.32388333333333341"/>
    <n v="0.18194426767666669"/>
    <n v="1.349513888888889E-3"/>
    <n v="7.581011153194446E-4"/>
    <n v="1"/>
    <n v="1.6194166666666669E-2"/>
  </r>
  <r>
    <n v="1127"/>
    <x v="11"/>
    <n v="0.47441055555555561"/>
    <n v="0.18920674603166671"/>
    <n v="1.9767106481481484E-3"/>
    <n v="7.8836144179861127E-4"/>
    <n v="1"/>
    <n v="2.3720527777777781E-2"/>
  </r>
  <r>
    <n v="1128"/>
    <x v="0"/>
    <n v="4.5550000000000006"/>
    <n v="3.1819444444444445"/>
    <n v="1.8979166666666668E-2"/>
    <n v="1.3258101851851853E-2"/>
    <n v="1"/>
    <n v="0.22775000000000001"/>
  </r>
  <r>
    <n v="1128"/>
    <x v="8"/>
    <n v="13.421779722222221"/>
    <n v="9.3991901666666671"/>
    <n v="5.592408217592592E-2"/>
    <n v="3.9163292361111109E-2"/>
    <n v="1"/>
    <n v="0.67108898611111101"/>
  </r>
  <r>
    <n v="1128"/>
    <x v="10"/>
    <n v="0.24305750000000001"/>
    <n v="0.14598152777777779"/>
    <n v="1.0127395833333334E-3"/>
    <n v="6.0825636574074081E-4"/>
    <n v="1"/>
    <n v="1.2152875E-2"/>
  </r>
  <r>
    <n v="1129"/>
    <x v="0"/>
    <n v="1.9"/>
    <n v="0.98777777777777775"/>
    <n v="7.9166666666666673E-3"/>
    <n v="4.1157407407407401E-3"/>
    <n v="1"/>
    <n v="9.5000000000000001E-2"/>
  </r>
  <r>
    <n v="1129"/>
    <x v="3"/>
    <n v="1.5346272222222219"/>
    <n v="0.56578796296277778"/>
    <n v="6.3942800925925912E-3"/>
    <n v="2.3574498456782407E-3"/>
    <n v="1"/>
    <n v="7.673136111111109E-2"/>
  </r>
  <r>
    <n v="1129"/>
    <x v="4"/>
    <n v="10.821739722222221"/>
    <n v="5.7151548611111114"/>
    <n v="4.5090582175925924E-2"/>
    <n v="2.3813145254629631E-2"/>
    <n v="1"/>
    <n v="0.54108698611111106"/>
  </r>
  <r>
    <n v="1129"/>
    <x v="5"/>
    <n v="0.13276944444444441"/>
    <n v="9.4929563491944438E-2"/>
    <n v="5.5320601851851841E-4"/>
    <n v="3.9553984788310187E-4"/>
    <n v="1"/>
    <n v="6.638472222222221E-3"/>
  </r>
  <r>
    <n v="1129"/>
    <x v="6"/>
    <n v="0.36123972222222223"/>
    <n v="0.199875"/>
    <n v="1.5051655092592593E-3"/>
    <n v="8.3281249999999989E-4"/>
    <n v="1"/>
    <n v="1.8061986111111112E-2"/>
  </r>
  <r>
    <n v="1129"/>
    <x v="8"/>
    <n v="0.29907194444444452"/>
    <n v="0.22380902777777781"/>
    <n v="1.2461331018518522E-3"/>
    <n v="9.3253761574074083E-4"/>
    <n v="1"/>
    <n v="1.4953597222222226E-2"/>
  </r>
  <r>
    <n v="1129"/>
    <x v="11"/>
    <n v="0.14960916666666671"/>
    <n v="0.11474685185166671"/>
    <n v="6.2337152777777792E-4"/>
    <n v="4.7811188271527791E-4"/>
    <n v="1"/>
    <n v="7.4804583333333355E-3"/>
  </r>
  <r>
    <n v="1130"/>
    <x v="0"/>
    <n v="2.6444444444444444"/>
    <n v="1.0438888888888889"/>
    <n v="1.1018518518518518E-2"/>
    <n v="4.3495370370370372E-3"/>
    <n v="1"/>
    <n v="0.13222222222222221"/>
  </r>
  <r>
    <n v="1130"/>
    <x v="1"/>
    <n v="3.2793102777777778"/>
    <n v="1.8585847979797221"/>
    <n v="1.3663792824074074E-2"/>
    <n v="7.744103324915509E-3"/>
    <n v="1"/>
    <n v="0.16396551388888889"/>
  </r>
  <r>
    <n v="1130"/>
    <x v="2"/>
    <n v="3.501608333333333"/>
    <n v="1.831117888888889"/>
    <n v="1.4590034722222221E-2"/>
    <n v="7.629657870370371E-3"/>
    <n v="1"/>
    <n v="0.17508041666666666"/>
  </r>
  <r>
    <n v="1130"/>
    <x v="3"/>
    <n v="4.4327019444444442"/>
    <n v="1.1109985185183331"/>
    <n v="1.8469591435185184E-2"/>
    <n v="4.629160493826388E-3"/>
    <n v="1"/>
    <n v="0.22163509722222219"/>
  </r>
  <r>
    <n v="1130"/>
    <x v="4"/>
    <n v="2.0073536111111112"/>
    <n v="0.41761555555555557"/>
    <n v="8.3639733796296301E-3"/>
    <n v="1.7400648148148149E-3"/>
    <n v="1"/>
    <n v="0.10036768055555556"/>
  </r>
  <r>
    <n v="1131"/>
    <x v="0"/>
    <n v="1.1008333333333333"/>
    <n v="0.42888888888888893"/>
    <n v="4.5868055555555558E-3"/>
    <n v="1.7870370370370373E-3"/>
    <n v="1"/>
    <n v="5.5041666666666669E-2"/>
  </r>
  <r>
    <n v="1131"/>
    <x v="2"/>
    <n v="2.1230852777777778"/>
    <n v="0.94769878472222224"/>
    <n v="8.8461886574074076E-3"/>
    <n v="3.9487449363425926E-3"/>
    <n v="1"/>
    <n v="0.10615426388888889"/>
  </r>
  <r>
    <n v="1131"/>
    <x v="3"/>
    <n v="2.1591999999999998"/>
    <n v="0.84839247354472225"/>
    <n v="8.996666666666665E-3"/>
    <n v="3.5349686397696759E-3"/>
    <n v="1"/>
    <n v="0.10795999999999997"/>
  </r>
  <r>
    <n v="1131"/>
    <x v="4"/>
    <n v="4.0510719444444447"/>
    <n v="1.1585420833333331"/>
    <n v="1.6879466435185186E-2"/>
    <n v="4.8272586805555547E-3"/>
    <n v="1"/>
    <n v="0.20255359722222221"/>
  </r>
  <r>
    <n v="1131"/>
    <x v="5"/>
    <n v="0.80455861111111115"/>
    <n v="0.41015046783611109"/>
    <n v="3.3523275462962964E-3"/>
    <n v="1.7089602826504628E-3"/>
    <n v="1"/>
    <n v="4.0227930555555555E-2"/>
  </r>
  <r>
    <n v="1131"/>
    <x v="6"/>
    <n v="0.60826277777777782"/>
    <n v="0.24934466931194441"/>
    <n v="2.5344282407407412E-3"/>
    <n v="1.0389361221331017E-3"/>
    <n v="1"/>
    <n v="3.0413138888888892E-2"/>
  </r>
  <r>
    <n v="1131"/>
    <x v="7"/>
    <n v="0.31740249999999998"/>
    <n v="0.19616614734277779"/>
    <n v="1.3225104166666665E-3"/>
    <n v="8.173589472615741E-4"/>
    <n v="1"/>
    <n v="1.5870124999999999E-2"/>
  </r>
  <r>
    <n v="1131"/>
    <x v="8"/>
    <n v="0.2634313888888889"/>
    <n v="0.20703325"/>
    <n v="1.0976307870370369E-3"/>
    <n v="8.626385416666667E-4"/>
    <n v="1"/>
    <n v="1.3171569444444444E-2"/>
  </r>
  <r>
    <n v="1131"/>
    <x v="9"/>
    <n v="0.88964138888888888"/>
    <n v="0.25134472222222221"/>
    <n v="3.7068391203703703E-3"/>
    <n v="1.0472696759259259E-3"/>
    <n v="1"/>
    <n v="4.4482069444444446E-2"/>
  </r>
  <r>
    <n v="1131"/>
    <x v="10"/>
    <n v="0.61681416666666666"/>
    <n v="0.23821319444444439"/>
    <n v="2.5700590277777779E-3"/>
    <n v="9.9255497685185167E-4"/>
    <n v="1"/>
    <n v="3.0840708333333335E-2"/>
  </r>
  <r>
    <n v="1131"/>
    <x v="11"/>
    <n v="0.27378805555555558"/>
    <n v="0.20833067460305549"/>
    <n v="1.140783564814815E-3"/>
    <n v="8.6804447751273118E-4"/>
    <n v="1"/>
    <n v="1.368940277777778E-2"/>
  </r>
  <r>
    <n v="1132"/>
    <x v="0"/>
    <n v="0.97888888888888892"/>
    <n v="0.50249999999999995"/>
    <n v="4.0787037037037033E-3"/>
    <n v="2.0937499999999997E-3"/>
    <n v="1"/>
    <n v="4.8944444444444443E-2"/>
  </r>
  <r>
    <n v="1132"/>
    <x v="1"/>
    <n v="0.2605352777777778"/>
    <n v="0.23241624999999999"/>
    <n v="1.0855636574074075E-3"/>
    <n v="9.6840104166666656E-4"/>
    <n v="1"/>
    <n v="1.302676388888889E-2"/>
  </r>
  <r>
    <n v="1132"/>
    <x v="2"/>
    <n v="0.13939166666666669"/>
    <n v="0.1318438888888889"/>
    <n v="5.8079861111111125E-4"/>
    <n v="5.493495370370371E-4"/>
    <n v="1"/>
    <n v="6.9695833333333346E-3"/>
  </r>
  <r>
    <n v="1132"/>
    <x v="3"/>
    <n v="0.1692852777777778"/>
    <n v="0.1602454166666667"/>
    <n v="7.0535532407407407E-4"/>
    <n v="6.676892361111112E-4"/>
    <n v="1"/>
    <n v="8.4642638888888892E-3"/>
  </r>
  <r>
    <n v="1132"/>
    <x v="4"/>
    <n v="0.24629444444444451"/>
    <n v="0.23246055555555559"/>
    <n v="1.0262268518518522E-3"/>
    <n v="9.6858564814814821E-4"/>
    <n v="1"/>
    <n v="1.2314722222222227E-2"/>
  </r>
  <r>
    <n v="1132"/>
    <x v="5"/>
    <n v="0.18796305555555559"/>
    <n v="0.13092703703694439"/>
    <n v="7.831793981481483E-4"/>
    <n v="5.4552932098726823E-4"/>
    <n v="1"/>
    <n v="9.3981527777777796E-3"/>
  </r>
  <r>
    <n v="1132"/>
    <x v="6"/>
    <n v="0.1084313888888889"/>
    <n v="0.1084313888888889"/>
    <n v="4.5179745370370377E-4"/>
    <n v="4.5179745370370377E-4"/>
    <n v="1"/>
    <n v="5.421569444444445E-3"/>
  </r>
  <r>
    <n v="1132"/>
    <x v="7"/>
    <n v="4.5673083333333331"/>
    <n v="1.6546883333333331"/>
    <n v="1.9030451388888887E-2"/>
    <n v="6.8945347222222212E-3"/>
    <n v="1"/>
    <n v="0.22836541666666665"/>
  </r>
  <r>
    <n v="1132"/>
    <x v="8"/>
    <n v="0.92737861111111108"/>
    <n v="0.58428986111111114"/>
    <n v="3.8640775462962964E-3"/>
    <n v="2.434541087962963E-3"/>
    <n v="1"/>
    <n v="4.6368930555555556E-2"/>
  </r>
  <r>
    <n v="1132"/>
    <x v="9"/>
    <n v="1.699039722222222"/>
    <n v="0.93875694444444446"/>
    <n v="7.0793321759259247E-3"/>
    <n v="3.911487268518519E-3"/>
    <n v="1"/>
    <n v="8.49519861111111E-2"/>
  </r>
  <r>
    <n v="1132"/>
    <x v="10"/>
    <n v="2.5626666666666669"/>
    <n v="1.4820577777777779"/>
    <n v="1.0677777777777779E-2"/>
    <n v="6.1752407407407416E-3"/>
    <n v="1"/>
    <n v="0.12813333333333335"/>
  </r>
  <r>
    <n v="1132"/>
    <x v="11"/>
    <n v="0.87666861111111116"/>
    <n v="0.37235166666666669"/>
    <n v="3.65278587962963E-3"/>
    <n v="1.5514652777777777E-3"/>
    <n v="1"/>
    <n v="4.383343055555556E-2"/>
  </r>
  <r>
    <n v="1133"/>
    <x v="0"/>
    <n v="0.87277777777777776"/>
    <n v="0.42777777777777781"/>
    <n v="3.6365740740740738E-3"/>
    <n v="1.7824074074074077E-3"/>
    <n v="1"/>
    <n v="4.3638888888888887E-2"/>
  </r>
  <r>
    <n v="1133"/>
    <x v="1"/>
    <n v="0.81414249999999999"/>
    <n v="0.45791492424222219"/>
    <n v="3.3922604166666663E-3"/>
    <n v="1.907978851009259E-3"/>
    <n v="1"/>
    <n v="4.0707124999999997E-2"/>
  </r>
  <r>
    <n v="1133"/>
    <x v="2"/>
    <n v="0.73426388888888894"/>
    <n v="0.47429351388888891"/>
    <n v="3.0594328703703703E-3"/>
    <n v="1.9762229745370371E-3"/>
    <n v="1"/>
    <n v="3.6713194444444444E-2"/>
  </r>
  <r>
    <n v="1133"/>
    <x v="3"/>
    <n v="0.72152777777777777"/>
    <n v="0.4753936243386111"/>
    <n v="3.0063657407407404E-3"/>
    <n v="1.9808067680775463E-3"/>
    <n v="1"/>
    <n v="3.6076388888888887E-2"/>
  </r>
  <r>
    <n v="1133"/>
    <x v="4"/>
    <n v="2.077034166666667"/>
    <n v="0.565749375"/>
    <n v="8.654309027777779E-3"/>
    <n v="2.3572890624999998E-3"/>
    <n v="1"/>
    <n v="0.10385170833333335"/>
  </r>
  <r>
    <n v="1133"/>
    <x v="5"/>
    <n v="0.84683249999999999"/>
    <n v="0.44330656944444452"/>
    <n v="3.5284687499999999E-3"/>
    <n v="1.8471107060185187E-3"/>
    <n v="1"/>
    <n v="4.2341625000000001E-2"/>
  </r>
  <r>
    <n v="1133"/>
    <x v="6"/>
    <n v="1.4370341666666671"/>
    <n v="0.47917129166666672"/>
    <n v="5.987642361111112E-3"/>
    <n v="1.9965470486111112E-3"/>
    <n v="1"/>
    <n v="7.1851708333333347E-2"/>
  </r>
  <r>
    <n v="1133"/>
    <x v="7"/>
    <n v="0.83144444444444443"/>
    <n v="0.44999431159416658"/>
    <n v="3.4643518518518517E-3"/>
    <n v="1.8749762983090274E-3"/>
    <n v="1"/>
    <n v="4.1572222222222219E-2"/>
  </r>
  <r>
    <n v="1133"/>
    <x v="8"/>
    <n v="0.97654166666666664"/>
    <n v="0.50648870833333337"/>
    <n v="4.0689236111111108E-3"/>
    <n v="2.1103696180555559E-3"/>
    <n v="1"/>
    <n v="4.8827083333333327E-2"/>
  </r>
  <r>
    <n v="1133"/>
    <x v="9"/>
    <n v="0.55784999999999996"/>
    <n v="0.36738231060583332"/>
    <n v="2.3243749999999996E-3"/>
    <n v="1.5307596275243055E-3"/>
    <n v="1"/>
    <n v="2.7892499999999994E-2"/>
  </r>
  <r>
    <n v="1133"/>
    <x v="10"/>
    <n v="0.85242305555555553"/>
    <n v="0.57086337121194441"/>
    <n v="3.5517627314814813E-3"/>
    <n v="2.3785973800497687E-3"/>
    <n v="1"/>
    <n v="4.2621152777777775E-2"/>
  </r>
  <r>
    <n v="1133"/>
    <x v="11"/>
    <n v="0.62208055555555553"/>
    <n v="0.3418630026452778"/>
    <n v="2.5920023148148148E-3"/>
    <n v="1.4244291776886575E-3"/>
    <n v="1"/>
    <n v="3.1104027777777779E-2"/>
  </r>
  <r>
    <n v="1134"/>
    <x v="0"/>
    <n v="1.0411111111111111"/>
    <n v="0.55083333333333329"/>
    <n v="4.3379629629629627E-3"/>
    <n v="2.2951388888888887E-3"/>
    <n v="1"/>
    <n v="5.2055555555555549E-2"/>
  </r>
  <r>
    <n v="1134"/>
    <x v="2"/>
    <n v="1.8425E-2"/>
    <n v="1.8425E-2"/>
    <n v="7.6770833333333327E-5"/>
    <n v="7.6770833333333327E-5"/>
    <n v="1"/>
    <n v="9.2124999999999998E-4"/>
  </r>
  <r>
    <n v="1134"/>
    <x v="3"/>
    <n v="0.85352666666666666"/>
    <n v="0.25484065476166667"/>
    <n v="3.5563611111111108E-3"/>
    <n v="1.0618360615069445E-3"/>
    <n v="1"/>
    <n v="4.267633333333333E-2"/>
  </r>
  <r>
    <n v="1134"/>
    <x v="4"/>
    <n v="3.3270922222222219"/>
    <n v="1.4132484027777781"/>
    <n v="1.3862884259259259E-2"/>
    <n v="5.8885350115740753E-3"/>
    <n v="1"/>
    <n v="0.16635461111111111"/>
  </r>
  <r>
    <n v="1134"/>
    <x v="5"/>
    <n v="3.050871388888889"/>
    <n v="1.596639083333333"/>
    <n v="1.2711964120370371E-2"/>
    <n v="6.6526628472222205E-3"/>
    <n v="1"/>
    <n v="0.15254356944444444"/>
  </r>
  <r>
    <n v="1134"/>
    <x v="6"/>
    <n v="1.1039166666666671"/>
    <n v="0.63648527777777775"/>
    <n v="4.5996527777777798E-3"/>
    <n v="2.6520219907407404E-3"/>
    <n v="1"/>
    <n v="5.5195833333333361E-2"/>
  </r>
  <r>
    <n v="1134"/>
    <x v="7"/>
    <n v="0.40705305555555549"/>
    <n v="0.39221527777777782"/>
    <n v="1.6960543981481479E-3"/>
    <n v="1.6342303240740742E-3"/>
    <n v="1"/>
    <n v="2.0352652777777775E-2"/>
  </r>
  <r>
    <n v="1134"/>
    <x v="9"/>
    <n v="0.71941416666666669"/>
    <n v="0.48015868055555561"/>
    <n v="2.9975590277777782E-3"/>
    <n v="2.000661168981482E-3"/>
    <n v="1"/>
    <n v="3.5970708333333337E-2"/>
  </r>
  <r>
    <n v="1134"/>
    <x v="10"/>
    <n v="0.50445722222222222"/>
    <n v="0.36617450000000001"/>
    <n v="2.1019050925925927E-3"/>
    <n v="1.5257270833333334E-3"/>
    <n v="1"/>
    <n v="2.5222861111111113E-2"/>
  </r>
  <r>
    <n v="1134"/>
    <x v="11"/>
    <n v="0.42582861111111109"/>
    <n v="0.34935388888888891"/>
    <n v="1.7742858796296293E-3"/>
    <n v="1.4556412037037038E-3"/>
    <n v="1"/>
    <n v="2.1291430555555553E-2"/>
  </r>
  <r>
    <n v="1135"/>
    <x v="0"/>
    <n v="3.1944444444444442"/>
    <n v="3.1944444444444442"/>
    <n v="1.3310185185185184E-2"/>
    <n v="1.3310185185185184E-2"/>
    <n v="1"/>
    <n v="0.15972222222222221"/>
  </r>
  <r>
    <n v="1135"/>
    <x v="4"/>
    <n v="7.8666666666666663"/>
    <n v="7.8666666666666663"/>
    <n v="3.2777777777777774E-2"/>
    <n v="3.2777777777777774E-2"/>
    <n v="1"/>
    <n v="0.39333333333333331"/>
  </r>
  <r>
    <n v="1135"/>
    <x v="9"/>
    <n v="1.716666666666667"/>
    <n v="1.716666666666667"/>
    <n v="7.1527777777777787E-3"/>
    <n v="7.1527777777777787E-3"/>
    <n v="1"/>
    <n v="8.5833333333333345E-2"/>
  </r>
  <r>
    <n v="1136"/>
    <x v="0"/>
    <n v="0.84166666666666667"/>
    <n v="0.40055555555555561"/>
    <n v="3.5069444444444445E-3"/>
    <n v="1.6689814814814816E-3"/>
    <n v="1"/>
    <n v="4.2083333333333334E-2"/>
  </r>
  <r>
    <n v="1136"/>
    <x v="1"/>
    <n v="1.0945952777777781"/>
    <n v="0.33830184027777782"/>
    <n v="4.5608136574074093E-3"/>
    <n v="1.4095910011574075E-3"/>
    <n v="1"/>
    <n v="5.4729763888888908E-2"/>
  </r>
  <r>
    <n v="1136"/>
    <x v="2"/>
    <n v="0.25032166666666672"/>
    <n v="0.25032166666666672"/>
    <n v="1.0430069444444447E-3"/>
    <n v="1.0430069444444447E-3"/>
    <n v="1"/>
    <n v="1.2516083333333337E-2"/>
  </r>
  <r>
    <n v="1136"/>
    <x v="3"/>
    <n v="1.1881313888888889"/>
    <n v="0.69664591269833331"/>
    <n v="4.9505474537037035E-3"/>
    <n v="2.9026913029097223E-3"/>
    <n v="1"/>
    <n v="5.9406569444444446E-2"/>
  </r>
  <r>
    <n v="1136"/>
    <x v="4"/>
    <n v="0.47980416666666659"/>
    <n v="0.26833578282805548"/>
    <n v="1.9991840277777772E-3"/>
    <n v="1.1180657617835645E-3"/>
    <n v="1"/>
    <n v="2.3990208333333325E-2"/>
  </r>
  <r>
    <n v="1136"/>
    <x v="5"/>
    <n v="0.61528166666666662"/>
    <n v="0.31191681818166672"/>
    <n v="2.5636736111111108E-3"/>
    <n v="1.2996534090902779E-3"/>
    <n v="1"/>
    <n v="3.0764083333333331E-2"/>
  </r>
  <r>
    <n v="1136"/>
    <x v="6"/>
    <n v="0.50527250000000001"/>
    <n v="0.32056716666666668"/>
    <n v="2.1053020833333336E-3"/>
    <n v="1.3356965277777778E-3"/>
    <n v="1"/>
    <n v="2.5263625000000005E-2"/>
  </r>
  <r>
    <n v="1136"/>
    <x v="7"/>
    <n v="0.46561472222222222"/>
    <n v="0.34221125000000002"/>
    <n v="1.9400613425925924E-3"/>
    <n v="1.4258802083333335E-3"/>
    <n v="1"/>
    <n v="2.328073611111111E-2"/>
  </r>
  <r>
    <n v="1136"/>
    <x v="8"/>
    <n v="0.48130222222222219"/>
    <n v="0.34475856481472222"/>
    <n v="2.0054259259259257E-3"/>
    <n v="1.4364940200613425E-3"/>
    <n v="1"/>
    <n v="2.4065111111111107E-2"/>
  </r>
  <r>
    <n v="1136"/>
    <x v="10"/>
    <n v="3.0357455555555561"/>
    <n v="0.87531144841249997"/>
    <n v="1.2648939814814818E-2"/>
    <n v="3.6471310350520828E-3"/>
    <n v="1"/>
    <n v="0.15178727777777781"/>
  </r>
  <r>
    <n v="1136"/>
    <x v="11"/>
    <n v="1.1409019444444439"/>
    <n v="0.65584164529888889"/>
    <n v="4.7537581018518493E-3"/>
    <n v="2.7326735220787033E-3"/>
    <n v="1"/>
    <n v="5.7045097222222188E-2"/>
  </r>
  <r>
    <n v="1137"/>
    <x v="0"/>
    <n v="0.73416666666666663"/>
    <n v="0.14083333333333331"/>
    <n v="3.0590277777777773E-3"/>
    <n v="5.8680555555555547E-4"/>
    <n v="1"/>
    <n v="3.6708333333333329E-2"/>
  </r>
  <r>
    <n v="1137"/>
    <x v="1"/>
    <n v="0.45629361111111111"/>
    <n v="0.1507273472222222"/>
    <n v="1.9012233796296297E-3"/>
    <n v="6.2803061342592585E-4"/>
    <n v="1"/>
    <n v="2.2814680555555557E-2"/>
  </r>
  <r>
    <n v="1137"/>
    <x v="2"/>
    <n v="0.88017722222222228"/>
    <n v="0.16796413580222219"/>
    <n v="3.6674050925925932E-3"/>
    <n v="6.9985056584259252E-4"/>
    <n v="1"/>
    <n v="4.4008861111111117E-2"/>
  </r>
  <r>
    <n v="1137"/>
    <x v="3"/>
    <n v="1.219169722222222"/>
    <n v="0.31731433333333331"/>
    <n v="5.0798738425925916E-3"/>
    <n v="1.3221430555555554E-3"/>
    <n v="1"/>
    <n v="6.0958486111111099E-2"/>
  </r>
  <r>
    <n v="1137"/>
    <x v="4"/>
    <n v="3.242515"/>
    <n v="0.38472286111111109"/>
    <n v="1.3510479166666667E-2"/>
    <n v="1.6030119212962961E-3"/>
    <n v="1"/>
    <n v="0.16212575000000001"/>
  </r>
  <r>
    <n v="1137"/>
    <x v="5"/>
    <n v="0.38821861111111111"/>
    <n v="0.10256964285694441"/>
    <n v="1.6175775462962964E-3"/>
    <n v="4.2737351190393503E-4"/>
    <n v="1"/>
    <n v="1.9410930555555556E-2"/>
  </r>
  <r>
    <n v="1137"/>
    <x v="6"/>
    <n v="0.68124611111111111"/>
    <n v="0.1734097777777778"/>
    <n v="2.8385254629629628E-3"/>
    <n v="7.225407407407408E-4"/>
    <n v="1"/>
    <n v="3.4062305555555554E-2"/>
  </r>
  <r>
    <n v="1137"/>
    <x v="7"/>
    <n v="0.35508861111111112"/>
    <n v="9.1202512077222228E-2"/>
    <n v="1.4795358796296295E-3"/>
    <n v="3.8001046698842592E-4"/>
    <n v="1"/>
    <n v="1.7754430555555555E-2"/>
  </r>
  <r>
    <n v="1137"/>
    <x v="9"/>
    <n v="4.9933333333333343E-2"/>
    <n v="4.0712790403888893E-2"/>
    <n v="2.0805555555555559E-4"/>
    <n v="1.6963662668287037E-4"/>
    <n v="1"/>
    <n v="2.496666666666667E-3"/>
  </r>
  <r>
    <n v="1137"/>
    <x v="10"/>
    <n v="0.68669000000000002"/>
    <n v="7.5153391812777776E-2"/>
    <n v="2.8612083333333337E-3"/>
    <n v="3.1313913255324072E-4"/>
    <n v="1"/>
    <n v="3.4334500000000004E-2"/>
  </r>
  <r>
    <n v="1137"/>
    <x v="11"/>
    <n v="0.11418972222222221"/>
    <n v="4.3679583333333327E-2"/>
    <n v="4.7579050925925919E-4"/>
    <n v="1.8199826388888888E-4"/>
    <n v="1"/>
    <n v="5.7094861111111105E-3"/>
  </r>
  <r>
    <n v="1138"/>
    <x v="0"/>
    <n v="0.85555555555555562"/>
    <n v="0.39555555555555555"/>
    <n v="3.5648148148148154E-3"/>
    <n v="1.6481481481481479E-3"/>
    <n v="1"/>
    <n v="4.2777777777777783E-2"/>
  </r>
  <r>
    <n v="1138"/>
    <x v="3"/>
    <n v="3.5972222222222221E-3"/>
    <n v="3.5972222222222221E-3"/>
    <n v="1.4988425925925925E-5"/>
    <n v="1.4988425925925925E-5"/>
    <n v="1"/>
    <n v="1.7986111111111111E-4"/>
  </r>
  <r>
    <n v="1138"/>
    <x v="5"/>
    <n v="0.3441002777777778"/>
    <n v="0.15688949999999999"/>
    <n v="1.4337511574074077E-3"/>
    <n v="6.5370624999999997E-4"/>
    <n v="1"/>
    <n v="1.7205013888888891E-2"/>
  </r>
  <r>
    <n v="1138"/>
    <x v="6"/>
    <n v="0.43783499999999997"/>
    <n v="0.43783499999999997"/>
    <n v="1.8243124999999998E-3"/>
    <n v="1.8243124999999998E-3"/>
    <n v="1"/>
    <n v="2.1891749999999998E-2"/>
  </r>
  <r>
    <n v="1138"/>
    <x v="7"/>
    <n v="2.223196666666666"/>
    <n v="0.43522090909083327"/>
    <n v="9.2633194444444421E-3"/>
    <n v="1.8134204545451388E-3"/>
    <n v="1"/>
    <n v="0.1111598333333333"/>
  </r>
  <r>
    <n v="1138"/>
    <x v="8"/>
    <n v="3.1898713888888892"/>
    <n v="1.798226527777778"/>
    <n v="1.3291130787037038E-2"/>
    <n v="7.4926105324074092E-3"/>
    <n v="1"/>
    <n v="0.15949356944444446"/>
  </r>
  <r>
    <n v="1138"/>
    <x v="9"/>
    <n v="0.67071472222222217"/>
    <n v="0.30125842592583341"/>
    <n v="2.7946446759259257E-3"/>
    <n v="1.2552434413576391E-3"/>
    <n v="1"/>
    <n v="3.353573611111111E-2"/>
  </r>
  <r>
    <n v="1138"/>
    <x v="10"/>
    <n v="0.13691861111111109"/>
    <n v="0.13388703703694441"/>
    <n v="5.7049421296296286E-4"/>
    <n v="5.5786265432060172E-4"/>
    <n v="1"/>
    <n v="6.8459305555555548E-3"/>
  </r>
  <r>
    <n v="1138"/>
    <x v="11"/>
    <n v="0.69135138888888892"/>
    <n v="0.29271571428555548"/>
    <n v="2.880630787037037E-3"/>
    <n v="1.2196488095231478E-3"/>
    <n v="1"/>
    <n v="3.4567569444444446E-2"/>
  </r>
  <r>
    <n v="1139"/>
    <x v="0"/>
    <n v="0.63388888888888884"/>
    <n v="0.24916666666666665"/>
    <n v="2.6412037037037033E-3"/>
    <n v="1.0381944444444442E-3"/>
    <n v="1"/>
    <n v="3.1694444444444442E-2"/>
  </r>
  <r>
    <n v="1139"/>
    <x v="1"/>
    <n v="1.595121944444444"/>
    <n v="0.32127170634916669"/>
    <n v="6.6463414351851831E-3"/>
    <n v="1.3386321097881946E-3"/>
    <n v="1"/>
    <n v="7.9756097222222197E-2"/>
  </r>
  <r>
    <n v="1139"/>
    <x v="2"/>
    <n v="0.45941500000000002"/>
    <n v="0.24072931944444451"/>
    <n v="1.9142291666666667E-3"/>
    <n v="1.0030388310185189E-3"/>
    <n v="1"/>
    <n v="2.2970750000000002E-2"/>
  </r>
  <r>
    <n v="1139"/>
    <x v="3"/>
    <n v="0.48474083333333329"/>
    <n v="0.2191467460316667"/>
    <n v="2.0197534722222218E-3"/>
    <n v="9.1311144179861135E-4"/>
    <n v="1"/>
    <n v="2.423704166666666E-2"/>
  </r>
  <r>
    <n v="1139"/>
    <x v="4"/>
    <n v="0.79065555555555556"/>
    <n v="0.2542160277777778"/>
    <n v="3.2943981481481483E-3"/>
    <n v="1.0592334490740743E-3"/>
    <n v="1"/>
    <n v="3.9532777777777778E-2"/>
  </r>
  <r>
    <n v="1139"/>
    <x v="5"/>
    <n v="0.43170555555555562"/>
    <n v="0.24852245833333331"/>
    <n v="1.7987731481481483E-3"/>
    <n v="1.0355102430555554E-3"/>
    <n v="1"/>
    <n v="2.158527777777778E-2"/>
  </r>
  <r>
    <n v="1139"/>
    <x v="6"/>
    <n v="0.31562861111111112"/>
    <n v="0.27188308201055561"/>
    <n v="1.315119212962963E-3"/>
    <n v="1.1328461750439818E-3"/>
    <n v="1"/>
    <n v="1.5781430555555555E-2"/>
  </r>
  <r>
    <n v="1139"/>
    <x v="7"/>
    <n v="1.1027361111111109"/>
    <n v="0.34038724637666667"/>
    <n v="4.5947337962962955E-3"/>
    <n v="1.4182801932361112E-3"/>
    <n v="1"/>
    <n v="5.5136805555555543E-2"/>
  </r>
  <r>
    <n v="1139"/>
    <x v="8"/>
    <n v="0.78102416666666663"/>
    <n v="0.297018375"/>
    <n v="3.254267361111111E-3"/>
    <n v="1.2375765625000001E-3"/>
    <n v="1"/>
    <n v="3.905120833333333E-2"/>
  </r>
  <r>
    <n v="1139"/>
    <x v="9"/>
    <n v="0.27721861111111112"/>
    <n v="0.21538053030277779"/>
    <n v="1.1550775462962964E-3"/>
    <n v="8.9741887626157413E-4"/>
    <n v="1"/>
    <n v="1.3860930555555557E-2"/>
  </r>
  <r>
    <n v="1139"/>
    <x v="10"/>
    <n v="0.8281655555555556"/>
    <n v="0.25702338383833329"/>
    <n v="3.4506898148148149E-3"/>
    <n v="1.0709307659930553E-3"/>
    <n v="1"/>
    <n v="4.140827777777778E-2"/>
  </r>
  <r>
    <n v="1139"/>
    <x v="11"/>
    <n v="0.53964777777777773"/>
    <n v="0.32315505291000002"/>
    <n v="2.248532407407407E-3"/>
    <n v="1.3464793871250001E-3"/>
    <n v="1"/>
    <n v="2.6982388888888882E-2"/>
  </r>
  <r>
    <n v="1140"/>
    <x v="0"/>
    <n v="0.56166666666666676"/>
    <n v="0.19277777777777777"/>
    <n v="2.3402777777777784E-3"/>
    <n v="8.0324074074074065E-4"/>
    <n v="1"/>
    <n v="2.8083333333333342E-2"/>
  </r>
  <r>
    <n v="1140"/>
    <x v="1"/>
    <n v="0.77043361111111108"/>
    <n v="0.40043079545444438"/>
    <n v="3.2101400462962964E-3"/>
    <n v="1.6684616477268515E-3"/>
    <n v="1"/>
    <n v="3.8521680555555556E-2"/>
  </r>
  <r>
    <n v="1140"/>
    <x v="2"/>
    <n v="0.94880249999999999"/>
    <n v="0.43070098611111107"/>
    <n v="3.9533437500000003E-3"/>
    <n v="1.7945874421296294E-3"/>
    <n v="1"/>
    <n v="4.7440125E-2"/>
  </r>
  <r>
    <n v="1140"/>
    <x v="3"/>
    <n v="0.70325388888888885"/>
    <n v="0.41848161375638893"/>
    <n v="2.9302245370370367E-3"/>
    <n v="1.7436733906516205E-3"/>
    <n v="1"/>
    <n v="3.5162694444444441E-2"/>
  </r>
  <r>
    <n v="1140"/>
    <x v="4"/>
    <n v="1.1744183333333329"/>
    <n v="0.39439058333333332"/>
    <n v="4.89340972222222E-3"/>
    <n v="1.6432940972222222E-3"/>
    <n v="1"/>
    <n v="5.8720916666666637E-2"/>
  </r>
  <r>
    <n v="1140"/>
    <x v="5"/>
    <n v="1.2777063888888891"/>
    <n v="0.33828919444444439"/>
    <n v="5.3237766203703711E-3"/>
    <n v="1.4095383101851849E-3"/>
    <n v="1"/>
    <n v="6.3885319444444449E-2"/>
  </r>
  <r>
    <n v="1140"/>
    <x v="6"/>
    <n v="0.36626722222222219"/>
    <n v="5.1576388888888887E-2"/>
    <n v="1.5261134259259258E-3"/>
    <n v="2.1490162037037037E-4"/>
    <n v="1"/>
    <n v="1.831336111111111E-2"/>
  </r>
  <r>
    <n v="1140"/>
    <x v="7"/>
    <n v="0.27205111111111108"/>
    <n v="3.5940096618333327E-2"/>
    <n v="1.1335462962962961E-3"/>
    <n v="1.4975040257638885E-4"/>
    <n v="1"/>
    <n v="1.3602555555555553E-2"/>
  </r>
  <r>
    <n v="1140"/>
    <x v="8"/>
    <n v="0.20753750000000001"/>
    <n v="5.7006488095000002E-2"/>
    <n v="8.6473958333333335E-4"/>
    <n v="2.3752703372916667E-4"/>
    <n v="1"/>
    <n v="1.0376875000000001E-2"/>
  </r>
  <r>
    <n v="1140"/>
    <x v="9"/>
    <n v="0.1622916666666667"/>
    <n v="2.4279267676666671E-2"/>
    <n v="6.7621527777777786E-4"/>
    <n v="1.0116361531944447E-4"/>
    <n v="1"/>
    <n v="8.1145833333333348E-3"/>
  </r>
  <r>
    <n v="1140"/>
    <x v="10"/>
    <n v="0.47524861111111111"/>
    <n v="8.8708041666666668E-2"/>
    <n v="1.9802025462962963E-3"/>
    <n v="3.6961684027777777E-4"/>
    <n v="1"/>
    <n v="2.3762430555555554E-2"/>
  </r>
  <r>
    <n v="1140"/>
    <x v="11"/>
    <n v="0.38042333333333328"/>
    <n v="7.2915780423055562E-2"/>
    <n v="1.5850972222222221E-3"/>
    <n v="3.0381575176273152E-4"/>
    <n v="1"/>
    <n v="1.9021166666666665E-2"/>
  </r>
  <r>
    <n v="1141"/>
    <x v="0"/>
    <n v="0.55777777777777782"/>
    <n v="0.27333333333333332"/>
    <n v="2.3240740740740743E-3"/>
    <n v="1.1388888888888887E-3"/>
    <n v="1"/>
    <n v="2.7888888888888894E-2"/>
  </r>
  <r>
    <n v="1141"/>
    <x v="1"/>
    <n v="0.45946500000000001"/>
    <n v="0.29804323232305557"/>
    <n v="1.9144375000000001E-3"/>
    <n v="1.2418468013460648E-3"/>
    <n v="1"/>
    <n v="2.2973250000000001E-2"/>
  </r>
  <r>
    <n v="1141"/>
    <x v="2"/>
    <n v="0.52147861111111116"/>
    <n v="0.31962030555555548"/>
    <n v="2.1728275462962964E-3"/>
    <n v="1.3317512731481479E-3"/>
    <n v="1"/>
    <n v="2.6073930555555555E-2"/>
  </r>
  <r>
    <n v="1141"/>
    <x v="3"/>
    <n v="0.52640555555555557"/>
    <n v="0.32665079365055549"/>
    <n v="2.1933564814814815E-3"/>
    <n v="1.3610449735439812E-3"/>
    <n v="1"/>
    <n v="2.6320277777777776E-2"/>
  </r>
  <r>
    <n v="1141"/>
    <x v="4"/>
    <n v="1.4455786111111111"/>
    <n v="0.42436163888888889"/>
    <n v="6.0232442129629629E-3"/>
    <n v="1.7681734953703704E-3"/>
    <n v="1"/>
    <n v="7.2278930555555551E-2"/>
  </r>
  <r>
    <n v="1141"/>
    <x v="5"/>
    <n v="0.98416138888888893"/>
    <n v="0.35128455555555549"/>
    <n v="4.1006724537037036E-3"/>
    <n v="1.4636856481481479E-3"/>
    <n v="1"/>
    <n v="4.9208069444444447E-2"/>
  </r>
  <r>
    <n v="1141"/>
    <x v="6"/>
    <n v="0.3976527777777778"/>
    <n v="0.26552760582000001"/>
    <n v="1.6568865740740743E-3"/>
    <n v="1.10636502425E-3"/>
    <n v="1"/>
    <n v="1.9882638888888891E-2"/>
  </r>
  <r>
    <n v="1141"/>
    <x v="7"/>
    <n v="0.4230936111111111"/>
    <n v="0.24845725845388891"/>
    <n v="1.7628900462962963E-3"/>
    <n v="1.0352385768912038E-3"/>
    <n v="1"/>
    <n v="2.1154680555555555E-2"/>
  </r>
  <r>
    <n v="1141"/>
    <x v="8"/>
    <n v="0.2729611111111111"/>
    <n v="0.21669369444444439"/>
    <n v="1.137337962962963E-3"/>
    <n v="9.0289039351851839E-4"/>
    <n v="1"/>
    <n v="1.3648055555555556E-2"/>
  </r>
  <r>
    <n v="1141"/>
    <x v="9"/>
    <n v="0.37506"/>
    <n v="0.27846679292916671"/>
    <n v="1.5627499999999999E-3"/>
    <n v="1.1602783038715278E-3"/>
    <n v="1"/>
    <n v="1.8752999999999999E-2"/>
  </r>
  <r>
    <n v="1141"/>
    <x v="10"/>
    <n v="0.4317563888888889"/>
    <n v="0.25202818181805547"/>
    <n v="1.7989849537037037E-3"/>
    <n v="1.0501174242418978E-3"/>
    <n v="1"/>
    <n v="2.1587819444444444E-2"/>
  </r>
  <r>
    <n v="1141"/>
    <x v="11"/>
    <n v="0.85401666666666665"/>
    <n v="0.29667927248666659"/>
    <n v="3.558402777777778E-3"/>
    <n v="1.2361636353611109E-3"/>
    <n v="1"/>
    <n v="4.2700833333333334E-2"/>
  </r>
  <r>
    <n v="1142"/>
    <x v="0"/>
    <n v="1.4750000000000001"/>
    <n v="1.4750000000000001"/>
    <n v="6.1458333333333339E-3"/>
    <n v="6.1458333333333339E-3"/>
    <n v="1"/>
    <n v="7.375000000000001E-2"/>
  </r>
  <r>
    <n v="1142"/>
    <x v="3"/>
    <n v="5.6333333333333337"/>
    <n v="5.6333333333333337"/>
    <n v="2.3472222222222224E-2"/>
    <n v="2.3472222222222224E-2"/>
    <n v="1"/>
    <n v="0.28166666666666668"/>
  </r>
  <r>
    <n v="1142"/>
    <x v="5"/>
    <n v="0.26666666666666672"/>
    <n v="0.26666666666666672"/>
    <n v="1.1111111111111113E-3"/>
    <n v="1.1111111111111113E-3"/>
    <n v="1"/>
    <n v="1.3333333333333336E-2"/>
  </r>
  <r>
    <n v="1142"/>
    <x v="7"/>
    <n v="0"/>
    <n v="0"/>
    <n v="0"/>
    <n v="0"/>
    <n v="0"/>
    <n v="0"/>
  </r>
  <r>
    <n v="1143"/>
    <x v="0"/>
    <n v="0.96972222222222215"/>
    <n v="0.5116666666666666"/>
    <n v="4.0405092592592584E-3"/>
    <n v="2.1319444444444441E-3"/>
    <n v="1"/>
    <n v="4.8486111111111105E-2"/>
  </r>
  <r>
    <n v="1143"/>
    <x v="3"/>
    <n v="2.0014680555555562"/>
    <n v="1.018209027777778"/>
    <n v="8.3394502314814833E-3"/>
    <n v="4.2425376157407416E-3"/>
    <n v="1"/>
    <n v="0.10007340277777779"/>
  </r>
  <r>
    <n v="1143"/>
    <x v="5"/>
    <n v="9.7382222222222217E-2"/>
    <n v="9.7382222222222217E-2"/>
    <n v="4.0575925925925919E-4"/>
    <n v="4.0575925925925919E-4"/>
    <n v="1"/>
    <n v="4.8691111111111105E-3"/>
  </r>
  <r>
    <n v="1143"/>
    <x v="6"/>
    <n v="2.5134138888888891"/>
    <n v="1.2762676388888889"/>
    <n v="1.0472557870370372E-2"/>
    <n v="5.3177818287037035E-3"/>
    <n v="1"/>
    <n v="0.12567069444444445"/>
  </r>
  <r>
    <n v="1143"/>
    <x v="9"/>
    <n v="1.0958769444444449"/>
    <n v="0.56815694444444442"/>
    <n v="4.566153935185187E-3"/>
    <n v="2.3673206018518518E-3"/>
    <n v="1"/>
    <n v="5.4793847222222247E-2"/>
  </r>
  <r>
    <n v="1143"/>
    <x v="11"/>
    <n v="0.10872416666666671"/>
    <n v="0.10872416666666671"/>
    <n v="4.5301736111111129E-4"/>
    <n v="4.5301736111111129E-4"/>
    <n v="1"/>
    <n v="5.4362083333333354E-3"/>
  </r>
  <r>
    <n v="1144"/>
    <x v="0"/>
    <n v="0.47138888888888891"/>
    <n v="0.27277777777777779"/>
    <n v="1.9641203703703704E-3"/>
    <n v="1.1365740740740741E-3"/>
    <n v="1"/>
    <n v="2.3569444444444445E-2"/>
  </r>
  <r>
    <n v="1144"/>
    <x v="1"/>
    <n v="1.055217222222222"/>
    <n v="0.88587537878777778"/>
    <n v="4.3967384259259246E-3"/>
    <n v="3.6911474116157407E-3"/>
    <n v="1"/>
    <n v="5.2760861111111099E-2"/>
  </r>
  <r>
    <n v="1144"/>
    <x v="2"/>
    <n v="1.0207474999999999"/>
    <n v="0.92904538888888888"/>
    <n v="4.2531145833333327E-3"/>
    <n v="3.8710224537037035E-3"/>
    <n v="1"/>
    <n v="5.1037374999999996E-2"/>
  </r>
  <r>
    <n v="1144"/>
    <x v="3"/>
    <n v="0.95587833333333339"/>
    <n v="0.2349673544972222"/>
    <n v="3.982826388888889E-3"/>
    <n v="9.7903064373842572E-4"/>
    <n v="1"/>
    <n v="4.7793916666666672E-2"/>
  </r>
  <r>
    <n v="1144"/>
    <x v="4"/>
    <n v="0.19958999999999999"/>
    <n v="8.2440236111111106E-2"/>
    <n v="8.316249999999999E-4"/>
    <n v="3.4350098379629627E-4"/>
    <n v="1"/>
    <n v="9.9794999999999988E-3"/>
  </r>
  <r>
    <n v="1144"/>
    <x v="5"/>
    <n v="0.2432047222222222"/>
    <n v="0.1063959259258333"/>
    <n v="1.0133530092592592E-3"/>
    <n v="4.4331635802430537E-4"/>
    <n v="1"/>
    <n v="1.2160236111111111E-2"/>
  </r>
  <r>
    <n v="1144"/>
    <x v="6"/>
    <n v="0.26247055555555548"/>
    <n v="0.10865372222222219"/>
    <n v="1.0936273148148144E-3"/>
    <n v="4.5272384259259247E-4"/>
    <n v="1"/>
    <n v="1.3123527777777772E-2"/>
  </r>
  <r>
    <n v="1144"/>
    <x v="7"/>
    <n v="0.53165083333333329"/>
    <n v="0.19074774154583329"/>
    <n v="2.2152118055555553E-3"/>
    <n v="7.9478225644097204E-4"/>
    <n v="1"/>
    <n v="2.6582541666666664E-2"/>
  </r>
  <r>
    <n v="1144"/>
    <x v="8"/>
    <n v="0.25486027777777781"/>
    <n v="0.1882230138888889"/>
    <n v="1.0619178240740743E-3"/>
    <n v="7.8426255787037043E-4"/>
    <n v="1"/>
    <n v="1.2743013888888891E-2"/>
  </r>
  <r>
    <n v="1144"/>
    <x v="9"/>
    <n v="0.23207722222222221"/>
    <n v="0.1485417297977778"/>
    <n v="9.6698842592592583E-4"/>
    <n v="6.1892387415740755E-4"/>
    <n v="1"/>
    <n v="1.160386111111111E-2"/>
  </r>
  <r>
    <n v="1144"/>
    <x v="10"/>
    <n v="0.58696694444444442"/>
    <n v="0.23759873737361109"/>
    <n v="2.4456956018518517E-3"/>
    <n v="9.8999473905671286E-4"/>
    <n v="1"/>
    <n v="2.934834722222222E-2"/>
  </r>
  <r>
    <n v="1144"/>
    <x v="11"/>
    <n v="0.31241777777777779"/>
    <n v="0.15844398148138891"/>
    <n v="1.3017407407407407E-3"/>
    <n v="6.6018325617245386E-4"/>
    <n v="1"/>
    <n v="1.5620888888888889E-2"/>
  </r>
  <r>
    <n v="1145"/>
    <x v="0"/>
    <n v="0.69138888888888894"/>
    <n v="0.37555555555555559"/>
    <n v="2.8807870370370372E-3"/>
    <n v="1.5648148148148149E-3"/>
    <n v="1"/>
    <n v="3.4569444444444444E-2"/>
  </r>
  <r>
    <n v="1145"/>
    <x v="3"/>
    <n v="0.66911833333333337"/>
    <n v="0.66911833333333337"/>
    <n v="2.7879930555555557E-3"/>
    <n v="2.7879930555555557E-3"/>
    <n v="1"/>
    <n v="3.3455916666666669E-2"/>
  </r>
  <r>
    <n v="1145"/>
    <x v="5"/>
    <n v="0.63833694444444444"/>
    <n v="0.22487765432083329"/>
    <n v="2.6597372685185187E-3"/>
    <n v="9.3699022633680527E-4"/>
    <n v="1"/>
    <n v="3.1916847222222225E-2"/>
  </r>
  <r>
    <n v="1145"/>
    <x v="6"/>
    <n v="0.74785250000000003"/>
    <n v="0.31329708333333328"/>
    <n v="3.1160520833333331E-3"/>
    <n v="1.3054045138888887E-3"/>
    <n v="1"/>
    <n v="3.7392624999999999E-2"/>
  </r>
  <r>
    <n v="1145"/>
    <x v="8"/>
    <n v="1.1019686111111111"/>
    <n v="0.52753398148138886"/>
    <n v="4.5915358796296294E-3"/>
    <n v="2.1980582561724536E-3"/>
    <n v="1"/>
    <n v="5.509843055555555E-2"/>
  </r>
  <r>
    <n v="1145"/>
    <x v="9"/>
    <n v="0.85352888888888889"/>
    <n v="0.32148690476166669"/>
    <n v="3.5563703703703708E-3"/>
    <n v="1.3395287698402779E-3"/>
    <n v="1"/>
    <n v="4.2676444444444447E-2"/>
  </r>
  <r>
    <n v="1145"/>
    <x v="10"/>
    <n v="1.2165349999999999"/>
    <n v="0.64493231481472224"/>
    <n v="5.0688958333333332E-3"/>
    <n v="2.687217978394676E-3"/>
    <n v="1"/>
    <n v="6.0826749999999999E-2"/>
  </r>
  <r>
    <n v="1145"/>
    <x v="11"/>
    <n v="0.30239611111111109"/>
    <n v="0.30239611111111109"/>
    <n v="1.2599837962962962E-3"/>
    <n v="1.2599837962962962E-3"/>
    <n v="1"/>
    <n v="1.5119805555555553E-2"/>
  </r>
  <r>
    <n v="1146"/>
    <x v="0"/>
    <n v="0.42"/>
    <n v="0.32444444444444442"/>
    <n v="1.7499999999999998E-3"/>
    <n v="1.3518518518518517E-3"/>
    <n v="1"/>
    <n v="2.0999999999999998E-2"/>
  </r>
  <r>
    <n v="1146"/>
    <x v="1"/>
    <n v="0.24433722222222221"/>
    <n v="0.22105498737361109"/>
    <n v="1.0180717592592591E-3"/>
    <n v="9.2106244739004629E-4"/>
    <n v="1"/>
    <n v="1.2216861111111109E-2"/>
  </r>
  <r>
    <n v="1146"/>
    <x v="2"/>
    <n v="0.30556666666666671"/>
    <n v="0.23219375"/>
    <n v="1.2731944444444446E-3"/>
    <n v="9.6747395833333332E-4"/>
    <n v="1"/>
    <n v="1.5278333333333335E-2"/>
  </r>
  <r>
    <n v="1146"/>
    <x v="3"/>
    <n v="0.46587222222222219"/>
    <n v="0.23837707671944439"/>
    <n v="1.941134259259259E-3"/>
    <n v="9.9323781966435148E-4"/>
    <n v="1"/>
    <n v="2.3293611111111109E-2"/>
  </r>
  <r>
    <n v="1146"/>
    <x v="4"/>
    <n v="0.26765"/>
    <n v="0.21804579166666671"/>
    <n v="1.1152083333333333E-3"/>
    <n v="9.0852413194444459E-4"/>
    <n v="1"/>
    <n v="1.3382499999999999E-2"/>
  </r>
  <r>
    <n v="1146"/>
    <x v="5"/>
    <n v="0.45781861111111111"/>
    <n v="0.3018825277777778"/>
    <n v="1.9075775462962963E-3"/>
    <n v="1.2578438657407408E-3"/>
    <n v="1"/>
    <n v="2.2890930555555557E-2"/>
  </r>
  <r>
    <n v="1146"/>
    <x v="6"/>
    <n v="0.42961749999999999"/>
    <n v="0.40653395502638889"/>
    <n v="1.7900729166666666E-3"/>
    <n v="1.6938914792766204E-3"/>
    <n v="1"/>
    <n v="2.1480875E-2"/>
  </r>
  <r>
    <n v="1146"/>
    <x v="7"/>
    <n v="0.42964583333333328"/>
    <n v="0.40094594202888889"/>
    <n v="1.7901909722222219E-3"/>
    <n v="1.670608091787037E-3"/>
    <n v="1"/>
    <n v="2.1482291666666663E-2"/>
  </r>
  <r>
    <n v="1146"/>
    <x v="8"/>
    <n v="0.54990111111111106"/>
    <n v="0.50297515277777782"/>
    <n v="2.2912546296296296E-3"/>
    <n v="2.095729803240741E-3"/>
    <n v="1"/>
    <n v="2.7495055555555557E-2"/>
  </r>
  <r>
    <n v="1146"/>
    <x v="9"/>
    <n v="0.53878666666666664"/>
    <n v="0.44837458333333341"/>
    <n v="2.2449444444444444E-3"/>
    <n v="1.8682274305555559E-3"/>
    <n v="1"/>
    <n v="2.6939333333333332E-2"/>
  </r>
  <r>
    <n v="1146"/>
    <x v="10"/>
    <n v="0.52896194444444444"/>
    <n v="0.47243886363611109"/>
    <n v="2.204008101851852E-3"/>
    <n v="1.968495265150463E-3"/>
    <n v="1"/>
    <n v="2.6448097222222224E-2"/>
  </r>
  <r>
    <n v="1146"/>
    <x v="11"/>
    <n v="0.82033055555555556"/>
    <n v="0.44924058201055561"/>
    <n v="3.4180439814814815E-3"/>
    <n v="1.8718357583773152E-3"/>
    <n v="1"/>
    <n v="4.1016527777777777E-2"/>
  </r>
  <r>
    <n v="1147"/>
    <x v="0"/>
    <n v="1.0366666666666666"/>
    <n v="0.47444444444444439"/>
    <n v="4.3194444444444443E-3"/>
    <n v="1.9768518518518516E-3"/>
    <n v="1"/>
    <n v="5.1833333333333328E-2"/>
  </r>
  <r>
    <n v="1147"/>
    <x v="8"/>
    <n v="2.0683122222222221"/>
    <n v="0.98281116666666668"/>
    <n v="8.617967592592592E-3"/>
    <n v="4.0950465277777778E-3"/>
    <n v="1"/>
    <n v="0.10341561111111111"/>
  </r>
  <r>
    <n v="1147"/>
    <x v="9"/>
    <n v="1.0110861111111109"/>
    <n v="0.61584370370361108"/>
    <n v="4.2128587962962953E-3"/>
    <n v="2.5660154320983797E-3"/>
    <n v="1"/>
    <n v="5.055430555555554E-2"/>
  </r>
  <r>
    <n v="1147"/>
    <x v="10"/>
    <n v="1.066849722222222"/>
    <n v="0.29906953703694439"/>
    <n v="4.4452071759259254E-3"/>
    <n v="1.2461230709872684E-3"/>
    <n v="1"/>
    <n v="5.3342486111111101E-2"/>
  </r>
  <r>
    <n v="1148"/>
    <x v="0"/>
    <n v="0.3347222222222222"/>
    <n v="0.13666666666666666"/>
    <n v="1.3946759259259259E-3"/>
    <n v="5.6944444444444436E-4"/>
    <n v="1"/>
    <n v="1.6736111111111111E-2"/>
  </r>
  <r>
    <n v="1148"/>
    <x v="1"/>
    <n v="0.15939722222222219"/>
    <n v="0.1393398015872222"/>
    <n v="6.6415509259259249E-4"/>
    <n v="5.8058250661342586E-4"/>
    <n v="1"/>
    <n v="7.9698611111111099E-3"/>
  </r>
  <r>
    <n v="1148"/>
    <x v="2"/>
    <n v="0.15278611111111109"/>
    <n v="0.14185463888888891"/>
    <n v="6.3660879629629625E-4"/>
    <n v="5.9106099537037046E-4"/>
    <n v="1"/>
    <n v="7.6393055555555554E-3"/>
  </r>
  <r>
    <n v="1148"/>
    <x v="3"/>
    <n v="0.3960252777777778"/>
    <n v="0.1490291005288889"/>
    <n v="1.650105324074074E-3"/>
    <n v="6.209545855370371E-4"/>
    <n v="1"/>
    <n v="1.9801263888888889E-2"/>
  </r>
  <r>
    <n v="1148"/>
    <x v="4"/>
    <n v="0.16617777777777781"/>
    <n v="0.14738097222222221"/>
    <n v="6.9240740740740753E-4"/>
    <n v="6.1408738425925921E-4"/>
    <n v="1"/>
    <n v="8.30888888888889E-3"/>
  </r>
  <r>
    <n v="1148"/>
    <x v="5"/>
    <n v="0.15701027777777779"/>
    <n v="9.1612905982777784E-2"/>
    <n v="6.5420949074074079E-4"/>
    <n v="3.8172044159490745E-4"/>
    <n v="1"/>
    <n v="7.8505138888888895E-3"/>
  </r>
  <r>
    <n v="1148"/>
    <x v="6"/>
    <n v="1.59236"/>
    <n v="0.2139118915341667"/>
    <n v="6.6348333333333329E-3"/>
    <n v="8.9129954805902787E-4"/>
    <n v="1"/>
    <n v="7.9617999999999994E-2"/>
  </r>
  <r>
    <n v="1148"/>
    <x v="7"/>
    <n v="0.30955027777777783"/>
    <n v="0.1428335869563889"/>
    <n v="1.2897928240740743E-3"/>
    <n v="5.9513994565162044E-4"/>
    <n v="1"/>
    <n v="1.5477513888888891E-2"/>
  </r>
  <r>
    <n v="1148"/>
    <x v="8"/>
    <n v="0.29265194444444442"/>
    <n v="0.15944087500000001"/>
    <n v="1.2193831018518517E-3"/>
    <n v="6.6433697916666676E-4"/>
    <n v="1"/>
    <n v="1.463259722222222E-2"/>
  </r>
  <r>
    <n v="1148"/>
    <x v="9"/>
    <n v="0.30755083333333327"/>
    <n v="0.1519900378786111"/>
    <n v="1.2814618055555554E-3"/>
    <n v="6.3329182449421283E-4"/>
    <n v="1"/>
    <n v="1.5377541666666664E-2"/>
  </r>
  <r>
    <n v="1148"/>
    <x v="10"/>
    <n v="0.32222499999999998"/>
    <n v="0.15608547979777779"/>
    <n v="1.3426041666666666E-3"/>
    <n v="6.5035616582407414E-4"/>
    <n v="1"/>
    <n v="1.6111250000000001E-2"/>
  </r>
  <r>
    <n v="1148"/>
    <x v="11"/>
    <n v="0.15983166666666671"/>
    <n v="0.14501427248666671"/>
    <n v="6.6596527777777791E-4"/>
    <n v="6.0422613536111134E-4"/>
    <n v="1"/>
    <n v="7.9915833333333349E-3"/>
  </r>
  <r>
    <n v="1149"/>
    <x v="0"/>
    <n v="0.30805555555555558"/>
    <n v="0.12444444444444444"/>
    <n v="1.2835648148148149E-3"/>
    <n v="5.1851851851851853E-4"/>
    <n v="1"/>
    <n v="1.5402777777777779E-2"/>
  </r>
  <r>
    <n v="1149"/>
    <x v="1"/>
    <n v="0.1671897222222222"/>
    <n v="0.10264041666666671"/>
    <n v="6.9662384259259243E-4"/>
    <n v="4.2766840277777795E-4"/>
    <n v="1"/>
    <n v="8.3594861111111092E-3"/>
  </r>
  <r>
    <n v="1149"/>
    <x v="2"/>
    <n v="0.1667491666666667"/>
    <n v="9.0949930555555558E-2"/>
    <n v="6.947881944444446E-4"/>
    <n v="3.7895804398148147E-4"/>
    <n v="1"/>
    <n v="8.3374583333333356E-3"/>
  </r>
  <r>
    <n v="1149"/>
    <x v="3"/>
    <n v="0.22187305555555559"/>
    <n v="0.11700147222222219"/>
    <n v="9.2447106481481493E-4"/>
    <n v="4.8750613425925911E-4"/>
    <n v="1"/>
    <n v="1.1093652777777779E-2"/>
  </r>
  <r>
    <n v="1149"/>
    <x v="4"/>
    <n v="0.1942291666666667"/>
    <n v="0.1003440873013889"/>
    <n v="8.0928819444444462E-4"/>
    <n v="4.1810036375578707E-4"/>
    <n v="1"/>
    <n v="9.7114583333333358E-3"/>
  </r>
  <r>
    <n v="1149"/>
    <x v="5"/>
    <n v="0.2626425"/>
    <n v="0.1021749603172222"/>
    <n v="1.09434375E-3"/>
    <n v="4.2572900132175918E-4"/>
    <n v="1"/>
    <n v="1.3132125000000001E-2"/>
  </r>
  <r>
    <n v="1149"/>
    <x v="6"/>
    <n v="0.20426555555555559"/>
    <n v="0.12051217171694439"/>
    <n v="8.5110648148148166E-4"/>
    <n v="5.0213404882060164E-4"/>
    <n v="1"/>
    <n v="1.0213277777777779E-2"/>
  </r>
  <r>
    <n v="1149"/>
    <x v="7"/>
    <n v="0.60338138888888893"/>
    <n v="0.1595093803416667"/>
    <n v="2.5140891203703705E-3"/>
    <n v="6.6462241809027791E-4"/>
    <n v="1"/>
    <n v="3.0169069444444446E-2"/>
  </r>
  <r>
    <n v="1149"/>
    <x v="8"/>
    <n v="0.37710388888888891"/>
    <n v="0.15828713675194439"/>
    <n v="1.5712662037037038E-3"/>
    <n v="6.5952973646643499E-4"/>
    <n v="1"/>
    <n v="1.8855194444444445E-2"/>
  </r>
  <r>
    <n v="1149"/>
    <x v="9"/>
    <n v="0.20580694444444439"/>
    <n v="0.1389592735041667"/>
    <n v="8.5752893518518502E-4"/>
    <n v="5.7899697293402796E-4"/>
    <n v="1"/>
    <n v="1.029034722222222E-2"/>
  </r>
  <r>
    <n v="1149"/>
    <x v="10"/>
    <n v="0.88986583333333336"/>
    <n v="0.20693245833333329"/>
    <n v="3.7077743055555557E-3"/>
    <n v="8.6221857638888865E-4"/>
    <n v="1"/>
    <n v="4.4493291666666671E-2"/>
  </r>
  <r>
    <n v="1149"/>
    <x v="11"/>
    <n v="0.40241777777777782"/>
    <n v="0.19322938596472219"/>
    <n v="1.6767407407407408E-3"/>
    <n v="8.0512244151967588E-4"/>
    <n v="1"/>
    <n v="2.012088888888889E-2"/>
  </r>
  <r>
    <n v="1150"/>
    <x v="0"/>
    <n v="0.72583333333333333"/>
    <n v="0.33833333333333332"/>
    <n v="3.0243055555555557E-3"/>
    <n v="1.4097222222222221E-3"/>
    <n v="1"/>
    <n v="3.6291666666666667E-2"/>
  </r>
  <r>
    <n v="1150"/>
    <x v="3"/>
    <n v="5.1089722222222217E-2"/>
    <n v="3.4998611111111112E-2"/>
    <n v="2.1287384259259255E-4"/>
    <n v="1.458275462962963E-4"/>
    <n v="1"/>
    <n v="2.5544861111111107E-3"/>
  </r>
  <r>
    <n v="1150"/>
    <x v="4"/>
    <n v="0.28285444444444452"/>
    <n v="0.28285444444444452"/>
    <n v="1.1785601851851855E-3"/>
    <n v="1.1785601851851855E-3"/>
    <n v="1"/>
    <n v="1.4142722222222227E-2"/>
  </r>
  <r>
    <n v="1150"/>
    <x v="5"/>
    <n v="3.2576388888888892"/>
    <n v="1.344773993055556"/>
    <n v="1.3573495370370371E-2"/>
    <n v="5.6032249710648166E-3"/>
    <n v="1"/>
    <n v="0.16288194444444445"/>
  </r>
  <r>
    <n v="1150"/>
    <x v="6"/>
    <n v="3.7326111111111109E-2"/>
    <n v="2.816444444444444E-2"/>
    <n v="1.5552546296296297E-4"/>
    <n v="1.1735185185185183E-4"/>
    <n v="1"/>
    <n v="1.8663055555555555E-3"/>
  </r>
  <r>
    <n v="1151"/>
    <x v="0"/>
    <n v="0.35222222222222221"/>
    <n v="0.16611111111111113"/>
    <n v="1.4675925925925926E-3"/>
    <n v="6.9212962962962967E-4"/>
    <n v="1"/>
    <n v="1.7611111111111112E-2"/>
  </r>
  <r>
    <n v="1151"/>
    <x v="3"/>
    <n v="0.35746333333333341"/>
    <n v="0.18057752136749999"/>
    <n v="1.4894305555555557E-3"/>
    <n v="7.5240633903124997E-4"/>
    <n v="1"/>
    <n v="1.7873166666666669E-2"/>
  </r>
  <r>
    <n v="1151"/>
    <x v="4"/>
    <n v="0.35043083333333341"/>
    <n v="0.15696068055555559"/>
    <n v="1.4601284722222227E-3"/>
    <n v="6.5400283564814833E-4"/>
    <n v="1"/>
    <n v="1.7521541666666671E-2"/>
  </r>
  <r>
    <n v="1151"/>
    <x v="5"/>
    <n v="0.19094083333333331"/>
    <n v="0.1270492638888889"/>
    <n v="7.9558680555555546E-4"/>
    <n v="5.2937193287037041E-4"/>
    <n v="1"/>
    <n v="9.5470416666666655E-3"/>
  </r>
  <r>
    <n v="1151"/>
    <x v="6"/>
    <n v="0.18420555555555559"/>
    <n v="0.13528812500000001"/>
    <n v="7.6752314814814825E-4"/>
    <n v="5.6370052083333337E-4"/>
    <n v="1"/>
    <n v="9.210277777777779E-3"/>
  </r>
  <r>
    <n v="1151"/>
    <x v="7"/>
    <n v="0.1681766666666667"/>
    <n v="0.12578632850222221"/>
    <n v="7.0073611111111118E-4"/>
    <n v="5.2410970209259254E-4"/>
    <n v="1"/>
    <n v="8.4088333333333341E-3"/>
  </r>
  <r>
    <n v="1151"/>
    <x v="8"/>
    <n v="0.39607305555555561"/>
    <n v="0.19578955555555561"/>
    <n v="1.6503043981481484E-3"/>
    <n v="8.1578981481481504E-4"/>
    <n v="1"/>
    <n v="1.9803652777777781E-2"/>
  </r>
  <r>
    <n v="1151"/>
    <x v="9"/>
    <n v="0.50224250000000004"/>
    <n v="0.14410751543194439"/>
    <n v="2.0926770833333335E-3"/>
    <n v="6.0044798096643497E-4"/>
    <n v="1"/>
    <n v="2.5112125000000003E-2"/>
  </r>
  <r>
    <n v="1151"/>
    <x v="10"/>
    <n v="1.1073433333333329"/>
    <n v="0.4609928373013889"/>
    <n v="4.6139305555555543E-3"/>
    <n v="1.9208034887557872E-3"/>
    <n v="1"/>
    <n v="5.5367166666666648E-2"/>
  </r>
  <r>
    <n v="1151"/>
    <x v="11"/>
    <n v="0.26274750000000002"/>
    <n v="0.1344424867722222"/>
    <n v="1.0947812500000001E-3"/>
    <n v="5.6017702821759246E-4"/>
    <n v="1"/>
    <n v="1.3137375E-2"/>
  </r>
  <r>
    <n v="1152"/>
    <x v="0"/>
    <n v="1.1255555555555554"/>
    <n v="0.8997222222222222"/>
    <n v="4.6898148148148142E-3"/>
    <n v="3.7488425925925922E-3"/>
    <n v="1"/>
    <n v="5.6277777777777774E-2"/>
  </r>
  <r>
    <n v="1152"/>
    <x v="1"/>
    <n v="1.7120236111111109"/>
    <n v="1.616963989898889"/>
    <n v="7.1334317129629621E-3"/>
    <n v="6.737349957912038E-3"/>
    <n v="1"/>
    <n v="8.5601180555555545E-2"/>
  </r>
  <r>
    <n v="1152"/>
    <x v="2"/>
    <n v="1.6644833333333331"/>
    <n v="1.081405138888889"/>
    <n v="6.9353472222222212E-3"/>
    <n v="4.5058547453703706E-3"/>
    <n v="1"/>
    <n v="8.3224166666666655E-2"/>
  </r>
  <r>
    <n v="1153"/>
    <x v="0"/>
    <n v="1.0219444444444445"/>
    <n v="0.3783333333333333"/>
    <n v="4.2581018518518523E-3"/>
    <n v="1.5763888888888887E-3"/>
    <n v="1"/>
    <n v="5.1097222222222224E-2"/>
  </r>
  <r>
    <n v="1153"/>
    <x v="8"/>
    <n v="2.0008238888888892"/>
    <n v="0.65403500000000003"/>
    <n v="8.3367662037037039E-3"/>
    <n v="2.7251458333333333E-3"/>
    <n v="1"/>
    <n v="0.10004119444444445"/>
  </r>
  <r>
    <n v="1153"/>
    <x v="10"/>
    <n v="1.064345277777778"/>
    <n v="0.48071625000000001"/>
    <n v="4.4347719907407417E-3"/>
    <n v="2.002984375E-3"/>
    <n v="1"/>
    <n v="5.3217263888888901E-2"/>
  </r>
  <r>
    <n v="1154"/>
    <x v="0"/>
    <n v="0.53555555555555556"/>
    <n v="0.24361111111111111"/>
    <n v="2.2314814814814814E-3"/>
    <n v="1.0150462962962962E-3"/>
    <n v="1"/>
    <n v="2.6777777777777775E-2"/>
  </r>
  <r>
    <n v="1154"/>
    <x v="3"/>
    <n v="2.9507222222222219E-2"/>
    <n v="2.1250000000000002E-2"/>
    <n v="1.2294675925925925E-4"/>
    <n v="8.8541666666666673E-5"/>
    <n v="1"/>
    <n v="1.4753611111111109E-3"/>
  </r>
  <r>
    <n v="1154"/>
    <x v="4"/>
    <n v="0.31088777777777782"/>
    <n v="0.31088777777777782"/>
    <n v="1.2953657407407408E-3"/>
    <n v="1.2953657407407408E-3"/>
    <n v="1"/>
    <n v="1.5544388888888889E-2"/>
  </r>
  <r>
    <n v="1154"/>
    <x v="5"/>
    <n v="2.3113388888888888"/>
    <n v="0.86110263888888894"/>
    <n v="9.6305787037037037E-3"/>
    <n v="3.5879276620370375E-3"/>
    <n v="1"/>
    <n v="0.11556694444444444"/>
  </r>
  <r>
    <n v="1154"/>
    <x v="6"/>
    <n v="2.537611111111111E-2"/>
    <n v="2.4648750000000001E-2"/>
    <n v="1.057337962962963E-4"/>
    <n v="1.02703125E-4"/>
    <n v="1"/>
    <n v="1.2688055555555556E-3"/>
  </r>
  <r>
    <n v="1155"/>
    <x v="0"/>
    <n v="0.86166666666666669"/>
    <n v="0.4211111111111111"/>
    <n v="3.5902777777777777E-3"/>
    <n v="1.7546296296296296E-3"/>
    <n v="1"/>
    <n v="4.3083333333333335E-2"/>
  </r>
  <r>
    <n v="1155"/>
    <x v="1"/>
    <n v="1.199146111111111"/>
    <n v="0.40528769841250001"/>
    <n v="4.9964421296296293E-3"/>
    <n v="1.6886987433854166E-3"/>
    <n v="1"/>
    <n v="5.9957305555555548E-2"/>
  </r>
  <r>
    <n v="1155"/>
    <x v="2"/>
    <n v="1.3853500000000001"/>
    <n v="0.85759444444444444"/>
    <n v="5.7722916666666678E-3"/>
    <n v="3.573310185185185E-3"/>
    <n v="1"/>
    <n v="6.926750000000001E-2"/>
  </r>
  <r>
    <n v="1156"/>
    <x v="0"/>
    <n v="0.21388888888888891"/>
    <n v="0.20250000000000001"/>
    <n v="8.9120370370370384E-4"/>
    <n v="8.4374999999999999E-4"/>
    <n v="1"/>
    <n v="1.0694444444444446E-2"/>
  </r>
  <r>
    <n v="1156"/>
    <x v="1"/>
    <n v="0.76061749999999995"/>
    <n v="0.76061749999999995"/>
    <n v="3.1692395833333334E-3"/>
    <n v="3.1692395833333334E-3"/>
    <n v="1"/>
    <n v="3.8030874999999999E-2"/>
  </r>
  <r>
    <n v="1156"/>
    <x v="2"/>
    <n v="0.27143972222222218"/>
    <n v="0.27143972222222218"/>
    <n v="1.1309988425925925E-3"/>
    <n v="1.1309988425925925E-3"/>
    <n v="1"/>
    <n v="1.3571986111111111E-2"/>
  </r>
  <r>
    <n v="1156"/>
    <x v="3"/>
    <n v="0.16262055555555549"/>
    <n v="0.16262055555555549"/>
    <n v="6.7758564814814797E-4"/>
    <n v="6.7758564814814797E-4"/>
    <n v="1"/>
    <n v="8.1310277777777752E-3"/>
  </r>
  <r>
    <n v="1156"/>
    <x v="4"/>
    <n v="0.1152916666666667"/>
    <n v="0.1152916666666667"/>
    <n v="4.8038194444444457E-4"/>
    <n v="4.8038194444444457E-4"/>
    <n v="1"/>
    <n v="5.7645833333333351E-3"/>
  </r>
  <r>
    <n v="1156"/>
    <x v="5"/>
    <n v="0.18765194444444441"/>
    <n v="0.11981166666666671"/>
    <n v="7.8188310185185175E-4"/>
    <n v="4.99215277777778E-4"/>
    <n v="1"/>
    <n v="9.382597222222221E-3"/>
  </r>
  <r>
    <n v="1156"/>
    <x v="6"/>
    <n v="0.1546241666666667"/>
    <n v="0.1546241666666667"/>
    <n v="6.4426736111111119E-4"/>
    <n v="6.4426736111111119E-4"/>
    <n v="1"/>
    <n v="7.7312083333333347E-3"/>
  </r>
  <r>
    <n v="1156"/>
    <x v="7"/>
    <n v="0.13196944444444439"/>
    <n v="0.13196944444444439"/>
    <n v="5.4987268518518493E-4"/>
    <n v="5.4987268518518493E-4"/>
    <n v="1"/>
    <n v="6.5984722222222191E-3"/>
  </r>
  <r>
    <n v="1156"/>
    <x v="8"/>
    <n v="0.2463572222222222"/>
    <n v="0.2463572222222222"/>
    <n v="1.0264884259259257E-3"/>
    <n v="1.0264884259259257E-3"/>
    <n v="1"/>
    <n v="1.2317861111111109E-2"/>
  </r>
  <r>
    <n v="1156"/>
    <x v="9"/>
    <n v="0.1630861111111111"/>
    <n v="0.1630861111111111"/>
    <n v="6.7952546296296294E-4"/>
    <n v="6.7952546296296294E-4"/>
    <n v="1"/>
    <n v="8.1543055555555553E-3"/>
  </r>
  <r>
    <n v="1156"/>
    <x v="10"/>
    <n v="0.1205972222222222"/>
    <n v="0.1205972222222222"/>
    <n v="5.0248842592592587E-4"/>
    <n v="5.0248842592592587E-4"/>
    <n v="1"/>
    <n v="6.0298611111111108E-3"/>
  </r>
  <r>
    <n v="1156"/>
    <x v="11"/>
    <n v="0.25225944444444443"/>
    <n v="0.18231666666666671"/>
    <n v="1.0510810185185185E-3"/>
    <n v="7.5965277777777793E-4"/>
    <n v="1"/>
    <n v="1.2612972222222222E-2"/>
  </r>
  <r>
    <n v="1157"/>
    <x v="0"/>
    <n v="0.17888888888888888"/>
    <n v="8.0555555555555547E-2"/>
    <n v="7.4537037037037031E-4"/>
    <n v="3.3564814814814812E-4"/>
    <n v="1"/>
    <n v="8.9444444444444441E-3"/>
  </r>
  <r>
    <n v="1157"/>
    <x v="1"/>
    <n v="6.3791944444444443E-2"/>
    <n v="4.5732916666666658E-2"/>
    <n v="2.6579976851851851E-4"/>
    <n v="1.9055381944444439E-4"/>
    <n v="1"/>
    <n v="3.1895972222222221E-3"/>
  </r>
  <r>
    <n v="1157"/>
    <x v="2"/>
    <n v="0.24172638888888889"/>
    <n v="0.11652712962944441"/>
    <n v="1.0071932870370371E-3"/>
    <n v="4.8552970678935166E-4"/>
    <n v="1"/>
    <n v="1.2086319444444445E-2"/>
  </r>
  <r>
    <n v="1157"/>
    <x v="3"/>
    <n v="0.84576722222222223"/>
    <n v="0.26501956349194439"/>
    <n v="3.5240300925925925E-3"/>
    <n v="1.1042481812164348E-3"/>
    <n v="1"/>
    <n v="4.228836111111111E-2"/>
  </r>
  <r>
    <n v="1157"/>
    <x v="4"/>
    <n v="9.6581388888888883E-2"/>
    <n v="7.925083333333334E-2"/>
    <n v="4.0242245370370367E-4"/>
    <n v="3.302118055555556E-4"/>
    <n v="1"/>
    <n v="4.829069444444444E-3"/>
  </r>
  <r>
    <n v="1157"/>
    <x v="5"/>
    <n v="0.2242247222222222"/>
    <n v="8.6706076388888886E-2"/>
    <n v="9.3426967592592574E-4"/>
    <n v="3.6127531828703701E-4"/>
    <n v="1"/>
    <n v="1.1211236111111109E-2"/>
  </r>
  <r>
    <n v="1157"/>
    <x v="6"/>
    <n v="9.3396944444444449E-2"/>
    <n v="4.3323368055555547E-2"/>
    <n v="3.8915393518518525E-4"/>
    <n v="1.8051403356481477E-4"/>
    <n v="1"/>
    <n v="4.6698472222222228E-3"/>
  </r>
  <r>
    <n v="1157"/>
    <x v="7"/>
    <n v="5.7884444444444447E-2"/>
    <n v="4.4577499999999999E-2"/>
    <n v="2.4118518518518521E-4"/>
    <n v="1.8573958333333333E-4"/>
    <n v="1"/>
    <n v="2.8942222222222225E-3"/>
  </r>
  <r>
    <n v="1157"/>
    <x v="8"/>
    <n v="2.5212222222222219E-2"/>
    <n v="2.5212222222222219E-2"/>
    <n v="1.0505092592592592E-4"/>
    <n v="1.0505092592592592E-4"/>
    <n v="1"/>
    <n v="1.260611111111111E-3"/>
  </r>
  <r>
    <n v="1157"/>
    <x v="9"/>
    <n v="0.25770916666666671"/>
    <n v="0.1181926190475"/>
    <n v="1.0737881944444447E-3"/>
    <n v="4.9246924603125E-4"/>
    <n v="1"/>
    <n v="1.2885458333333336E-2"/>
  </r>
  <r>
    <n v="1157"/>
    <x v="10"/>
    <n v="0.18256555555555559"/>
    <n v="8.9259236111111112E-2"/>
    <n v="7.6068981481481506E-4"/>
    <n v="3.7191348379629635E-4"/>
    <n v="1"/>
    <n v="9.1282777777777803E-3"/>
  </r>
  <r>
    <n v="1157"/>
    <x v="11"/>
    <n v="5.7124166666666663E-2"/>
    <n v="4.9979583333333327E-2"/>
    <n v="2.3801736111111107E-4"/>
    <n v="2.0824826388888887E-4"/>
    <n v="1"/>
    <n v="2.856208333333333E-3"/>
  </r>
  <r>
    <n v="1158"/>
    <x v="0"/>
    <n v="0.50138888888888888"/>
    <n v="0.17694444444444446"/>
    <n v="2.0891203703703701E-3"/>
    <n v="7.3726851851851861E-4"/>
    <n v="1"/>
    <n v="2.5069444444444443E-2"/>
  </r>
  <r>
    <n v="1158"/>
    <x v="1"/>
    <n v="1.635076944444444"/>
    <n v="0.50562119444444442"/>
    <n v="6.8128206018518503E-3"/>
    <n v="2.1067549768518518E-3"/>
    <n v="1"/>
    <n v="8.1753847222222203E-2"/>
  </r>
  <r>
    <n v="1158"/>
    <x v="2"/>
    <n v="0.18351944444444451"/>
    <n v="9.5632736111111116E-2"/>
    <n v="7.646643518518522E-4"/>
    <n v="3.9846973379629633E-4"/>
    <n v="1"/>
    <n v="9.175972222222226E-3"/>
  </r>
  <r>
    <n v="1158"/>
    <x v="3"/>
    <n v="0.18592027777777781"/>
    <n v="0.1063766975308333"/>
    <n v="7.7466782407407421E-4"/>
    <n v="4.4323623971180543E-4"/>
    <n v="1"/>
    <n v="9.2960138888888901E-3"/>
  </r>
  <r>
    <n v="1159"/>
    <x v="0"/>
    <n v="0.1522222222222222"/>
    <n v="6.9444444444444448E-2"/>
    <n v="6.3425925925925922E-4"/>
    <n v="2.8935185185185189E-4"/>
    <n v="1"/>
    <n v="7.6111111111111102E-3"/>
  </r>
  <r>
    <n v="1159"/>
    <x v="1"/>
    <n v="5.5781666666666667E-2"/>
    <n v="4.8143017676666663E-2"/>
    <n v="2.3242361111111112E-4"/>
    <n v="2.0059590698611111E-4"/>
    <n v="1"/>
    <n v="2.7890833333333335E-3"/>
  </r>
  <r>
    <n v="1159"/>
    <x v="2"/>
    <n v="5.076777777777778E-2"/>
    <n v="4.6546999999999998E-2"/>
    <n v="2.1153240740740743E-4"/>
    <n v="1.939458333333333E-4"/>
    <n v="1"/>
    <n v="2.5383888888888891E-3"/>
  </r>
  <r>
    <n v="1159"/>
    <x v="3"/>
    <n v="0.14287111111111109"/>
    <n v="5.3020753968055563E-2"/>
    <n v="5.9529629629629613E-4"/>
    <n v="2.2091980820023151E-4"/>
    <n v="1"/>
    <n v="7.143555555555554E-3"/>
  </r>
  <r>
    <n v="1159"/>
    <x v="4"/>
    <n v="0.633525"/>
    <n v="0.11938975"/>
    <n v="2.6396875000000001E-3"/>
    <n v="4.9745729166666671E-4"/>
    <n v="1"/>
    <n v="3.1676250000000003E-2"/>
  </r>
  <r>
    <n v="1159"/>
    <x v="5"/>
    <n v="6.6417500000000004E-2"/>
    <n v="6.0738055555555559E-2"/>
    <n v="2.7673958333333332E-4"/>
    <n v="2.5307523148148151E-4"/>
    <n v="1"/>
    <n v="3.320875E-3"/>
  </r>
  <r>
    <n v="1159"/>
    <x v="6"/>
    <n v="0.12655111111111109"/>
    <n v="6.5669695766944439E-2"/>
    <n v="5.2729629629629622E-4"/>
    <n v="2.7362373236226851E-4"/>
    <n v="1"/>
    <n v="6.327555555555555E-3"/>
  </r>
  <r>
    <n v="1159"/>
    <x v="7"/>
    <n v="7.208055555555555E-2"/>
    <n v="5.8646521738888888E-2"/>
    <n v="3.0033564814814815E-4"/>
    <n v="2.4436050724537038E-4"/>
    <n v="1"/>
    <n v="3.604027777777778E-3"/>
  </r>
  <r>
    <n v="1159"/>
    <x v="8"/>
    <n v="0.1016122222222222"/>
    <n v="9.4112361111111112E-2"/>
    <n v="4.233842592592592E-4"/>
    <n v="3.92134837962963E-4"/>
    <n v="1"/>
    <n v="5.0806111111111104E-3"/>
  </r>
  <r>
    <n v="1159"/>
    <x v="9"/>
    <n v="0.17756388888888891"/>
    <n v="9.4230416666666664E-2"/>
    <n v="7.3984953703703712E-4"/>
    <n v="3.9262673611111112E-4"/>
    <n v="1"/>
    <n v="8.8781944444444455E-3"/>
  </r>
  <r>
    <n v="1159"/>
    <x v="10"/>
    <n v="0.10154638888888889"/>
    <n v="9.1138409090833331E-2"/>
    <n v="4.2310995370370376E-4"/>
    <n v="3.7974337121180553E-4"/>
    <n v="1"/>
    <n v="5.0773194444444451E-3"/>
  </r>
  <r>
    <n v="1159"/>
    <x v="11"/>
    <n v="0.29499555555555562"/>
    <n v="9.9750582010555561E-2"/>
    <n v="1.2291481481481485E-3"/>
    <n v="4.1562742504398152E-4"/>
    <n v="1"/>
    <n v="1.4749777777777782E-2"/>
  </r>
  <r>
    <n v="1160"/>
    <x v="0"/>
    <n v="0.1225"/>
    <n v="2.9166666666666667E-2"/>
    <n v="5.1041666666666672E-4"/>
    <n v="1.2152777777777779E-4"/>
    <n v="1"/>
    <n v="6.1250000000000002E-3"/>
  </r>
  <r>
    <n v="1160"/>
    <x v="1"/>
    <n v="0.22896583333333331"/>
    <n v="4.764379629611111E-2"/>
    <n v="9.5402430555555551E-4"/>
    <n v="1.9851581790046295E-4"/>
    <n v="1"/>
    <n v="1.1448291666666666E-2"/>
  </r>
  <r>
    <n v="1160"/>
    <x v="2"/>
    <n v="6.5795833333333331E-2"/>
    <n v="2.0882347222222219E-2"/>
    <n v="2.7414930555555553E-4"/>
    <n v="8.7009780092592567E-5"/>
    <n v="1"/>
    <n v="3.2897916666666666E-3"/>
  </r>
  <r>
    <n v="1160"/>
    <x v="3"/>
    <n v="0.19532861111111111"/>
    <n v="4.4654656084444452E-2"/>
    <n v="8.1386921296296296E-4"/>
    <n v="1.8606106701851854E-4"/>
    <n v="1"/>
    <n v="9.766430555555556E-3"/>
  </r>
  <r>
    <n v="1160"/>
    <x v="4"/>
    <n v="4.6613055555555553E-2"/>
    <n v="1.926645833333333E-2"/>
    <n v="1.9422106481481482E-4"/>
    <n v="8.0276909722222211E-5"/>
    <n v="1"/>
    <n v="2.3306527777777778E-3"/>
  </r>
  <r>
    <n v="1160"/>
    <x v="5"/>
    <n v="6.2819166666666662E-2"/>
    <n v="2.054954248361111E-2"/>
    <n v="2.6174652777777779E-4"/>
    <n v="8.5623093681712957E-5"/>
    <n v="1"/>
    <n v="3.1409583333333333E-3"/>
  </r>
  <r>
    <n v="1160"/>
    <x v="6"/>
    <n v="0.1653613888888889"/>
    <n v="4.8899193121666663E-2"/>
    <n v="6.8900578703703713E-4"/>
    <n v="2.0374663800694443E-4"/>
    <n v="1"/>
    <n v="8.2680694444444459E-3"/>
  </r>
  <r>
    <n v="1160"/>
    <x v="7"/>
    <n v="0.17413305555555561"/>
    <n v="2.577055555555556E-2"/>
    <n v="7.2555439814814835E-4"/>
    <n v="1.0737731481481483E-4"/>
    <n v="1"/>
    <n v="8.7066527777777802E-3"/>
  </r>
  <r>
    <n v="1160"/>
    <x v="8"/>
    <n v="3.4388333333333333E-2"/>
    <n v="1.46250396825E-2"/>
    <n v="1.4328472222222222E-4"/>
    <n v="6.0937665343750007E-5"/>
    <n v="1"/>
    <n v="1.7194166666666666E-3"/>
  </r>
  <r>
    <n v="1160"/>
    <x v="9"/>
    <n v="0.16204111111111111"/>
    <n v="3.5082543859444447E-2"/>
    <n v="6.7517129629629622E-4"/>
    <n v="1.4617726608101851E-4"/>
    <n v="1"/>
    <n v="8.1020555555555551E-3"/>
  </r>
  <r>
    <n v="1160"/>
    <x v="10"/>
    <n v="0.2103177777777778"/>
    <n v="2.982984848472222E-2"/>
    <n v="8.7632407407407418E-4"/>
    <n v="1.2429103535300924E-4"/>
    <n v="1"/>
    <n v="1.0515888888888891E-2"/>
  </r>
  <r>
    <n v="1160"/>
    <x v="11"/>
    <n v="0.12358861111111109"/>
    <n v="4.1731153846111112E-2"/>
    <n v="5.1495254629629623E-4"/>
    <n v="1.7387980769212962E-4"/>
    <n v="1"/>
    <n v="6.1794305555555543E-3"/>
  </r>
  <r>
    <n v="1161"/>
    <x v="0"/>
    <n v="0.11972222222222223"/>
    <n v="8.4999999999999992E-2"/>
    <n v="4.9884259259259261E-4"/>
    <n v="3.5416666666666664E-4"/>
    <n v="1"/>
    <n v="5.9861111111111113E-3"/>
  </r>
  <r>
    <n v="1161"/>
    <x v="1"/>
    <n v="0.1173563888888889"/>
    <n v="9.3593813131111106E-2"/>
    <n v="4.8898495370370372E-4"/>
    <n v="3.899742213796296E-4"/>
    <n v="1"/>
    <n v="5.8678194444444446E-3"/>
  </r>
  <r>
    <n v="1161"/>
    <x v="2"/>
    <n v="0.1161972222222222"/>
    <n v="8.6326597222222218E-2"/>
    <n v="4.841550925925925E-4"/>
    <n v="3.5969415509259261E-4"/>
    <n v="1"/>
    <n v="5.8098611111111103E-3"/>
  </r>
  <r>
    <n v="1161"/>
    <x v="3"/>
    <n v="0.11936472222222221"/>
    <n v="8.5611322751111107E-2"/>
    <n v="4.9735300925925912E-4"/>
    <n v="3.5671384479629627E-4"/>
    <n v="1"/>
    <n v="5.9682361111111099E-3"/>
  </r>
  <r>
    <n v="1161"/>
    <x v="4"/>
    <n v="0.1526352777777778"/>
    <n v="9.1018402777777771E-2"/>
    <n v="6.3598032407407418E-4"/>
    <n v="3.7924334490740735E-4"/>
    <n v="1"/>
    <n v="7.6317638888888902E-3"/>
  </r>
  <r>
    <n v="1161"/>
    <x v="5"/>
    <n v="0.12793055555555549"/>
    <n v="8.8648597222222222E-2"/>
    <n v="5.3304398148148124E-4"/>
    <n v="3.6936915509259261E-4"/>
    <n v="1"/>
    <n v="6.3965277777777753E-3"/>
  </r>
  <r>
    <n v="1161"/>
    <x v="6"/>
    <n v="0.1053408333333333"/>
    <n v="7.7951333333333331E-2"/>
    <n v="4.389201388888887E-4"/>
    <n v="3.2479722222222222E-4"/>
    <n v="1"/>
    <n v="5.2670416666666647E-3"/>
  </r>
  <r>
    <n v="1161"/>
    <x v="7"/>
    <n v="0.10247333333333331"/>
    <n v="7.4264456521666661E-2"/>
    <n v="4.2697222222222209E-4"/>
    <n v="3.0943523550694445E-4"/>
    <n v="1"/>
    <n v="5.1236666666666653E-3"/>
  </r>
  <r>
    <n v="1161"/>
    <x v="8"/>
    <n v="0.1446047222222222"/>
    <n v="0.11553470833333331"/>
    <n v="6.0251967592592584E-4"/>
    <n v="4.8139461805555547E-4"/>
    <n v="1"/>
    <n v="7.23023611111111E-3"/>
  </r>
  <r>
    <n v="1161"/>
    <x v="9"/>
    <n v="0.14611583333333331"/>
    <n v="0.1015070075755556"/>
    <n v="6.0881597222222207E-4"/>
    <n v="4.2294586489814836E-4"/>
    <n v="1"/>
    <n v="7.3057916666666653E-3"/>
  </r>
  <r>
    <n v="1161"/>
    <x v="10"/>
    <n v="0.1565925"/>
    <n v="0.1128392171716667"/>
    <n v="6.5246874999999995E-4"/>
    <n v="4.701634048819446E-4"/>
    <n v="1"/>
    <n v="7.8296249999999998E-3"/>
  </r>
  <r>
    <n v="1161"/>
    <x v="11"/>
    <n v="0.1477158333333333"/>
    <n v="9.1819484126944448E-2"/>
    <n v="6.1548263888888872E-4"/>
    <n v="3.8258118386226857E-4"/>
    <n v="1"/>
    <n v="7.3857916666666646E-3"/>
  </r>
  <r>
    <n v="1162"/>
    <x v="0"/>
    <n v="0.66555555555555546"/>
    <n v="0.22472222222222221"/>
    <n v="2.7731481481481478E-3"/>
    <n v="9.3634259259259246E-4"/>
    <n v="1"/>
    <n v="3.3277777777777774E-2"/>
  </r>
  <r>
    <n v="1162"/>
    <x v="9"/>
    <n v="1.3308074999999999"/>
    <n v="0.44943861111111111"/>
    <n v="5.5450312499999996E-3"/>
    <n v="1.8726608796296295E-3"/>
    <n v="1"/>
    <n v="6.6540374999999999E-2"/>
  </r>
  <r>
    <n v="1163"/>
    <x v="0"/>
    <n v="9.7222222222222224E-2"/>
    <n v="8.2777777777777783E-2"/>
    <n v="4.0509259259259258E-4"/>
    <n v="3.4490740740740743E-4"/>
    <n v="1"/>
    <n v="4.8611111111111112E-3"/>
  </r>
  <r>
    <n v="1163"/>
    <x v="1"/>
    <n v="0.11651833333333329"/>
    <n v="8.6805347222222218E-2"/>
    <n v="4.8549305555555542E-4"/>
    <n v="3.6168894675925924E-4"/>
    <n v="1"/>
    <n v="5.825916666666665E-3"/>
  </r>
  <r>
    <n v="1163"/>
    <x v="2"/>
    <n v="9.6663055555555558E-2"/>
    <n v="8.5739097222222227E-2"/>
    <n v="4.0276273148148154E-4"/>
    <n v="3.5724623842592595E-4"/>
    <n v="1"/>
    <n v="4.8331527777777782E-3"/>
  </r>
  <r>
    <n v="1163"/>
    <x v="3"/>
    <n v="0.1153083333333333"/>
    <n v="9.4635648148055557E-2"/>
    <n v="4.8045138888888877E-4"/>
    <n v="3.9431520061689816E-4"/>
    <n v="1"/>
    <n v="5.7654166666666652E-3"/>
  </r>
  <r>
    <n v="1163"/>
    <x v="4"/>
    <n v="8.0891666666666667E-2"/>
    <n v="7.8874351851666663E-2"/>
    <n v="3.370486111111111E-4"/>
    <n v="3.2864313271527778E-4"/>
    <n v="1"/>
    <n v="4.0445833333333332E-3"/>
  </r>
  <r>
    <n v="1163"/>
    <x v="5"/>
    <n v="0.1160361111111111"/>
    <n v="9.492520833333333E-2"/>
    <n v="4.8348379629629625E-4"/>
    <n v="3.9552170138888889E-4"/>
    <n v="1"/>
    <n v="5.8018055555555548E-3"/>
  </r>
  <r>
    <n v="1163"/>
    <x v="6"/>
    <n v="9.1393611111111106E-2"/>
    <n v="8.9487777777777777E-2"/>
    <n v="3.8080671296296295E-4"/>
    <n v="3.7286574074074072E-4"/>
    <n v="1"/>
    <n v="4.5696805555555551E-3"/>
  </r>
  <r>
    <n v="1163"/>
    <x v="7"/>
    <n v="9.9508333333333338E-2"/>
    <n v="9.1248194444444444E-2"/>
    <n v="4.1461805555555561E-4"/>
    <n v="3.8020081018518519E-4"/>
    <n v="1"/>
    <n v="4.975416666666667E-3"/>
  </r>
  <r>
    <n v="1163"/>
    <x v="8"/>
    <n v="0.1052027777777778"/>
    <n v="9.9713263888888889E-2"/>
    <n v="4.3834490740740748E-4"/>
    <n v="4.1547193287037035E-4"/>
    <n v="1"/>
    <n v="5.2601388888888897E-3"/>
  </r>
  <r>
    <n v="1163"/>
    <x v="9"/>
    <n v="0.15937416666666671"/>
    <n v="9.7870092592499999E-2"/>
    <n v="6.6405902777777785E-4"/>
    <n v="4.0779205246874997E-4"/>
    <n v="1"/>
    <n v="7.9687083333333346E-3"/>
  </r>
  <r>
    <n v="1163"/>
    <x v="10"/>
    <n v="9.1821111111111117E-2"/>
    <n v="8.7192638888888882E-2"/>
    <n v="3.8258796296296299E-4"/>
    <n v="3.6330266203703698E-4"/>
    <n v="1"/>
    <n v="4.5910555555555557E-3"/>
  </r>
  <r>
    <n v="1163"/>
    <x v="11"/>
    <n v="9.3095277777777777E-2"/>
    <n v="8.6136319444444442E-2"/>
    <n v="3.8789699074074074E-4"/>
    <n v="3.5890133101851854E-4"/>
    <n v="1"/>
    <n v="4.6547638888888888E-3"/>
  </r>
  <r>
    <n v="1164"/>
    <x v="0"/>
    <n v="0.30361111111111111"/>
    <n v="0.30361111111111111"/>
    <n v="1.2650462962962962E-3"/>
    <n v="1.2650462962962962E-3"/>
    <n v="1"/>
    <n v="1.5180555555555555E-2"/>
  </r>
  <r>
    <n v="1164"/>
    <x v="2"/>
    <n v="0.66666666666666663"/>
    <n v="0.66666666666666663"/>
    <n v="2.7777777777777779E-3"/>
    <n v="2.7777777777777779E-3"/>
    <n v="1"/>
    <n v="3.3333333333333333E-2"/>
  </r>
  <r>
    <n v="1164"/>
    <x v="3"/>
    <n v="0.24359527777777781"/>
    <n v="0.24359527777777781"/>
    <n v="1.0149803240740742E-3"/>
    <n v="1.0149803240740742E-3"/>
    <n v="1"/>
    <n v="1.2179763888888889E-2"/>
  </r>
  <r>
    <n v="1165"/>
    <x v="0"/>
    <n v="0.1388888888888889"/>
    <n v="0.10555555555555556"/>
    <n v="5.7870370370370378E-4"/>
    <n v="4.3981481481481481E-4"/>
    <n v="1"/>
    <n v="6.9444444444444458E-3"/>
  </r>
  <r>
    <n v="1165"/>
    <x v="5"/>
    <n v="0.19035722222222221"/>
    <n v="0.19035722222222221"/>
    <n v="7.9315509259259259E-4"/>
    <n v="7.9315509259259259E-4"/>
    <n v="1"/>
    <n v="9.5178611111111106E-3"/>
  </r>
  <r>
    <n v="1165"/>
    <x v="6"/>
    <n v="0.18830194444444451"/>
    <n v="0.10161398148138889"/>
    <n v="7.8459143518518548E-4"/>
    <n v="4.2339158950578703E-4"/>
    <n v="1"/>
    <n v="9.4150972222222257E-3"/>
  </r>
  <r>
    <n v="1165"/>
    <x v="7"/>
    <n v="0.26523777777777779"/>
    <n v="0.18477287037027779"/>
    <n v="1.1051574074074073E-3"/>
    <n v="7.6988695987615741E-4"/>
    <n v="1"/>
    <n v="1.3261888888888889E-2"/>
  </r>
  <r>
    <n v="1165"/>
    <x v="10"/>
    <n v="5.0209166666666673E-2"/>
    <n v="5.0209166666666673E-2"/>
    <n v="2.0920486111111115E-4"/>
    <n v="2.0920486111111115E-4"/>
    <n v="1"/>
    <n v="2.5104583333333337E-3"/>
  </r>
  <r>
    <n v="1166"/>
    <x v="0"/>
    <n v="0.16555555555555557"/>
    <n v="6.0000000000000005E-2"/>
    <n v="6.8981481481481487E-4"/>
    <n v="2.5000000000000001E-4"/>
    <n v="1"/>
    <n v="8.277777777777778E-3"/>
  </r>
  <r>
    <n v="1166"/>
    <x v="3"/>
    <n v="2.0771388888888891E-2"/>
    <n v="2.0771388888888891E-2"/>
    <n v="8.6547453703703713E-5"/>
    <n v="8.6547453703703713E-5"/>
    <n v="1"/>
    <n v="1.0385694444444446E-3"/>
  </r>
  <r>
    <n v="1166"/>
    <x v="5"/>
    <n v="0.62724083333333336"/>
    <n v="0.20725058641972219"/>
    <n v="2.6135034722222224E-3"/>
    <n v="8.6354411008217585E-4"/>
    <n v="1"/>
    <n v="3.1362041666666667E-2"/>
  </r>
  <r>
    <n v="1166"/>
    <x v="6"/>
    <n v="1.3662777777777781E-2"/>
    <n v="1.100675925916667E-2"/>
    <n v="5.6928240740740752E-5"/>
    <n v="4.5861496913194464E-5"/>
    <n v="1"/>
    <n v="6.8313888888888905E-4"/>
  </r>
  <r>
    <n v="1167"/>
    <x v="0"/>
    <n v="6.277777777777778E-2"/>
    <n v="1.6111111111111111E-2"/>
    <n v="2.6157407407407406E-4"/>
    <n v="6.712962962962963E-5"/>
    <n v="1"/>
    <n v="3.138888888888889E-3"/>
  </r>
  <r>
    <n v="1167"/>
    <x v="3"/>
    <n v="3.4293055555555563E-2"/>
    <n v="2.0710648148055559E-2"/>
    <n v="1.428877314814815E-4"/>
    <n v="8.6294367283564833E-5"/>
    <n v="1"/>
    <n v="1.714652777777778E-3"/>
  </r>
  <r>
    <n v="1167"/>
    <x v="4"/>
    <n v="4.0491666666666671E-3"/>
    <n v="4.0491666666666671E-3"/>
    <n v="1.6871527777777778E-5"/>
    <n v="1.6871527777777778E-5"/>
    <n v="1"/>
    <n v="2.0245833333333335E-4"/>
  </r>
  <r>
    <n v="1167"/>
    <x v="5"/>
    <n v="0.32645138888888892"/>
    <n v="4.6611820987499997E-2"/>
    <n v="1.3602141203703704E-3"/>
    <n v="1.9421592078124996E-4"/>
    <n v="1"/>
    <n v="1.6322569444444445E-2"/>
  </r>
  <r>
    <n v="1167"/>
    <x v="6"/>
    <n v="1.7645277777777781E-2"/>
    <n v="8.778222222222222E-3"/>
    <n v="7.3521990740740752E-5"/>
    <n v="3.6575925925925926E-5"/>
    <n v="1"/>
    <n v="8.8226388888888903E-4"/>
  </r>
  <r>
    <n v="1167"/>
    <x v="7"/>
    <n v="9.1208333333333336E-2"/>
    <n v="2.5067314814722221E-2"/>
    <n v="3.800347222222222E-4"/>
    <n v="1.0444714506134259E-4"/>
    <n v="1"/>
    <n v="4.5604166666666666E-3"/>
  </r>
  <r>
    <n v="1167"/>
    <x v="8"/>
    <n v="3.321972222222222E-2"/>
    <n v="1.378608585833333E-2"/>
    <n v="1.3841550925925924E-4"/>
    <n v="5.7442024409722206E-5"/>
    <n v="1"/>
    <n v="1.6609861111111109E-3"/>
  </r>
  <r>
    <n v="1167"/>
    <x v="9"/>
    <n v="3.2440833333333342E-2"/>
    <n v="1.130222222222222E-2"/>
    <n v="1.3517013888888891E-4"/>
    <n v="4.7092592592592587E-5"/>
    <n v="1"/>
    <n v="1.622041666666667E-3"/>
  </r>
  <r>
    <n v="1167"/>
    <x v="10"/>
    <n v="6.0498333333333328E-2"/>
    <n v="1.8544236111111109E-2"/>
    <n v="2.5207638888888887E-4"/>
    <n v="7.7267650462962956E-5"/>
    <n v="1"/>
    <n v="3.0249166666666662E-3"/>
  </r>
  <r>
    <n v="1167"/>
    <x v="11"/>
    <n v="2.733194444444444E-2"/>
    <n v="1.169830065333333E-2"/>
    <n v="1.1388310185185183E-4"/>
    <n v="4.8742919388888882E-5"/>
    <n v="1"/>
    <n v="1.366597222222222E-3"/>
  </r>
  <r>
    <n v="1168"/>
    <x v="0"/>
    <n v="8.3055555555555563E-2"/>
    <n v="4.083333333333334E-2"/>
    <n v="3.4606481481481484E-4"/>
    <n v="1.7013888888888892E-4"/>
    <n v="1"/>
    <n v="4.1527777777777778E-3"/>
  </r>
  <r>
    <n v="1168"/>
    <x v="2"/>
    <n v="5.3490833333333328E-2"/>
    <n v="5.3490833333333328E-2"/>
    <n v="2.2287847222222218E-4"/>
    <n v="2.2287847222222218E-4"/>
    <n v="1"/>
    <n v="2.6745416666666662E-3"/>
  </r>
  <r>
    <n v="1168"/>
    <x v="6"/>
    <n v="0.27269055555555549"/>
    <n v="8.0800119047499994E-2"/>
    <n v="1.1362106481481479E-3"/>
    <n v="3.3666716269791663E-4"/>
    <n v="1"/>
    <n v="1.3634527777777775E-2"/>
  </r>
  <r>
    <n v="1168"/>
    <x v="7"/>
    <n v="9.755277777777778E-2"/>
    <n v="5.1997023809444452E-2"/>
    <n v="4.0646990740740742E-4"/>
    <n v="2.1665426587268521E-4"/>
    <n v="1"/>
    <n v="4.8776388888888888E-3"/>
  </r>
  <r>
    <n v="1168"/>
    <x v="9"/>
    <n v="4.9686388888888891E-2"/>
    <n v="3.2913055555555563E-2"/>
    <n v="2.0702662037037036E-4"/>
    <n v="1.3713773148148152E-4"/>
    <n v="1"/>
    <n v="2.4843194444444444E-3"/>
  </r>
  <r>
    <n v="1168"/>
    <x v="10"/>
    <n v="1.6250000000000001E-2"/>
    <n v="1.545E-2"/>
    <n v="6.7708333333333344E-5"/>
    <n v="6.4374999999999993E-5"/>
    <n v="1"/>
    <n v="8.1250000000000007E-4"/>
  </r>
  <r>
    <n v="1168"/>
    <x v="11"/>
    <n v="9.1253888888888884E-2"/>
    <n v="5.1058125000000003E-2"/>
    <n v="3.8022453703703699E-4"/>
    <n v="2.1274218750000001E-4"/>
    <n v="1"/>
    <n v="4.5626944444444439E-3"/>
  </r>
  <r>
    <n v="1169"/>
    <x v="0"/>
    <n v="7.3055555555555568E-2"/>
    <n v="3.8611111111111117E-2"/>
    <n v="3.043981481481482E-4"/>
    <n v="1.6087962962962966E-4"/>
    <n v="1"/>
    <n v="3.6527777777777782E-3"/>
  </r>
  <r>
    <n v="1169"/>
    <x v="2"/>
    <n v="1.6146111111111111E-2"/>
    <n v="1.6146111111111111E-2"/>
    <n v="6.7275462962962965E-5"/>
    <n v="6.7275462962962965E-5"/>
    <n v="1"/>
    <n v="8.0730555555555558E-4"/>
  </r>
  <r>
    <n v="1169"/>
    <x v="3"/>
    <n v="2.3474999999999999E-2"/>
    <n v="2.3474999999999999E-2"/>
    <n v="9.7812499999999986E-5"/>
    <n v="9.7812499999999986E-5"/>
    <n v="1"/>
    <n v="1.1737499999999999E-3"/>
  </r>
  <r>
    <n v="1169"/>
    <x v="5"/>
    <n v="8.9194444444444451E-3"/>
    <n v="8.9194444444444451E-3"/>
    <n v="3.7164351851851859E-5"/>
    <n v="3.7164351851851859E-5"/>
    <n v="1"/>
    <n v="4.4597222222222228E-4"/>
  </r>
  <r>
    <n v="1169"/>
    <x v="7"/>
    <n v="7.417555555555555E-2"/>
    <n v="7.417555555555555E-2"/>
    <n v="3.090648148148148E-4"/>
    <n v="3.090648148148148E-4"/>
    <n v="1"/>
    <n v="3.7087777777777779E-3"/>
  </r>
  <r>
    <n v="1169"/>
    <x v="10"/>
    <n v="8.2436111111111113E-3"/>
    <n v="8.2436111111111113E-3"/>
    <n v="3.4348379629629629E-5"/>
    <n v="3.4348379629629629E-5"/>
    <n v="1"/>
    <n v="4.1218055555555555E-4"/>
  </r>
  <r>
    <n v="1169"/>
    <x v="11"/>
    <n v="0.37878916666666668"/>
    <n v="0.13905101851833329"/>
    <n v="1.5782881944444444E-3"/>
    <n v="5.7937924382638875E-4"/>
    <n v="1"/>
    <n v="1.8939458333333332E-2"/>
  </r>
  <r>
    <n v="1170"/>
    <x v="0"/>
    <n v="0.2525"/>
    <n v="0.2525"/>
    <n v="1.0520833333333335E-3"/>
    <n v="1.0520833333333335E-3"/>
    <n v="1"/>
    <n v="1.2625000000000001E-2"/>
  </r>
  <r>
    <n v="1170"/>
    <x v="1"/>
    <n v="0.50472499999999998"/>
    <n v="0.50472499999999998"/>
    <n v="2.103020833333333E-3"/>
    <n v="2.103020833333333E-3"/>
    <n v="1"/>
    <n v="2.5236249999999995E-2"/>
  </r>
  <r>
    <n v="1171"/>
    <x v="0"/>
    <n v="9.0555555555555556E-2"/>
    <n v="5.8888888888888886E-2"/>
    <n v="3.7731481481481486E-4"/>
    <n v="2.4537037037037035E-4"/>
    <n v="1"/>
    <n v="4.5277777777777781E-3"/>
  </r>
  <r>
    <n v="1171"/>
    <x v="3"/>
    <n v="0.10538166666666671"/>
    <n v="0.10538166666666671"/>
    <n v="4.3909027777777799E-4"/>
    <n v="4.3909027777777799E-4"/>
    <n v="1"/>
    <n v="5.2690833333333357E-3"/>
  </r>
  <r>
    <n v="1171"/>
    <x v="4"/>
    <n v="0.32221722222222221"/>
    <n v="0.16353736111111111"/>
    <n v="1.3425717592592593E-3"/>
    <n v="6.8140567129629627E-4"/>
    <n v="1"/>
    <n v="1.6110861111111111E-2"/>
  </r>
  <r>
    <n v="1171"/>
    <x v="8"/>
    <n v="5.2555555555555558E-3"/>
    <n v="5.2555555555555558E-3"/>
    <n v="2.189814814814815E-5"/>
    <n v="2.189814814814815E-5"/>
    <n v="1"/>
    <n v="2.6277777777777779E-4"/>
  </r>
  <r>
    <n v="1171"/>
    <x v="9"/>
    <n v="1.9375833333333332E-2"/>
    <n v="1.9375833333333332E-2"/>
    <n v="8.0732638888888881E-5"/>
    <n v="8.0732638888888881E-5"/>
    <n v="1"/>
    <n v="9.6879166666666663E-4"/>
  </r>
  <r>
    <n v="1172"/>
    <x v="0"/>
    <n v="0.19416666666666668"/>
    <n v="0.1186111111111111"/>
    <n v="8.0902777777777787E-4"/>
    <n v="4.942129629629629E-4"/>
    <n v="1"/>
    <n v="9.7083333333333344E-3"/>
  </r>
  <r>
    <n v="1172"/>
    <x v="8"/>
    <n v="0.3883213888888889"/>
    <n v="0.23715194444444451"/>
    <n v="1.6180057870370369E-3"/>
    <n v="9.8813310185185224E-4"/>
    <n v="1"/>
    <n v="1.9416069444444444E-2"/>
  </r>
  <r>
    <n v="1173"/>
    <x v="0"/>
    <n v="9.6111111111111105E-2"/>
    <n v="6.5555555555555547E-2"/>
    <n v="4.0046296296296293E-4"/>
    <n v="2.7314814814814812E-4"/>
    <n v="1"/>
    <n v="4.8055555555555551E-3"/>
  </r>
  <r>
    <n v="1173"/>
    <x v="7"/>
    <n v="0.2438663888888889"/>
    <n v="0.1497679166666667"/>
    <n v="1.0161099537037037E-3"/>
    <n v="6.2403298611111123E-4"/>
    <n v="1"/>
    <n v="1.2193319444444444E-2"/>
  </r>
  <r>
    <n v="1173"/>
    <x v="8"/>
    <n v="3.2676666666666673E-2"/>
    <n v="3.2676666666666673E-2"/>
    <n v="1.3615277777777782E-4"/>
    <n v="1.3615277777777782E-4"/>
    <n v="1"/>
    <n v="1.6338333333333339E-3"/>
  </r>
  <r>
    <n v="1173"/>
    <x v="11"/>
    <n v="0.1069258333333333"/>
    <n v="7.8895000000000007E-2"/>
    <n v="4.455243055555554E-4"/>
    <n v="3.2872916666666668E-4"/>
    <n v="1"/>
    <n v="5.346291666666665E-3"/>
  </r>
  <r>
    <n v="1174"/>
    <x v="0"/>
    <n v="0.16861111111111113"/>
    <n v="0.10277777777777779"/>
    <n v="7.0254629629629627E-4"/>
    <n v="4.2824074074074075E-4"/>
    <n v="1"/>
    <n v="8.4305555555555557E-3"/>
  </r>
  <r>
    <n v="1174"/>
    <x v="10"/>
    <n v="0.33721861111111112"/>
    <n v="0.2050922222222222"/>
    <n v="1.4050775462962964E-3"/>
    <n v="8.5455092592592581E-4"/>
    <n v="1"/>
    <n v="1.6860930555555556E-2"/>
  </r>
  <r>
    <n v="1175"/>
    <x v="0"/>
    <n v="2.5555555555555557E-2"/>
    <n v="1.3055555555555555E-2"/>
    <n v="1.0648148148148149E-4"/>
    <n v="5.4398148148148144E-5"/>
    <n v="1"/>
    <n v="1.2777777777777779E-3"/>
  </r>
  <r>
    <n v="1175"/>
    <x v="1"/>
    <n v="2.3507222222222221E-2"/>
    <n v="1.5836982323055551E-2"/>
    <n v="9.7946759259259252E-5"/>
    <n v="6.5987426346064793E-5"/>
    <n v="1"/>
    <n v="1.175361111111111E-3"/>
  </r>
  <r>
    <n v="1175"/>
    <x v="2"/>
    <n v="5.0434166666666669E-2"/>
    <n v="1.7587152777777781E-2"/>
    <n v="2.1014236111111111E-4"/>
    <n v="7.3279803240740754E-5"/>
    <n v="1"/>
    <n v="2.5217083333333333E-3"/>
  </r>
  <r>
    <n v="1175"/>
    <x v="3"/>
    <n v="1.788611111111111E-2"/>
    <n v="1.453170634916667E-2"/>
    <n v="7.4525462962962965E-5"/>
    <n v="6.0548776454861124E-5"/>
    <n v="1"/>
    <n v="8.9430555555555552E-4"/>
  </r>
  <r>
    <n v="1175"/>
    <x v="4"/>
    <n v="2.1023333333333331E-2"/>
    <n v="1.468130555555556E-2"/>
    <n v="8.7597222222222213E-5"/>
    <n v="6.1172106481481499E-5"/>
    <n v="1"/>
    <n v="1.0511666666666666E-3"/>
  </r>
  <r>
    <n v="1175"/>
    <x v="5"/>
    <n v="1.6111111111111111E-2"/>
    <n v="1.339229532138889E-2"/>
    <n v="6.712962962962963E-5"/>
    <n v="5.5801230505787035E-5"/>
    <n v="1"/>
    <n v="8.0555555555555556E-4"/>
  </r>
  <r>
    <n v="1175"/>
    <x v="6"/>
    <n v="2.0659166666666669E-2"/>
    <n v="1.285339947083333E-2"/>
    <n v="8.6079861111111114E-5"/>
    <n v="5.3555831128472216E-5"/>
    <n v="1"/>
    <n v="1.0329583333333334E-3"/>
  </r>
  <r>
    <n v="1175"/>
    <x v="7"/>
    <n v="1.345472222222222E-2"/>
    <n v="1.161100241527778E-2"/>
    <n v="5.6061342592592584E-5"/>
    <n v="4.8379176730324086E-5"/>
    <n v="1"/>
    <n v="6.7273611111111104E-4"/>
  </r>
  <r>
    <n v="1175"/>
    <x v="8"/>
    <n v="1.4548055555555561E-2"/>
    <n v="1.312056944444445E-2"/>
    <n v="6.0616898148148163E-5"/>
    <n v="5.4669039351851877E-5"/>
    <n v="1"/>
    <n v="7.2740277777777799E-4"/>
  </r>
  <r>
    <n v="1175"/>
    <x v="9"/>
    <n v="1.8461111111111109E-2"/>
    <n v="1.2646489898888891E-2"/>
    <n v="7.6921296296296286E-5"/>
    <n v="5.2693707912037047E-5"/>
    <n v="1"/>
    <n v="9.2305555555555543E-4"/>
  </r>
  <r>
    <n v="1175"/>
    <x v="10"/>
    <n v="1.509722222222222E-2"/>
    <n v="1.264303030277778E-2"/>
    <n v="6.2905092592592578E-5"/>
    <n v="5.2679292928240747E-5"/>
    <n v="1"/>
    <n v="7.5486111111111088E-4"/>
  </r>
  <r>
    <n v="1175"/>
    <x v="11"/>
    <n v="9.4193611111111117E-2"/>
    <n v="1.563219576694444E-2"/>
    <n v="3.9247337962962961E-4"/>
    <n v="6.5134149028935165E-5"/>
    <n v="1"/>
    <n v="4.7096805555555555E-3"/>
  </r>
  <r>
    <n v="1176"/>
    <x v="0"/>
    <n v="6.805555555555555E-2"/>
    <n v="6.805555555555555E-2"/>
    <n v="2.8356481481481478E-4"/>
    <n v="2.8356481481481478E-4"/>
    <n v="1"/>
    <n v="3.4027777777777771E-3"/>
  </r>
  <r>
    <n v="1176"/>
    <x v="2"/>
    <n v="0.15415361111111109"/>
    <n v="0.15415361111111109"/>
    <n v="6.423067129629629E-4"/>
    <n v="6.423067129629629E-4"/>
    <n v="1"/>
    <n v="7.7076805555555544E-3"/>
  </r>
  <r>
    <n v="1176"/>
    <x v="6"/>
    <n v="0.05"/>
    <n v="0.05"/>
    <n v="2.0833333333333335E-4"/>
    <n v="2.0833333333333335E-4"/>
    <n v="1"/>
    <n v="2.5000000000000001E-3"/>
  </r>
  <r>
    <n v="1177"/>
    <x v="0"/>
    <n v="5.2222222222222218E-2"/>
    <n v="5.2222222222222218E-2"/>
    <n v="2.1759259259259258E-4"/>
    <n v="2.1759259259259258E-4"/>
    <n v="1"/>
    <n v="2.6111111111111109E-3"/>
  </r>
  <r>
    <n v="1177"/>
    <x v="5"/>
    <n v="0.15664805555555561"/>
    <n v="0.15664805555555561"/>
    <n v="6.5270023148148164E-4"/>
    <n v="6.5270023148148164E-4"/>
    <n v="1"/>
    <n v="7.8324027777777801E-3"/>
  </r>
  <r>
    <n v="1177"/>
    <x v="7"/>
    <n v="0"/>
    <n v="0"/>
    <n v="0"/>
    <n v="0"/>
    <n v="0"/>
    <n v="0"/>
  </r>
  <r>
    <n v="1178"/>
    <x v="0"/>
    <n v="7.4999999999999997E-2"/>
    <n v="7.4999999999999997E-2"/>
    <n v="3.1250000000000001E-4"/>
    <n v="3.1250000000000001E-4"/>
    <n v="1"/>
    <n v="3.7499999999999999E-3"/>
  </r>
  <r>
    <n v="1178"/>
    <x v="7"/>
    <n v="0.15"/>
    <n v="0.15"/>
    <n v="6.2500000000000001E-4"/>
    <n v="6.2500000000000001E-4"/>
    <n v="1"/>
    <n v="7.4999999999999997E-3"/>
  </r>
  <r>
    <n v="1179"/>
    <x v="0"/>
    <n v="2.4166666666666666E-2"/>
    <n v="2.3055555555555555E-2"/>
    <n v="1.0069444444444445E-4"/>
    <n v="9.6064814814814816E-5"/>
    <n v="1"/>
    <n v="1.2083333333333334E-3"/>
  </r>
  <r>
    <n v="1179"/>
    <x v="3"/>
    <n v="3.5740833333333333E-2"/>
    <n v="3.5740833333333333E-2"/>
    <n v="1.4892013888888889E-4"/>
    <n v="1.4892013888888889E-4"/>
    <n v="1"/>
    <n v="1.7870416666666668E-3"/>
  </r>
  <r>
    <n v="1179"/>
    <x v="6"/>
    <n v="1.881194444444444E-2"/>
    <n v="1.881194444444444E-2"/>
    <n v="7.8383101851851834E-5"/>
    <n v="7.8383101851851834E-5"/>
    <n v="1"/>
    <n v="9.4059722222222201E-4"/>
  </r>
  <r>
    <n v="1179"/>
    <x v="10"/>
    <n v="4.0777500000000001E-2"/>
    <n v="3.5270277777777782E-2"/>
    <n v="1.6990625E-4"/>
    <n v="1.4695949074074077E-4"/>
    <n v="1"/>
    <n v="2.0388749999999999E-3"/>
  </r>
  <r>
    <n v="1179"/>
    <x v="11"/>
    <n v="2.4516666666666669E-2"/>
    <n v="2.4516666666666669E-2"/>
    <n v="1.0215277777777779E-4"/>
    <n v="1.0215277777777779E-4"/>
    <n v="1"/>
    <n v="1.2258333333333335E-3"/>
  </r>
  <r>
    <n v="1180"/>
    <x v="0"/>
    <n v="3.5277777777777776E-2"/>
    <n v="3.5277777777777776E-2"/>
    <n v="1.4699074074074075E-4"/>
    <n v="1.4699074074074075E-4"/>
    <n v="1"/>
    <n v="1.7638888888888891E-3"/>
  </r>
  <r>
    <n v="1180"/>
    <x v="2"/>
    <n v="3.3333333333333333E-2"/>
    <n v="3.3333333333333333E-2"/>
    <n v="1.3888888888888889E-4"/>
    <n v="1.3888888888888889E-4"/>
    <n v="1"/>
    <n v="1.6666666666666666E-3"/>
  </r>
  <r>
    <n v="1180"/>
    <x v="11"/>
    <n v="7.2498055555555552E-2"/>
    <n v="7.2498055555555552E-2"/>
    <n v="3.0207523148148145E-4"/>
    <n v="3.0207523148148145E-4"/>
    <n v="1"/>
    <n v="3.6249027777777772E-3"/>
  </r>
  <r>
    <n v="1181"/>
    <x v="0"/>
    <n v="2.6388888888888889E-2"/>
    <n v="2.1666666666666667E-2"/>
    <n v="1.099537037037037E-4"/>
    <n v="9.0277777777777774E-5"/>
    <n v="1"/>
    <n v="1.3194444444444445E-3"/>
  </r>
  <r>
    <n v="1181"/>
    <x v="4"/>
    <n v="1.5508333333333331E-2"/>
    <n v="1.478E-2"/>
    <n v="6.4618055555555541E-5"/>
    <n v="6.158333333333333E-5"/>
    <n v="1"/>
    <n v="7.7541666666666644E-4"/>
  </r>
  <r>
    <n v="1181"/>
    <x v="8"/>
    <n v="5.9221388888888893E-2"/>
    <n v="4.0824583333333331E-2"/>
    <n v="2.4675578703703703E-4"/>
    <n v="1.7010243055555553E-4"/>
    <n v="1"/>
    <n v="2.9610694444444441E-3"/>
  </r>
  <r>
    <n v="1181"/>
    <x v="10"/>
    <n v="3.030194444444444E-2"/>
    <n v="3.030194444444444E-2"/>
    <n v="1.2625810185185182E-4"/>
    <n v="1.2625810185185182E-4"/>
    <n v="1"/>
    <n v="1.5150972222222219E-3"/>
  </r>
  <r>
    <n v="1182"/>
    <x v="0"/>
    <n v="3.3333333333333333E-2"/>
    <n v="3.3333333333333333E-2"/>
    <n v="1.3888888888888889E-4"/>
    <n v="1.3888888888888889E-4"/>
    <n v="1"/>
    <n v="1.6666666666666666E-3"/>
  </r>
  <r>
    <n v="1182"/>
    <x v="3"/>
    <n v="6.6666666666666666E-2"/>
    <n v="6.6666666666666666E-2"/>
    <n v="2.7777777777777778E-4"/>
    <n v="2.7777777777777778E-4"/>
    <n v="1"/>
    <n v="3.3333333333333331E-3"/>
  </r>
  <r>
    <n v="1183"/>
    <x v="0"/>
    <n v="2.8055555555555556E-2"/>
    <n v="2.8055555555555556E-2"/>
    <n v="1.1689814814814815E-4"/>
    <n v="1.1689814814814815E-4"/>
    <n v="1"/>
    <n v="1.4027777777777777E-3"/>
  </r>
  <r>
    <n v="1183"/>
    <x v="10"/>
    <n v="5.6081388888888889E-2"/>
    <n v="5.6081388888888889E-2"/>
    <n v="2.3367245370370371E-4"/>
    <n v="2.3367245370370371E-4"/>
    <n v="1"/>
    <n v="2.8040694444444445E-3"/>
  </r>
  <r>
    <n v="1184"/>
    <x v="0"/>
    <n v="1.8611111111111113E-2"/>
    <n v="1.8611111111111113E-2"/>
    <n v="7.7546296296296301E-5"/>
    <n v="7.7546296296296301E-5"/>
    <n v="1"/>
    <n v="9.3055555555555556E-4"/>
  </r>
  <r>
    <n v="1184"/>
    <x v="6"/>
    <n v="3.8904722222222222E-2"/>
    <n v="3.8904722222222222E-2"/>
    <n v="1.6210300925925927E-4"/>
    <n v="1.6210300925925927E-4"/>
    <n v="1"/>
    <n v="1.9452361111111111E-3"/>
  </r>
  <r>
    <n v="1184"/>
    <x v="7"/>
    <n v="1.666666666666667E-2"/>
    <n v="1.666666666666667E-2"/>
    <n v="6.9444444444444458E-5"/>
    <n v="6.9444444444444458E-5"/>
    <n v="1"/>
    <n v="8.333333333333335E-4"/>
  </r>
  <r>
    <n v="1185"/>
    <x v="0"/>
    <n v="5.8333333333333327E-3"/>
    <n v="4.4444444444444444E-3"/>
    <n v="2.4305555555555554E-5"/>
    <n v="1.8518518518518518E-5"/>
    <n v="1"/>
    <n v="2.9166666666666664E-4"/>
  </r>
  <r>
    <n v="1185"/>
    <x v="1"/>
    <n v="8.1472222222222221E-4"/>
    <n v="8.1472222222222221E-4"/>
    <n v="3.3946759259259261E-6"/>
    <n v="3.3946759259259261E-6"/>
    <n v="1"/>
    <n v="4.0736111111111113E-5"/>
  </r>
  <r>
    <n v="1185"/>
    <x v="2"/>
    <n v="0"/>
    <n v="0"/>
    <n v="0"/>
    <n v="0"/>
    <n v="0"/>
    <n v="0"/>
  </r>
  <r>
    <n v="1185"/>
    <x v="5"/>
    <n v="1.666666666666667E-2"/>
    <n v="8.3333333333333332E-3"/>
    <n v="6.9444444444444458E-5"/>
    <n v="3.4722222222222222E-5"/>
    <n v="1"/>
    <n v="8.333333333333335E-4"/>
  </r>
  <r>
    <n v="1185"/>
    <x v="7"/>
    <n v="0"/>
    <n v="0"/>
    <n v="0"/>
    <n v="0"/>
    <n v="0"/>
    <n v="0"/>
  </r>
  <r>
    <n v="1185"/>
    <x v="11"/>
    <n v="1.666666666666667E-2"/>
    <n v="1.666666666666667E-2"/>
    <n v="6.9444444444444458E-5"/>
    <n v="6.9444444444444458E-5"/>
    <n v="1"/>
    <n v="8.333333333333335E-4"/>
  </r>
  <r>
    <n v="1186"/>
    <x v="0"/>
    <n v="1.111111111111111E-2"/>
    <n v="8.3333333333333332E-3"/>
    <n v="4.6296296296296287E-5"/>
    <n v="3.4722222222222222E-5"/>
    <n v="1"/>
    <n v="5.5555555555555545E-4"/>
  </r>
  <r>
    <n v="1186"/>
    <x v="7"/>
    <n v="1.666666666666667E-2"/>
    <n v="8.3333333333333332E-3"/>
    <n v="6.9444444444444458E-5"/>
    <n v="3.4722222222222222E-5"/>
    <n v="1"/>
    <n v="8.333333333333335E-4"/>
  </r>
  <r>
    <n v="1186"/>
    <x v="9"/>
    <n v="1.666666666666667E-2"/>
    <n v="1.666666666666667E-2"/>
    <n v="6.9444444444444458E-5"/>
    <n v="6.9444444444444458E-5"/>
    <n v="1"/>
    <n v="8.333333333333335E-4"/>
  </r>
  <r>
    <n v="1187"/>
    <x v="0"/>
    <n v="1.6666666666666666E-2"/>
    <n v="1.6666666666666666E-2"/>
    <n v="6.9444444444444444E-5"/>
    <n v="6.9444444444444444E-5"/>
    <n v="1"/>
    <n v="8.3333333333333328E-4"/>
  </r>
  <r>
    <n v="1187"/>
    <x v="1"/>
    <n v="3.3333333333333333E-2"/>
    <n v="3.3333333333333333E-2"/>
    <n v="1.3888888888888889E-4"/>
    <n v="1.3888888888888889E-4"/>
    <n v="1"/>
    <n v="1.6666666666666666E-3"/>
  </r>
  <r>
    <n v="1188"/>
    <x v="0"/>
    <n v="5.8333333333333327E-3"/>
    <n v="5.8333333333333327E-3"/>
    <n v="2.4305555555555554E-5"/>
    <n v="2.4305555555555554E-5"/>
    <n v="1"/>
    <n v="2.9166666666666664E-4"/>
  </r>
  <r>
    <n v="1188"/>
    <x v="1"/>
    <n v="6.3277777777777777E-3"/>
    <n v="6.3277777777777777E-3"/>
    <n v="2.6365740740740741E-5"/>
    <n v="2.6365740740740741E-5"/>
    <n v="1"/>
    <n v="3.1638888888888889E-4"/>
  </r>
  <r>
    <n v="1188"/>
    <x v="3"/>
    <n v="1.104083333333333E-2"/>
    <n v="1.104083333333333E-2"/>
    <n v="4.6003472222222208E-5"/>
    <n v="4.6003472222222208E-5"/>
    <n v="1"/>
    <n v="5.520416666666665E-4"/>
  </r>
  <r>
    <n v="1189"/>
    <x v="0"/>
    <n v="8.3333333333333332E-3"/>
    <n v="8.3333333333333332E-3"/>
    <n v="3.4722222222222222E-5"/>
    <n v="3.4722222222222222E-5"/>
    <n v="1"/>
    <n v="4.1666666666666664E-4"/>
  </r>
  <r>
    <n v="1189"/>
    <x v="9"/>
    <n v="1.666666666666667E-2"/>
    <n v="1.666666666666667E-2"/>
    <n v="6.9444444444444458E-5"/>
    <n v="6.9444444444444458E-5"/>
    <n v="1"/>
    <n v="8.333333333333335E-4"/>
  </r>
  <r>
    <m/>
    <x v="12"/>
    <m/>
    <m/>
    <m/>
    <m/>
    <m/>
    <m/>
  </r>
  <r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94D54-4A62-4BBE-B781-DAFB7F8B65C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7">
  <location ref="A3:C162" firstHeaderRow="0" firstDataRow="1" firstDataCol="1"/>
  <pivotFields count="6">
    <pivotField axis="axisRow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 t="grand">
      <x/>
    </i>
  </rowItems>
  <colFields count="1">
    <field x="-2"/>
  </colFields>
  <colItems count="2">
    <i>
      <x/>
    </i>
    <i i="1">
      <x v="1"/>
    </i>
  </colItems>
  <dataFields count="2">
    <dataField name="Maximale Auslastung" fld="4" baseField="0" baseItem="0"/>
    <dataField name="Tagesdurchschnittliche Auslastung" fld="5" baseField="0" baseItem="0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">
      <pivotArea dataOnly="0" labelOnly="1" fieldPosition="0">
        <references count="1">
          <reference field="0" count="8"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0691C-ABD3-4434-894A-CB0238CF1DE5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8">
  <location ref="A3:C194" firstHeaderRow="0" firstDataRow="1" firstDataCol="1"/>
  <pivotFields count="9">
    <pivotField axis="axisRow" showAll="0">
      <items count="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showAll="0"/>
    <pivotField showAll="0"/>
    <pivotField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 t="grand">
      <x/>
    </i>
  </rowItems>
  <colFields count="1">
    <field x="-2"/>
  </colFields>
  <colItems count="2">
    <i>
      <x/>
    </i>
    <i i="1">
      <x v="1"/>
    </i>
  </colItems>
  <dataFields count="2">
    <dataField name="Maximale tägliche Auslastung" fld="4" baseField="0" baseItem="0"/>
    <dataField name="Durchschnittliche tägliche Auslastung" fld="5" baseField="0" baseItem="3"/>
  </dataFields>
  <chartFormats count="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4C34F-4AF1-4C7F-B4C9-B8F2748CDE0D}" name="PivotTable4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9">
  <location ref="A3:C16" firstHeaderRow="0" firstDataRow="1" firstDataCol="1"/>
  <pivotFields count="8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Je ein Prozess je Prozessgruppe" fld="6" baseField="0" baseItem="0"/>
    <dataField name="Alle Prozesse in einer Prozessgruppe" fld="7" baseField="0" baseItem="0" numFmtId="1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E008-4690-4207-AC5A-62C94D52FA6E}">
  <dimension ref="A3:C162"/>
  <sheetViews>
    <sheetView workbookViewId="0">
      <selection activeCell="C3" sqref="C3"/>
    </sheetView>
  </sheetViews>
  <sheetFormatPr baseColWidth="10" defaultRowHeight="15" x14ac:dyDescent="0.25"/>
  <cols>
    <col min="1" max="1" width="22.42578125" style="6" bestFit="1" customWidth="1"/>
    <col min="2" max="2" width="30.7109375" style="6" bestFit="1" customWidth="1"/>
    <col min="3" max="3" width="32.140625" style="6" bestFit="1" customWidth="1"/>
    <col min="4" max="158" width="23.7109375" style="6" bestFit="1" customWidth="1"/>
    <col min="159" max="159" width="15.5703125" style="6" bestFit="1" customWidth="1"/>
    <col min="160" max="16384" width="11.42578125" style="6"/>
  </cols>
  <sheetData>
    <row r="3" spans="1:3" x14ac:dyDescent="0.25">
      <c r="A3" s="5" t="s">
        <v>24</v>
      </c>
      <c r="B3" s="6" t="s">
        <v>25</v>
      </c>
      <c r="C3" s="6" t="s">
        <v>26</v>
      </c>
    </row>
    <row r="4" spans="1:3" x14ac:dyDescent="0.25">
      <c r="A4" s="7">
        <v>1000</v>
      </c>
      <c r="B4" s="6">
        <v>8.5400416666666654</v>
      </c>
      <c r="C4" s="6">
        <v>7.7855000000000008</v>
      </c>
    </row>
    <row r="5" spans="1:3" x14ac:dyDescent="0.25">
      <c r="A5" s="7">
        <v>1001</v>
      </c>
      <c r="B5" s="6">
        <v>8.3366805555555565</v>
      </c>
      <c r="C5" s="6">
        <v>1.4501805555555556</v>
      </c>
    </row>
    <row r="6" spans="1:3" x14ac:dyDescent="0.25">
      <c r="A6" s="7">
        <v>1002</v>
      </c>
      <c r="B6" s="6">
        <v>7.9344861111111111</v>
      </c>
      <c r="C6" s="6">
        <v>4.7419999999999991</v>
      </c>
    </row>
    <row r="7" spans="1:3" x14ac:dyDescent="0.25">
      <c r="A7" s="7">
        <v>1003</v>
      </c>
      <c r="B7" s="6">
        <v>7.8477083333333342</v>
      </c>
      <c r="C7" s="6">
        <v>5.1503611111111116</v>
      </c>
    </row>
    <row r="8" spans="1:3" x14ac:dyDescent="0.25">
      <c r="A8" s="7">
        <v>1004</v>
      </c>
      <c r="B8" s="6">
        <v>5.9065972222222225</v>
      </c>
      <c r="C8" s="6">
        <v>3.020888888888889</v>
      </c>
    </row>
    <row r="9" spans="1:3" x14ac:dyDescent="0.25">
      <c r="A9" s="7">
        <v>1005</v>
      </c>
      <c r="B9" s="6">
        <v>5.2690138888888889</v>
      </c>
      <c r="C9" s="6">
        <v>2.224652777777778</v>
      </c>
    </row>
    <row r="10" spans="1:3" x14ac:dyDescent="0.25">
      <c r="A10" s="7">
        <v>1006</v>
      </c>
      <c r="B10" s="6">
        <v>4.5950694444444444</v>
      </c>
      <c r="C10" s="6">
        <v>4.4794861111111111</v>
      </c>
    </row>
    <row r="11" spans="1:3" x14ac:dyDescent="0.25">
      <c r="A11" s="7">
        <v>1007</v>
      </c>
      <c r="B11" s="6">
        <v>4.2809583333333325</v>
      </c>
      <c r="C11" s="6">
        <v>1.6032222222222221</v>
      </c>
    </row>
    <row r="12" spans="1:3" x14ac:dyDescent="0.25">
      <c r="A12" s="7">
        <v>1008</v>
      </c>
      <c r="B12" s="6">
        <v>3.8992361111111107</v>
      </c>
      <c r="C12" s="6">
        <v>2.7282361111111113</v>
      </c>
    </row>
    <row r="13" spans="1:3" x14ac:dyDescent="0.25">
      <c r="A13" s="7">
        <v>1009</v>
      </c>
      <c r="B13" s="6">
        <v>3.8410972222222219</v>
      </c>
      <c r="C13" s="6">
        <v>2.5331805555555555</v>
      </c>
    </row>
    <row r="14" spans="1:3" x14ac:dyDescent="0.25">
      <c r="A14" s="7">
        <v>1010</v>
      </c>
      <c r="B14" s="6">
        <v>3.737430555555556</v>
      </c>
      <c r="C14" s="6">
        <v>3.59</v>
      </c>
    </row>
    <row r="15" spans="1:3" x14ac:dyDescent="0.25">
      <c r="A15" s="7">
        <v>1011</v>
      </c>
      <c r="B15" s="6">
        <v>3.6971944444444444</v>
      </c>
      <c r="C15" s="6">
        <v>3.6817361111111113</v>
      </c>
    </row>
    <row r="16" spans="1:3" x14ac:dyDescent="0.25">
      <c r="A16" s="7">
        <v>1012</v>
      </c>
      <c r="B16" s="6">
        <v>3.6065138888888888</v>
      </c>
      <c r="C16" s="6">
        <v>3.4695555555555551</v>
      </c>
    </row>
    <row r="17" spans="1:3" x14ac:dyDescent="0.25">
      <c r="A17" s="7">
        <v>1013</v>
      </c>
      <c r="B17" s="6">
        <v>3.5962361111111116</v>
      </c>
      <c r="C17" s="6">
        <v>2.7387361111111108</v>
      </c>
    </row>
    <row r="18" spans="1:3" x14ac:dyDescent="0.25">
      <c r="A18" s="7">
        <v>1014</v>
      </c>
      <c r="B18" s="6">
        <v>3.3860416666666664</v>
      </c>
      <c r="C18" s="6">
        <v>0.90372222222222232</v>
      </c>
    </row>
    <row r="19" spans="1:3" x14ac:dyDescent="0.25">
      <c r="A19" s="7">
        <v>1016</v>
      </c>
      <c r="B19" s="6">
        <v>3.1520694444444439</v>
      </c>
      <c r="C19" s="6">
        <v>2.3531527777777779</v>
      </c>
    </row>
    <row r="20" spans="1:3" x14ac:dyDescent="0.25">
      <c r="A20" s="7">
        <v>1017</v>
      </c>
      <c r="B20" s="6">
        <v>2.9155277777777777</v>
      </c>
      <c r="C20" s="6">
        <v>2.1214583333333334</v>
      </c>
    </row>
    <row r="21" spans="1:3" x14ac:dyDescent="0.25">
      <c r="A21" s="7">
        <v>1018</v>
      </c>
      <c r="B21" s="6">
        <v>2.8094444444444444</v>
      </c>
      <c r="C21" s="6">
        <v>0.16944444444444445</v>
      </c>
    </row>
    <row r="22" spans="1:3" x14ac:dyDescent="0.25">
      <c r="A22" s="7">
        <v>1019</v>
      </c>
      <c r="B22" s="6">
        <v>2.7661944444444444</v>
      </c>
      <c r="C22" s="6">
        <v>2.759125</v>
      </c>
    </row>
    <row r="23" spans="1:3" x14ac:dyDescent="0.25">
      <c r="A23" s="7">
        <v>1020</v>
      </c>
      <c r="B23" s="6">
        <v>2.7116111111111114</v>
      </c>
      <c r="C23" s="6">
        <v>1.766875</v>
      </c>
    </row>
    <row r="24" spans="1:3" x14ac:dyDescent="0.25">
      <c r="A24" s="7">
        <v>1021</v>
      </c>
      <c r="B24" s="6">
        <v>2.6472222222222221</v>
      </c>
      <c r="C24" s="6">
        <v>2.2171805555555557</v>
      </c>
    </row>
    <row r="25" spans="1:3" x14ac:dyDescent="0.25">
      <c r="A25" s="7">
        <v>1022</v>
      </c>
      <c r="B25" s="6">
        <v>2.2884027777777778</v>
      </c>
      <c r="C25" s="6">
        <v>1.054902777777778</v>
      </c>
    </row>
    <row r="26" spans="1:3" x14ac:dyDescent="0.25">
      <c r="A26" s="7">
        <v>1023</v>
      </c>
      <c r="B26" s="6">
        <v>2.1854722222222223</v>
      </c>
      <c r="C26" s="6">
        <v>1.8191527777777776</v>
      </c>
    </row>
    <row r="27" spans="1:3" x14ac:dyDescent="0.25">
      <c r="A27" s="7">
        <v>1024</v>
      </c>
      <c r="B27" s="6">
        <v>2.1459166666666665</v>
      </c>
      <c r="C27" s="6">
        <v>0.56304166666666666</v>
      </c>
    </row>
    <row r="28" spans="1:3" x14ac:dyDescent="0.25">
      <c r="A28" s="7">
        <v>1025</v>
      </c>
      <c r="B28" s="6">
        <v>2.0944583333333333</v>
      </c>
      <c r="C28" s="6">
        <v>2.0859305555555556</v>
      </c>
    </row>
    <row r="29" spans="1:3" x14ac:dyDescent="0.25">
      <c r="A29" s="7">
        <v>1026</v>
      </c>
      <c r="B29" s="6">
        <v>2.0688472222222223</v>
      </c>
      <c r="C29" s="6">
        <v>1.492</v>
      </c>
    </row>
    <row r="30" spans="1:3" x14ac:dyDescent="0.25">
      <c r="A30" s="7">
        <v>1027</v>
      </c>
      <c r="B30" s="6">
        <v>2.0410833333333338</v>
      </c>
      <c r="C30" s="6">
        <v>1.8682916666666665</v>
      </c>
    </row>
    <row r="31" spans="1:3" x14ac:dyDescent="0.25">
      <c r="A31" s="7">
        <v>1028</v>
      </c>
      <c r="B31" s="6">
        <v>2.0126944444444446</v>
      </c>
      <c r="C31" s="6">
        <v>1.9816111111111112</v>
      </c>
    </row>
    <row r="32" spans="1:3" x14ac:dyDescent="0.25">
      <c r="A32" s="7">
        <v>1029</v>
      </c>
      <c r="B32" s="6">
        <v>2.0069444444444446</v>
      </c>
      <c r="C32" s="6">
        <v>1.4335833333333334</v>
      </c>
    </row>
    <row r="33" spans="1:3" x14ac:dyDescent="0.25">
      <c r="A33" s="7">
        <v>1030</v>
      </c>
      <c r="B33" s="6">
        <v>1.9849722222222224</v>
      </c>
      <c r="C33" s="6">
        <v>1.2512361111111112</v>
      </c>
    </row>
    <row r="34" spans="1:3" x14ac:dyDescent="0.25">
      <c r="A34" s="7">
        <v>1031</v>
      </c>
      <c r="B34" s="6">
        <v>1.9624999999999999</v>
      </c>
      <c r="C34" s="6">
        <v>1.9213611111111111</v>
      </c>
    </row>
    <row r="35" spans="1:3" x14ac:dyDescent="0.25">
      <c r="A35" s="7">
        <v>1032</v>
      </c>
      <c r="B35" s="6">
        <v>1.7962083333333332</v>
      </c>
      <c r="C35" s="6">
        <v>1.6528611111111111</v>
      </c>
    </row>
    <row r="36" spans="1:3" x14ac:dyDescent="0.25">
      <c r="A36" s="7">
        <v>1033</v>
      </c>
      <c r="B36" s="6">
        <v>1.7896666666666665</v>
      </c>
      <c r="C36" s="6">
        <v>1.6085555555555555</v>
      </c>
    </row>
    <row r="37" spans="1:3" x14ac:dyDescent="0.25">
      <c r="A37" s="7">
        <v>1034</v>
      </c>
      <c r="B37" s="6">
        <v>1.7681805555555556</v>
      </c>
      <c r="C37" s="6">
        <v>1.6840416666666667</v>
      </c>
    </row>
    <row r="38" spans="1:3" x14ac:dyDescent="0.25">
      <c r="A38" s="7">
        <v>1035</v>
      </c>
      <c r="B38" s="6">
        <v>1.6526666666666667</v>
      </c>
      <c r="C38" s="6">
        <v>0.84293055555555552</v>
      </c>
    </row>
    <row r="39" spans="1:3" x14ac:dyDescent="0.25">
      <c r="A39" s="7">
        <v>1036</v>
      </c>
      <c r="B39" s="6">
        <v>1.5249166666666667</v>
      </c>
      <c r="C39" s="6">
        <v>1.0966388888888889</v>
      </c>
    </row>
    <row r="40" spans="1:3" x14ac:dyDescent="0.25">
      <c r="A40" s="7">
        <v>1037</v>
      </c>
      <c r="B40" s="6">
        <v>1.5176527777777777</v>
      </c>
      <c r="C40" s="6">
        <v>1.4727361111111112</v>
      </c>
    </row>
    <row r="41" spans="1:3" x14ac:dyDescent="0.25">
      <c r="A41" s="7">
        <v>1038</v>
      </c>
      <c r="B41" s="6">
        <v>1.4863055555555555</v>
      </c>
      <c r="C41" s="6">
        <v>0.98744444444444446</v>
      </c>
    </row>
    <row r="42" spans="1:3" x14ac:dyDescent="0.25">
      <c r="A42" s="7">
        <v>1039</v>
      </c>
      <c r="B42" s="6">
        <v>1.4699305555555555</v>
      </c>
      <c r="C42" s="6">
        <v>1.4464861111111111</v>
      </c>
    </row>
    <row r="43" spans="1:3" x14ac:dyDescent="0.25">
      <c r="A43" s="7">
        <v>1040</v>
      </c>
      <c r="B43" s="6">
        <v>1.3954722222222222</v>
      </c>
      <c r="C43" s="6">
        <v>0.59012500000000001</v>
      </c>
    </row>
    <row r="44" spans="1:3" x14ac:dyDescent="0.25">
      <c r="A44" s="7">
        <v>1041</v>
      </c>
      <c r="B44" s="6">
        <v>1.3847222222222224</v>
      </c>
      <c r="C44" s="6">
        <v>0.3629027777777778</v>
      </c>
    </row>
    <row r="45" spans="1:3" x14ac:dyDescent="0.25">
      <c r="A45" s="7">
        <v>1042</v>
      </c>
      <c r="B45" s="6">
        <v>1.3331388888888889</v>
      </c>
      <c r="C45" s="6">
        <v>0.3348888888888889</v>
      </c>
    </row>
    <row r="46" spans="1:3" x14ac:dyDescent="0.25">
      <c r="A46" s="7">
        <v>1043</v>
      </c>
      <c r="B46" s="6">
        <v>1.3052222222222221</v>
      </c>
      <c r="C46" s="6">
        <v>1.2933472222222222</v>
      </c>
    </row>
    <row r="47" spans="1:3" x14ac:dyDescent="0.25">
      <c r="A47" s="7">
        <v>1044</v>
      </c>
      <c r="B47" s="6">
        <v>1.2857361111111112</v>
      </c>
      <c r="C47" s="6">
        <v>1.2600555555555555</v>
      </c>
    </row>
    <row r="48" spans="1:3" x14ac:dyDescent="0.25">
      <c r="A48" s="7">
        <v>1045</v>
      </c>
      <c r="B48" s="6">
        <v>1.2745972222222224</v>
      </c>
      <c r="C48" s="6">
        <v>1.2274166666666668</v>
      </c>
    </row>
    <row r="49" spans="1:3" x14ac:dyDescent="0.25">
      <c r="A49" s="7">
        <v>1046</v>
      </c>
      <c r="B49" s="6">
        <v>1.1703888888888889</v>
      </c>
      <c r="C49" s="6">
        <v>1.1523194444444445</v>
      </c>
    </row>
    <row r="50" spans="1:3" x14ac:dyDescent="0.25">
      <c r="A50" s="7">
        <v>1047</v>
      </c>
      <c r="B50" s="6">
        <v>1.1557500000000001</v>
      </c>
      <c r="C50" s="6">
        <v>1.0016944444444444</v>
      </c>
    </row>
    <row r="51" spans="1:3" x14ac:dyDescent="0.25">
      <c r="A51" s="7">
        <v>1048</v>
      </c>
      <c r="B51" s="6">
        <v>1.1412638888888889</v>
      </c>
      <c r="C51" s="6">
        <v>1.1355555555555557</v>
      </c>
    </row>
    <row r="52" spans="1:3" x14ac:dyDescent="0.25">
      <c r="A52" s="7">
        <v>1049</v>
      </c>
      <c r="B52" s="6">
        <v>1.0199305555555556</v>
      </c>
      <c r="C52" s="6">
        <v>0.85754166666666654</v>
      </c>
    </row>
    <row r="53" spans="1:3" x14ac:dyDescent="0.25">
      <c r="A53" s="7">
        <v>1050</v>
      </c>
      <c r="B53" s="6">
        <v>0.99644444444444447</v>
      </c>
      <c r="C53" s="6">
        <v>0.97448611111111116</v>
      </c>
    </row>
    <row r="54" spans="1:3" x14ac:dyDescent="0.25">
      <c r="A54" s="7">
        <v>1051</v>
      </c>
      <c r="B54" s="6">
        <v>0.93269444444444449</v>
      </c>
      <c r="C54" s="6">
        <v>0.91672222222222222</v>
      </c>
    </row>
    <row r="55" spans="1:3" x14ac:dyDescent="0.25">
      <c r="A55" s="7">
        <v>1052</v>
      </c>
      <c r="B55" s="6">
        <v>0.91736111111111107</v>
      </c>
      <c r="C55" s="6">
        <v>0.16118055555555555</v>
      </c>
    </row>
    <row r="56" spans="1:3" x14ac:dyDescent="0.25">
      <c r="A56" s="7">
        <v>1053</v>
      </c>
      <c r="B56" s="6">
        <v>0.89411111111111108</v>
      </c>
      <c r="C56" s="6">
        <v>0.48145833333333332</v>
      </c>
    </row>
    <row r="57" spans="1:3" x14ac:dyDescent="0.25">
      <c r="A57" s="7">
        <v>1054</v>
      </c>
      <c r="B57" s="6">
        <v>0.8931944444444444</v>
      </c>
      <c r="C57" s="6">
        <v>0.41576388888888893</v>
      </c>
    </row>
    <row r="58" spans="1:3" x14ac:dyDescent="0.25">
      <c r="A58" s="7">
        <v>1055</v>
      </c>
      <c r="B58" s="6">
        <v>0.83443055555555556</v>
      </c>
      <c r="C58" s="6">
        <v>0.48236111111111113</v>
      </c>
    </row>
    <row r="59" spans="1:3" x14ac:dyDescent="0.25">
      <c r="A59" s="7">
        <v>1056</v>
      </c>
      <c r="B59" s="6">
        <v>0.7891111111111111</v>
      </c>
      <c r="C59" s="6">
        <v>0.78061111111111114</v>
      </c>
    </row>
    <row r="60" spans="1:3" x14ac:dyDescent="0.25">
      <c r="A60" s="7">
        <v>1057</v>
      </c>
      <c r="B60" s="6">
        <v>0.73659722222222224</v>
      </c>
      <c r="C60" s="6">
        <v>0.44651388888888893</v>
      </c>
    </row>
    <row r="61" spans="1:3" x14ac:dyDescent="0.25">
      <c r="A61" s="7">
        <v>1058</v>
      </c>
      <c r="B61" s="6">
        <v>0.72481944444444446</v>
      </c>
      <c r="C61" s="6">
        <v>0.29893055555555553</v>
      </c>
    </row>
    <row r="62" spans="1:3" x14ac:dyDescent="0.25">
      <c r="A62" s="7">
        <v>1059</v>
      </c>
      <c r="B62" s="6">
        <v>0.70870833333333338</v>
      </c>
      <c r="C62" s="6">
        <v>0.5239583333333333</v>
      </c>
    </row>
    <row r="63" spans="1:3" x14ac:dyDescent="0.25">
      <c r="A63" s="7">
        <v>1060</v>
      </c>
      <c r="B63" s="6">
        <v>0.70304166666666668</v>
      </c>
      <c r="C63" s="6">
        <v>0.10951388888888888</v>
      </c>
    </row>
    <row r="64" spans="1:3" x14ac:dyDescent="0.25">
      <c r="A64" s="7">
        <v>1061</v>
      </c>
      <c r="B64" s="6">
        <v>0.7013194444444445</v>
      </c>
      <c r="C64" s="6">
        <v>0.68852777777777774</v>
      </c>
    </row>
    <row r="65" spans="1:3" x14ac:dyDescent="0.25">
      <c r="A65" s="7">
        <v>1062</v>
      </c>
      <c r="B65" s="6">
        <v>0.68445833333333339</v>
      </c>
      <c r="C65" s="6">
        <v>0.64181944444444439</v>
      </c>
    </row>
    <row r="66" spans="1:3" x14ac:dyDescent="0.25">
      <c r="A66" s="7">
        <v>1063</v>
      </c>
      <c r="B66" s="6">
        <v>0.68154166666666671</v>
      </c>
      <c r="C66" s="6">
        <v>0.66451388888888885</v>
      </c>
    </row>
    <row r="67" spans="1:3" x14ac:dyDescent="0.25">
      <c r="A67" s="7">
        <v>1064</v>
      </c>
      <c r="B67" s="6">
        <v>0.6716388888888889</v>
      </c>
      <c r="C67" s="6">
        <v>0.66612499999999997</v>
      </c>
    </row>
    <row r="68" spans="1:3" x14ac:dyDescent="0.25">
      <c r="A68" s="7">
        <v>1065</v>
      </c>
      <c r="B68" s="6">
        <v>0.62956944444444451</v>
      </c>
      <c r="C68" s="6">
        <v>0.62158333333333338</v>
      </c>
    </row>
    <row r="69" spans="1:3" x14ac:dyDescent="0.25">
      <c r="A69" s="7">
        <v>1066</v>
      </c>
      <c r="B69" s="6">
        <v>0.62566666666666659</v>
      </c>
      <c r="C69" s="6">
        <v>0.62084722222222222</v>
      </c>
    </row>
    <row r="70" spans="1:3" x14ac:dyDescent="0.25">
      <c r="A70" s="7">
        <v>1067</v>
      </c>
      <c r="B70" s="6">
        <v>0.62488888888888883</v>
      </c>
      <c r="C70" s="6">
        <v>0.57476388888888885</v>
      </c>
    </row>
    <row r="71" spans="1:3" x14ac:dyDescent="0.25">
      <c r="A71" s="7">
        <v>1068</v>
      </c>
      <c r="B71" s="6">
        <v>0.62440277777777775</v>
      </c>
      <c r="C71" s="6">
        <v>0.31663888888888886</v>
      </c>
    </row>
    <row r="72" spans="1:3" x14ac:dyDescent="0.25">
      <c r="A72" s="7">
        <v>1069</v>
      </c>
      <c r="B72" s="6">
        <v>0.6180000000000001</v>
      </c>
      <c r="C72" s="6">
        <v>0.57450000000000001</v>
      </c>
    </row>
    <row r="73" spans="1:3" x14ac:dyDescent="0.25">
      <c r="A73" s="7">
        <v>1070</v>
      </c>
      <c r="B73" s="6">
        <v>0.60797222222222225</v>
      </c>
      <c r="C73" s="6">
        <v>0.17075000000000001</v>
      </c>
    </row>
    <row r="74" spans="1:3" x14ac:dyDescent="0.25">
      <c r="A74" s="7">
        <v>1071</v>
      </c>
      <c r="B74" s="6">
        <v>0.60198611111111111</v>
      </c>
      <c r="C74" s="6">
        <v>0.5919861111111111</v>
      </c>
    </row>
    <row r="75" spans="1:3" x14ac:dyDescent="0.25">
      <c r="A75" s="7">
        <v>1072</v>
      </c>
      <c r="B75" s="6">
        <v>0.60091666666666677</v>
      </c>
      <c r="C75" s="6">
        <v>0.57450000000000001</v>
      </c>
    </row>
    <row r="76" spans="1:3" x14ac:dyDescent="0.25">
      <c r="A76" s="7">
        <v>1073</v>
      </c>
      <c r="B76" s="6">
        <v>0.60068055555555566</v>
      </c>
      <c r="C76" s="6">
        <v>0.19569444444444445</v>
      </c>
    </row>
    <row r="77" spans="1:3" x14ac:dyDescent="0.25">
      <c r="A77" s="7">
        <v>1074</v>
      </c>
      <c r="B77" s="6">
        <v>0.60002777777777783</v>
      </c>
      <c r="C77" s="6">
        <v>0.54165277777777776</v>
      </c>
    </row>
    <row r="78" spans="1:3" x14ac:dyDescent="0.25">
      <c r="A78" s="7">
        <v>1075</v>
      </c>
      <c r="B78" s="6">
        <v>0.59887499999999994</v>
      </c>
      <c r="C78" s="6">
        <v>0.10109722222222221</v>
      </c>
    </row>
    <row r="79" spans="1:3" x14ac:dyDescent="0.25">
      <c r="A79" s="7">
        <v>1076</v>
      </c>
      <c r="B79" s="6">
        <v>0.59856944444444449</v>
      </c>
      <c r="C79" s="6">
        <v>0.58350000000000002</v>
      </c>
    </row>
    <row r="80" spans="1:3" x14ac:dyDescent="0.25">
      <c r="A80" s="7">
        <v>1077</v>
      </c>
      <c r="B80" s="6">
        <v>0.59762499999999996</v>
      </c>
      <c r="C80" s="6">
        <v>0.56658333333333333</v>
      </c>
    </row>
    <row r="81" spans="1:3" x14ac:dyDescent="0.25">
      <c r="A81" s="7">
        <v>1078</v>
      </c>
      <c r="B81" s="6">
        <v>0.59673611111111113</v>
      </c>
      <c r="C81" s="6">
        <v>0.58731944444444451</v>
      </c>
    </row>
    <row r="82" spans="1:3" x14ac:dyDescent="0.25">
      <c r="A82" s="7">
        <v>1079</v>
      </c>
      <c r="B82" s="6">
        <v>0.59641666666666671</v>
      </c>
      <c r="C82" s="6">
        <v>0.57629166666666665</v>
      </c>
    </row>
    <row r="83" spans="1:3" x14ac:dyDescent="0.25">
      <c r="A83" s="7">
        <v>1080</v>
      </c>
      <c r="B83" s="6">
        <v>0.57437500000000008</v>
      </c>
      <c r="C83" s="6">
        <v>0.19193055555555555</v>
      </c>
    </row>
    <row r="84" spans="1:3" x14ac:dyDescent="0.25">
      <c r="A84" s="7">
        <v>1081</v>
      </c>
      <c r="B84" s="6">
        <v>0.55781944444444442</v>
      </c>
      <c r="C84" s="6">
        <v>0.53366666666666673</v>
      </c>
    </row>
    <row r="85" spans="1:3" x14ac:dyDescent="0.25">
      <c r="A85" s="7">
        <v>1082</v>
      </c>
      <c r="B85" s="6">
        <v>0.55554166666666671</v>
      </c>
      <c r="C85" s="6">
        <v>7.694444444444444E-2</v>
      </c>
    </row>
    <row r="86" spans="1:3" x14ac:dyDescent="0.25">
      <c r="A86" s="7">
        <v>1083</v>
      </c>
      <c r="B86" s="6">
        <v>0.54929166666666673</v>
      </c>
      <c r="C86" s="6">
        <v>0.54394444444444445</v>
      </c>
    </row>
    <row r="87" spans="1:3" x14ac:dyDescent="0.25">
      <c r="A87" s="7">
        <v>1084</v>
      </c>
      <c r="B87" s="6">
        <v>0.54738888888888892</v>
      </c>
      <c r="C87" s="6">
        <v>0.52330555555555558</v>
      </c>
    </row>
    <row r="88" spans="1:3" x14ac:dyDescent="0.25">
      <c r="A88" s="7">
        <v>1085</v>
      </c>
      <c r="B88" s="6">
        <v>0.54518055555555556</v>
      </c>
      <c r="C88" s="6">
        <v>0.49752777777777774</v>
      </c>
    </row>
    <row r="89" spans="1:3" x14ac:dyDescent="0.25">
      <c r="A89" s="7">
        <v>1086</v>
      </c>
      <c r="B89" s="6">
        <v>0.5411111111111111</v>
      </c>
      <c r="C89" s="6">
        <v>0.36515277777777777</v>
      </c>
    </row>
    <row r="90" spans="1:3" x14ac:dyDescent="0.25">
      <c r="A90" s="7">
        <v>1087</v>
      </c>
      <c r="B90" s="6">
        <v>0.52712499999999995</v>
      </c>
      <c r="C90" s="6">
        <v>0.3384166666666667</v>
      </c>
    </row>
    <row r="91" spans="1:3" x14ac:dyDescent="0.25">
      <c r="A91" s="7">
        <v>1088</v>
      </c>
      <c r="B91" s="6">
        <v>0.50924999999999998</v>
      </c>
      <c r="C91" s="6">
        <v>0.48426388888888888</v>
      </c>
    </row>
    <row r="92" spans="1:3" x14ac:dyDescent="0.25">
      <c r="A92" s="7">
        <v>1089</v>
      </c>
      <c r="B92" s="6">
        <v>0.50223611111111111</v>
      </c>
      <c r="C92" s="6">
        <v>0.49301388888888892</v>
      </c>
    </row>
    <row r="93" spans="1:3" x14ac:dyDescent="0.25">
      <c r="A93" s="7">
        <v>1090</v>
      </c>
      <c r="B93" s="6">
        <v>0.49818055555555557</v>
      </c>
      <c r="C93" s="6">
        <v>0.4919722222222222</v>
      </c>
    </row>
    <row r="94" spans="1:3" x14ac:dyDescent="0.25">
      <c r="A94" s="7">
        <v>1091</v>
      </c>
      <c r="B94" s="6">
        <v>0.4916666666666667</v>
      </c>
      <c r="C94" s="6">
        <v>0.18566666666666667</v>
      </c>
    </row>
    <row r="95" spans="1:3" x14ac:dyDescent="0.25">
      <c r="A95" s="7">
        <v>1092</v>
      </c>
      <c r="B95" s="6">
        <v>0.48108333333333331</v>
      </c>
      <c r="C95" s="6">
        <v>0.34822222222222221</v>
      </c>
    </row>
    <row r="96" spans="1:3" x14ac:dyDescent="0.25">
      <c r="A96" s="7">
        <v>1093</v>
      </c>
      <c r="B96" s="6">
        <v>0.46409722222222216</v>
      </c>
      <c r="C96" s="6">
        <v>0.1476527777777778</v>
      </c>
    </row>
    <row r="97" spans="1:3" x14ac:dyDescent="0.25">
      <c r="A97" s="7">
        <v>1094</v>
      </c>
      <c r="B97" s="6">
        <v>0.44781944444444444</v>
      </c>
      <c r="C97" s="6">
        <v>0.43740277777777781</v>
      </c>
    </row>
    <row r="98" spans="1:3" x14ac:dyDescent="0.25">
      <c r="A98" s="7">
        <v>1095</v>
      </c>
      <c r="B98" s="6">
        <v>0.41718055555555555</v>
      </c>
      <c r="C98" s="6">
        <v>0.16372222222222221</v>
      </c>
    </row>
    <row r="99" spans="1:3" x14ac:dyDescent="0.25">
      <c r="A99" s="7">
        <v>1096</v>
      </c>
      <c r="B99" s="6">
        <v>0.39861111111111114</v>
      </c>
      <c r="C99" s="6">
        <v>0.39313888888888887</v>
      </c>
    </row>
    <row r="100" spans="1:3" x14ac:dyDescent="0.25">
      <c r="A100" s="7">
        <v>1098</v>
      </c>
      <c r="B100" s="6">
        <v>0.3959583333333333</v>
      </c>
      <c r="C100" s="6">
        <v>0.22620833333333334</v>
      </c>
    </row>
    <row r="101" spans="1:3" x14ac:dyDescent="0.25">
      <c r="A101" s="7">
        <v>1099</v>
      </c>
      <c r="B101" s="6">
        <v>0.38487500000000002</v>
      </c>
      <c r="C101" s="6">
        <v>0.12327777777777778</v>
      </c>
    </row>
    <row r="102" spans="1:3" x14ac:dyDescent="0.25">
      <c r="A102" s="7">
        <v>1100</v>
      </c>
      <c r="B102" s="6">
        <v>0.38330555555555551</v>
      </c>
      <c r="C102" s="6">
        <v>0.1331111111111111</v>
      </c>
    </row>
    <row r="103" spans="1:3" x14ac:dyDescent="0.25">
      <c r="A103" s="7">
        <v>1101</v>
      </c>
      <c r="B103" s="6">
        <v>0.37969444444444445</v>
      </c>
      <c r="C103" s="6">
        <v>0.18872222222222221</v>
      </c>
    </row>
    <row r="104" spans="1:3" x14ac:dyDescent="0.25">
      <c r="A104" s="7">
        <v>1102</v>
      </c>
      <c r="B104" s="6">
        <v>0.37355555555555553</v>
      </c>
      <c r="C104" s="6">
        <v>0.10322222222222222</v>
      </c>
    </row>
    <row r="105" spans="1:3" x14ac:dyDescent="0.25">
      <c r="A105" s="7">
        <v>1103</v>
      </c>
      <c r="B105" s="6">
        <v>0.33340277777777777</v>
      </c>
      <c r="C105" s="6">
        <v>0.27294444444444449</v>
      </c>
    </row>
    <row r="106" spans="1:3" x14ac:dyDescent="0.25">
      <c r="A106" s="7">
        <v>1104</v>
      </c>
      <c r="B106" s="6">
        <v>0.30962499999999998</v>
      </c>
      <c r="C106" s="6">
        <v>8.16388888888889E-2</v>
      </c>
    </row>
    <row r="107" spans="1:3" x14ac:dyDescent="0.25">
      <c r="A107" s="7">
        <v>1105</v>
      </c>
      <c r="B107" s="6">
        <v>0.30786111111111109</v>
      </c>
      <c r="C107" s="6">
        <v>4.7638888888888883E-2</v>
      </c>
    </row>
    <row r="108" spans="1:3" x14ac:dyDescent="0.25">
      <c r="A108" s="7">
        <v>1106</v>
      </c>
      <c r="B108" s="6">
        <v>0.28166666666666668</v>
      </c>
      <c r="C108" s="6">
        <v>0.28166666666666668</v>
      </c>
    </row>
    <row r="109" spans="1:3" x14ac:dyDescent="0.25">
      <c r="A109" s="7">
        <v>1107</v>
      </c>
      <c r="B109" s="6">
        <v>0.24027777777777776</v>
      </c>
      <c r="C109" s="6">
        <v>0.16731944444444444</v>
      </c>
    </row>
    <row r="110" spans="1:3" x14ac:dyDescent="0.25">
      <c r="A110" s="7">
        <v>1108</v>
      </c>
      <c r="B110" s="6">
        <v>0.238875</v>
      </c>
      <c r="C110" s="6">
        <v>0.10249999999999999</v>
      </c>
    </row>
    <row r="111" spans="1:3" x14ac:dyDescent="0.25">
      <c r="A111" s="7">
        <v>1109</v>
      </c>
      <c r="B111" s="6">
        <v>0.2245138888888889</v>
      </c>
      <c r="C111" s="6">
        <v>0.207625</v>
      </c>
    </row>
    <row r="112" spans="1:3" x14ac:dyDescent="0.25">
      <c r="A112" s="7">
        <v>1110</v>
      </c>
      <c r="B112" s="6">
        <v>0.22163888888888886</v>
      </c>
      <c r="C112" s="6">
        <v>5.5555555555555559E-2</v>
      </c>
    </row>
    <row r="113" spans="1:3" x14ac:dyDescent="0.25">
      <c r="A113" s="7">
        <v>1111</v>
      </c>
      <c r="B113" s="6">
        <v>0.16740277777777776</v>
      </c>
      <c r="C113" s="6">
        <v>1.8319444444444447E-2</v>
      </c>
    </row>
    <row r="114" spans="1:3" x14ac:dyDescent="0.25">
      <c r="A114" s="7">
        <v>1112</v>
      </c>
      <c r="B114" s="6">
        <v>0.15237499999999998</v>
      </c>
      <c r="C114" s="6">
        <v>0.13995833333333332</v>
      </c>
    </row>
    <row r="115" spans="1:3" x14ac:dyDescent="0.25">
      <c r="A115" s="7">
        <v>1113</v>
      </c>
      <c r="B115" s="6">
        <v>0.13606944444444444</v>
      </c>
      <c r="C115" s="6">
        <v>8.443055555555555E-2</v>
      </c>
    </row>
    <row r="116" spans="1:3" x14ac:dyDescent="0.25">
      <c r="A116" s="7">
        <v>1114</v>
      </c>
      <c r="B116" s="6">
        <v>0.11044444444444443</v>
      </c>
      <c r="C116" s="6">
        <v>4.8041666666666663E-2</v>
      </c>
    </row>
    <row r="117" spans="1:3" x14ac:dyDescent="0.25">
      <c r="A117" s="7">
        <v>1115</v>
      </c>
      <c r="B117" s="6">
        <v>0.10795833333333334</v>
      </c>
      <c r="C117" s="6">
        <v>4.2416666666666665E-2</v>
      </c>
    </row>
    <row r="118" spans="1:3" x14ac:dyDescent="0.25">
      <c r="A118" s="7">
        <v>1116</v>
      </c>
      <c r="B118" s="6">
        <v>0.10006944444444443</v>
      </c>
      <c r="C118" s="6">
        <v>5.0916666666666666E-2</v>
      </c>
    </row>
    <row r="119" spans="1:3" x14ac:dyDescent="0.25">
      <c r="A119" s="7">
        <v>1117</v>
      </c>
      <c r="B119" s="6">
        <v>9.8500000000000004E-2</v>
      </c>
      <c r="C119" s="6">
        <v>1.7083333333333332E-2</v>
      </c>
    </row>
    <row r="120" spans="1:3" x14ac:dyDescent="0.25">
      <c r="A120" s="7">
        <v>1118</v>
      </c>
      <c r="B120" s="6">
        <v>8.6194444444444449E-2</v>
      </c>
      <c r="C120" s="6">
        <v>7.1583333333333346E-2</v>
      </c>
    </row>
    <row r="121" spans="1:3" x14ac:dyDescent="0.25">
      <c r="A121" s="7">
        <v>1119</v>
      </c>
      <c r="B121" s="6">
        <v>7.6736111111111102E-2</v>
      </c>
      <c r="C121" s="6">
        <v>2.829166666666667E-2</v>
      </c>
    </row>
    <row r="122" spans="1:3" x14ac:dyDescent="0.25">
      <c r="A122" s="7">
        <v>1120</v>
      </c>
      <c r="B122" s="6">
        <v>7.113888888888889E-2</v>
      </c>
      <c r="C122" s="6">
        <v>5.2402777777777777E-2</v>
      </c>
    </row>
    <row r="123" spans="1:3" x14ac:dyDescent="0.25">
      <c r="A123" s="7">
        <v>1121</v>
      </c>
      <c r="B123" s="6">
        <v>6.0958333333333337E-2</v>
      </c>
      <c r="C123" s="6">
        <v>1.5861111111111111E-2</v>
      </c>
    </row>
    <row r="124" spans="1:3" x14ac:dyDescent="0.25">
      <c r="A124" s="7">
        <v>1122</v>
      </c>
      <c r="B124" s="6">
        <v>5.940277777777777E-2</v>
      </c>
      <c r="C124" s="6">
        <v>3.4833333333333334E-2</v>
      </c>
    </row>
    <row r="125" spans="1:3" x14ac:dyDescent="0.25">
      <c r="A125" s="7">
        <v>1123</v>
      </c>
      <c r="B125" s="6">
        <v>4.7791666666666663E-2</v>
      </c>
      <c r="C125" s="6">
        <v>1.175E-2</v>
      </c>
    </row>
    <row r="126" spans="1:3" x14ac:dyDescent="0.25">
      <c r="A126" s="7">
        <v>1124</v>
      </c>
      <c r="B126" s="6">
        <v>4.7291666666666662E-2</v>
      </c>
      <c r="C126" s="6">
        <v>4.1333333333333333E-2</v>
      </c>
    </row>
    <row r="127" spans="1:3" x14ac:dyDescent="0.25">
      <c r="A127" s="7">
        <v>1125</v>
      </c>
      <c r="B127" s="6">
        <v>4.2680555555555555E-2</v>
      </c>
      <c r="C127" s="6">
        <v>1.2736111111111111E-2</v>
      </c>
    </row>
    <row r="128" spans="1:3" x14ac:dyDescent="0.25">
      <c r="A128" s="7">
        <v>1126</v>
      </c>
      <c r="B128" s="6">
        <v>4.2291666666666665E-2</v>
      </c>
      <c r="C128" s="6">
        <v>1.3250000000000001E-2</v>
      </c>
    </row>
    <row r="129" spans="1:3" x14ac:dyDescent="0.25">
      <c r="A129" s="7">
        <v>1127</v>
      </c>
      <c r="B129" s="6">
        <v>4.1597222222222216E-2</v>
      </c>
      <c r="C129" s="6">
        <v>2.5736111111111109E-2</v>
      </c>
    </row>
    <row r="130" spans="1:3" x14ac:dyDescent="0.25">
      <c r="A130" s="7">
        <v>1128</v>
      </c>
      <c r="B130" s="6">
        <v>3.6083333333333328E-2</v>
      </c>
      <c r="C130" s="6">
        <v>2.3763888888888886E-2</v>
      </c>
    </row>
    <row r="131" spans="1:3" x14ac:dyDescent="0.25">
      <c r="A131" s="7">
        <v>1129</v>
      </c>
      <c r="B131" s="6">
        <v>3.5472222222222224E-2</v>
      </c>
      <c r="C131" s="6">
        <v>1.2916666666666668E-2</v>
      </c>
    </row>
    <row r="132" spans="1:3" x14ac:dyDescent="0.25">
      <c r="A132" s="7">
        <v>1130</v>
      </c>
      <c r="B132" s="6">
        <v>3.5166666666666666E-2</v>
      </c>
      <c r="C132" s="6">
        <v>2.0930555555555556E-2</v>
      </c>
    </row>
    <row r="133" spans="1:3" x14ac:dyDescent="0.25">
      <c r="A133" s="7">
        <v>1131</v>
      </c>
      <c r="B133" s="6">
        <v>3.3458333333333333E-2</v>
      </c>
      <c r="C133" s="6">
        <v>3.3458333333333333E-2</v>
      </c>
    </row>
    <row r="134" spans="1:3" x14ac:dyDescent="0.25">
      <c r="A134" s="7">
        <v>1132</v>
      </c>
      <c r="B134" s="6">
        <v>2.6319444444444444E-2</v>
      </c>
      <c r="C134" s="6">
        <v>1.6333333333333335E-2</v>
      </c>
    </row>
    <row r="135" spans="1:3" x14ac:dyDescent="0.25">
      <c r="A135" s="7">
        <v>1133</v>
      </c>
      <c r="B135" s="6">
        <v>2.4236111111111111E-2</v>
      </c>
      <c r="C135" s="6">
        <v>1.0958333333333334E-2</v>
      </c>
    </row>
    <row r="136" spans="1:3" x14ac:dyDescent="0.25">
      <c r="A136" s="7">
        <v>1135</v>
      </c>
      <c r="B136" s="6">
        <v>2.3291666666666665E-2</v>
      </c>
      <c r="C136" s="6">
        <v>1.1916666666666667E-2</v>
      </c>
    </row>
    <row r="137" spans="1:3" x14ac:dyDescent="0.25">
      <c r="A137" s="7">
        <v>1138</v>
      </c>
      <c r="B137" s="6">
        <v>1.9805555555555555E-2</v>
      </c>
      <c r="C137" s="6">
        <v>7.4583333333333324E-3</v>
      </c>
    </row>
    <row r="138" spans="1:3" x14ac:dyDescent="0.25">
      <c r="A138" s="7">
        <v>1139</v>
      </c>
      <c r="B138" s="6">
        <v>1.7874999999999999E-2</v>
      </c>
      <c r="C138" s="6">
        <v>9.0277777777777769E-3</v>
      </c>
    </row>
    <row r="139" spans="1:3" x14ac:dyDescent="0.25">
      <c r="A139" s="7">
        <v>1140</v>
      </c>
      <c r="B139" s="6">
        <v>1.2180555555555556E-2</v>
      </c>
      <c r="C139" s="6">
        <v>1.2180555555555556E-2</v>
      </c>
    </row>
    <row r="140" spans="1:3" x14ac:dyDescent="0.25">
      <c r="A140" s="7">
        <v>1141</v>
      </c>
      <c r="B140" s="6">
        <v>1.1097222222222222E-2</v>
      </c>
      <c r="C140" s="6">
        <v>5.8472222222222224E-3</v>
      </c>
    </row>
    <row r="141" spans="1:3" x14ac:dyDescent="0.25">
      <c r="A141" s="7">
        <v>1142</v>
      </c>
      <c r="B141" s="6">
        <v>9.7638888888888879E-3</v>
      </c>
      <c r="C141" s="6">
        <v>2.236111111111111E-3</v>
      </c>
    </row>
    <row r="142" spans="1:3" x14ac:dyDescent="0.25">
      <c r="A142" s="7">
        <v>1143</v>
      </c>
      <c r="B142" s="6">
        <v>9.541666666666667E-3</v>
      </c>
      <c r="C142" s="6">
        <v>7.1666666666666667E-3</v>
      </c>
    </row>
    <row r="143" spans="1:3" x14ac:dyDescent="0.25">
      <c r="A143" s="7">
        <v>1146</v>
      </c>
      <c r="B143" s="6">
        <v>9.2916666666666668E-3</v>
      </c>
      <c r="C143" s="6">
        <v>5.3194444444444444E-3</v>
      </c>
    </row>
    <row r="144" spans="1:3" x14ac:dyDescent="0.25">
      <c r="A144" s="7">
        <v>1150</v>
      </c>
      <c r="B144" s="6">
        <v>8.4583333333333333E-3</v>
      </c>
      <c r="C144" s="6">
        <v>8.0138888888888898E-3</v>
      </c>
    </row>
    <row r="145" spans="1:3" x14ac:dyDescent="0.25">
      <c r="A145" s="7">
        <v>1151</v>
      </c>
      <c r="B145" s="6">
        <v>8.1250000000000003E-3</v>
      </c>
      <c r="C145" s="6">
        <v>8.1250000000000003E-3</v>
      </c>
    </row>
    <row r="146" spans="1:3" x14ac:dyDescent="0.25">
      <c r="A146" s="7">
        <v>1152</v>
      </c>
      <c r="B146" s="6">
        <v>7.1388888888888891E-3</v>
      </c>
      <c r="C146" s="6">
        <v>2.6527777777777773E-3</v>
      </c>
    </row>
    <row r="147" spans="1:3" x14ac:dyDescent="0.25">
      <c r="A147" s="7">
        <v>1153</v>
      </c>
      <c r="B147" s="6">
        <v>5.9722222222222225E-3</v>
      </c>
      <c r="C147" s="6">
        <v>4.2777777777777779E-3</v>
      </c>
    </row>
    <row r="148" spans="1:3" x14ac:dyDescent="0.25">
      <c r="A148" s="7">
        <v>1154</v>
      </c>
      <c r="B148" s="6">
        <v>5.7638888888888896E-3</v>
      </c>
      <c r="C148" s="6">
        <v>4.7361111111111111E-3</v>
      </c>
    </row>
    <row r="149" spans="1:3" x14ac:dyDescent="0.25">
      <c r="A149" s="7">
        <v>1155</v>
      </c>
      <c r="B149" s="6">
        <v>5.2638888888888891E-3</v>
      </c>
      <c r="C149" s="6">
        <v>5.2638888888888891E-3</v>
      </c>
    </row>
    <row r="150" spans="1:3" x14ac:dyDescent="0.25">
      <c r="A150" s="7">
        <v>1156</v>
      </c>
      <c r="B150" s="6">
        <v>3.3333333333333331E-3</v>
      </c>
      <c r="C150" s="6">
        <v>3.3333333333333331E-3</v>
      </c>
    </row>
    <row r="151" spans="1:3" x14ac:dyDescent="0.25">
      <c r="A151" s="7">
        <v>1157</v>
      </c>
      <c r="B151" s="6">
        <v>2.5555555555555557E-3</v>
      </c>
      <c r="C151" s="6">
        <v>1.7500000000000003E-3</v>
      </c>
    </row>
    <row r="152" spans="1:3" x14ac:dyDescent="0.25">
      <c r="A152" s="7">
        <v>1158</v>
      </c>
      <c r="B152" s="6">
        <v>1.7916666666666667E-3</v>
      </c>
      <c r="C152" s="6">
        <v>1.7916666666666667E-3</v>
      </c>
    </row>
    <row r="153" spans="1:3" x14ac:dyDescent="0.25">
      <c r="A153" s="7">
        <v>1159</v>
      </c>
      <c r="B153" s="6">
        <v>1.7083333333333332E-3</v>
      </c>
      <c r="C153" s="6">
        <v>1.0416666666666667E-3</v>
      </c>
    </row>
    <row r="154" spans="1:3" x14ac:dyDescent="0.25">
      <c r="A154" s="7">
        <v>1160</v>
      </c>
      <c r="B154" s="6">
        <v>1.6666666666666666E-3</v>
      </c>
      <c r="C154" s="6">
        <v>1.5555555555555555E-3</v>
      </c>
    </row>
    <row r="155" spans="1:3" x14ac:dyDescent="0.25">
      <c r="A155" s="7">
        <v>1161</v>
      </c>
      <c r="B155" s="6">
        <v>1.4722222222222222E-3</v>
      </c>
      <c r="C155" s="6">
        <v>1.0694444444444445E-3</v>
      </c>
    </row>
    <row r="156" spans="1:3" x14ac:dyDescent="0.25">
      <c r="A156" s="7">
        <v>1162</v>
      </c>
      <c r="B156" s="6">
        <v>1.1805555555555558E-3</v>
      </c>
      <c r="C156" s="6">
        <v>1.1805555555555558E-3</v>
      </c>
    </row>
    <row r="157" spans="1:3" x14ac:dyDescent="0.25">
      <c r="A157" s="7">
        <v>1163</v>
      </c>
      <c r="B157" s="6">
        <v>1.0416666666666667E-3</v>
      </c>
      <c r="C157" s="6">
        <v>1.0416666666666667E-3</v>
      </c>
    </row>
    <row r="158" spans="1:3" x14ac:dyDescent="0.25">
      <c r="A158" s="7">
        <v>1164</v>
      </c>
      <c r="B158" s="6">
        <v>8.8888888888888893E-4</v>
      </c>
      <c r="C158" s="6">
        <v>7.222222222222223E-4</v>
      </c>
    </row>
    <row r="159" spans="1:3" x14ac:dyDescent="0.25">
      <c r="A159" s="7">
        <v>1165</v>
      </c>
      <c r="B159" s="6">
        <v>5.5555555555555545E-4</v>
      </c>
      <c r="C159" s="6">
        <v>5.5555555555555545E-4</v>
      </c>
    </row>
    <row r="160" spans="1:3" x14ac:dyDescent="0.25">
      <c r="A160" s="7">
        <v>1166</v>
      </c>
      <c r="B160" s="6">
        <v>1.8055555555555557E-4</v>
      </c>
      <c r="C160" s="6">
        <v>1.8055555555555557E-4</v>
      </c>
    </row>
    <row r="161" spans="1:3" x14ac:dyDescent="0.25">
      <c r="A161" s="7" t="s">
        <v>22</v>
      </c>
      <c r="C161" s="6">
        <v>0</v>
      </c>
    </row>
    <row r="162" spans="1:3" x14ac:dyDescent="0.25">
      <c r="A162" s="7" t="s">
        <v>23</v>
      </c>
      <c r="B162" s="6">
        <v>177.22401388888898</v>
      </c>
      <c r="C162" s="6">
        <v>121.56066666666663</v>
      </c>
    </row>
  </sheetData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10.5703125" bestFit="1" customWidth="1"/>
    <col min="2" max="2" width="7" bestFit="1" customWidth="1"/>
    <col min="3" max="3" width="12.7109375" bestFit="1" customWidth="1"/>
    <col min="4" max="4" width="14" bestFit="1" customWidth="1"/>
    <col min="5" max="5" width="19.5703125" bestFit="1" customWidth="1"/>
    <col min="6" max="6" width="20.85546875" bestFit="1" customWidth="1"/>
  </cols>
  <sheetData>
    <row r="1" spans="1:6" x14ac:dyDescent="0.25">
      <c r="A1" s="1" t="s">
        <v>27</v>
      </c>
      <c r="B1" s="1" t="s">
        <v>1</v>
      </c>
      <c r="C1" s="1" t="s">
        <v>28</v>
      </c>
      <c r="D1" s="1" t="s">
        <v>29</v>
      </c>
      <c r="E1" s="2" t="s">
        <v>2</v>
      </c>
      <c r="F1" s="2" t="s">
        <v>3</v>
      </c>
    </row>
    <row r="2" spans="1:6" x14ac:dyDescent="0.25">
      <c r="A2">
        <v>1000</v>
      </c>
      <c r="B2">
        <v>10</v>
      </c>
      <c r="C2">
        <v>170.80083333333332</v>
      </c>
      <c r="D2">
        <v>155.71</v>
      </c>
      <c r="E2">
        <f>+C2/20</f>
        <v>8.5400416666666654</v>
      </c>
      <c r="F2">
        <f>+D2/20</f>
        <v>7.7855000000000008</v>
      </c>
    </row>
    <row r="3" spans="1:6" x14ac:dyDescent="0.25">
      <c r="A3">
        <v>1001</v>
      </c>
      <c r="B3">
        <v>21</v>
      </c>
      <c r="C3">
        <v>166.73361111111112</v>
      </c>
      <c r="D3">
        <v>29.003611111111113</v>
      </c>
      <c r="E3">
        <f t="shared" ref="E3:F66" si="0">+C3/20</f>
        <v>8.3366805555555565</v>
      </c>
      <c r="F3">
        <f t="shared" si="0"/>
        <v>1.4501805555555556</v>
      </c>
    </row>
    <row r="4" spans="1:6" x14ac:dyDescent="0.25">
      <c r="A4">
        <v>1002</v>
      </c>
      <c r="B4">
        <v>23</v>
      </c>
      <c r="C4">
        <v>158.68972222222223</v>
      </c>
      <c r="D4">
        <v>94.839999999999989</v>
      </c>
      <c r="E4">
        <f t="shared" si="0"/>
        <v>7.9344861111111111</v>
      </c>
      <c r="F4">
        <f t="shared" si="0"/>
        <v>4.7419999999999991</v>
      </c>
    </row>
    <row r="5" spans="1:6" x14ac:dyDescent="0.25">
      <c r="A5">
        <v>1003</v>
      </c>
      <c r="B5">
        <v>21</v>
      </c>
      <c r="C5">
        <v>156.95416666666668</v>
      </c>
      <c r="D5">
        <v>103.00722222222223</v>
      </c>
      <c r="E5">
        <f t="shared" si="0"/>
        <v>7.8477083333333342</v>
      </c>
      <c r="F5">
        <f t="shared" si="0"/>
        <v>5.1503611111111116</v>
      </c>
    </row>
    <row r="6" spans="1:6" x14ac:dyDescent="0.25">
      <c r="A6">
        <v>1004</v>
      </c>
      <c r="B6">
        <v>24</v>
      </c>
      <c r="C6">
        <v>118.13194444444444</v>
      </c>
      <c r="D6">
        <v>60.417777777777779</v>
      </c>
      <c r="E6">
        <f t="shared" si="0"/>
        <v>5.9065972222222225</v>
      </c>
      <c r="F6">
        <f t="shared" si="0"/>
        <v>3.020888888888889</v>
      </c>
    </row>
    <row r="7" spans="1:6" x14ac:dyDescent="0.25">
      <c r="A7">
        <v>1005</v>
      </c>
      <c r="B7">
        <v>21</v>
      </c>
      <c r="C7">
        <v>105.38027777777778</v>
      </c>
      <c r="D7">
        <v>44.493055555555557</v>
      </c>
      <c r="E7">
        <f t="shared" si="0"/>
        <v>5.2690138888888889</v>
      </c>
      <c r="F7">
        <f t="shared" si="0"/>
        <v>2.224652777777778</v>
      </c>
    </row>
    <row r="8" spans="1:6" x14ac:dyDescent="0.25">
      <c r="A8">
        <v>1006</v>
      </c>
      <c r="B8">
        <v>22</v>
      </c>
      <c r="C8">
        <v>91.901388888888889</v>
      </c>
      <c r="D8">
        <v>89.589722222222221</v>
      </c>
      <c r="E8">
        <f t="shared" si="0"/>
        <v>4.5950694444444444</v>
      </c>
      <c r="F8">
        <f t="shared" si="0"/>
        <v>4.4794861111111111</v>
      </c>
    </row>
    <row r="9" spans="1:6" x14ac:dyDescent="0.25">
      <c r="A9">
        <v>1007</v>
      </c>
      <c r="B9">
        <v>21</v>
      </c>
      <c r="C9">
        <v>85.619166666666658</v>
      </c>
      <c r="D9">
        <v>32.06444444444444</v>
      </c>
      <c r="E9">
        <f t="shared" si="0"/>
        <v>4.2809583333333325</v>
      </c>
      <c r="F9">
        <f t="shared" si="0"/>
        <v>1.6032222222222221</v>
      </c>
    </row>
    <row r="10" spans="1:6" x14ac:dyDescent="0.25">
      <c r="A10">
        <v>1008</v>
      </c>
      <c r="B10">
        <v>21</v>
      </c>
      <c r="C10">
        <v>77.984722222222217</v>
      </c>
      <c r="D10">
        <v>54.564722222222223</v>
      </c>
      <c r="E10">
        <f t="shared" si="0"/>
        <v>3.8992361111111107</v>
      </c>
      <c r="F10">
        <f t="shared" si="0"/>
        <v>2.7282361111111113</v>
      </c>
    </row>
    <row r="11" spans="1:6" x14ac:dyDescent="0.25">
      <c r="A11">
        <v>1009</v>
      </c>
      <c r="B11">
        <v>21</v>
      </c>
      <c r="C11">
        <v>76.821944444444441</v>
      </c>
      <c r="D11">
        <v>50.663611111111109</v>
      </c>
      <c r="E11">
        <f t="shared" si="0"/>
        <v>3.8410972222222219</v>
      </c>
      <c r="F11">
        <f t="shared" si="0"/>
        <v>2.5331805555555555</v>
      </c>
    </row>
    <row r="12" spans="1:6" x14ac:dyDescent="0.25">
      <c r="A12">
        <v>1010</v>
      </c>
      <c r="B12">
        <v>21</v>
      </c>
      <c r="C12">
        <v>74.748611111111117</v>
      </c>
      <c r="D12">
        <v>71.8</v>
      </c>
      <c r="E12">
        <f t="shared" si="0"/>
        <v>3.737430555555556</v>
      </c>
      <c r="F12">
        <f t="shared" si="0"/>
        <v>3.59</v>
      </c>
    </row>
    <row r="13" spans="1:6" x14ac:dyDescent="0.25">
      <c r="A13">
        <v>1011</v>
      </c>
      <c r="B13">
        <v>21</v>
      </c>
      <c r="C13">
        <v>73.943888888888893</v>
      </c>
      <c r="D13">
        <v>73.634722222222223</v>
      </c>
      <c r="E13">
        <f t="shared" si="0"/>
        <v>3.6971944444444444</v>
      </c>
      <c r="F13">
        <f t="shared" si="0"/>
        <v>3.6817361111111113</v>
      </c>
    </row>
    <row r="14" spans="1:6" x14ac:dyDescent="0.25">
      <c r="A14">
        <v>1012</v>
      </c>
      <c r="B14">
        <v>31</v>
      </c>
      <c r="C14">
        <v>72.130277777777778</v>
      </c>
      <c r="D14">
        <v>69.391111111111101</v>
      </c>
      <c r="E14">
        <f t="shared" si="0"/>
        <v>3.6065138888888888</v>
      </c>
      <c r="F14">
        <f t="shared" si="0"/>
        <v>3.4695555555555551</v>
      </c>
    </row>
    <row r="15" spans="1:6" x14ac:dyDescent="0.25">
      <c r="A15">
        <v>1013</v>
      </c>
      <c r="B15">
        <v>21</v>
      </c>
      <c r="C15">
        <v>71.924722222222229</v>
      </c>
      <c r="D15">
        <v>54.774722222222216</v>
      </c>
      <c r="E15">
        <f t="shared" si="0"/>
        <v>3.5962361111111116</v>
      </c>
      <c r="F15">
        <f t="shared" si="0"/>
        <v>2.7387361111111108</v>
      </c>
    </row>
    <row r="16" spans="1:6" x14ac:dyDescent="0.25">
      <c r="A16">
        <v>1014</v>
      </c>
      <c r="B16">
        <v>21</v>
      </c>
      <c r="C16">
        <v>67.720833333333331</v>
      </c>
      <c r="D16">
        <v>18.074444444444445</v>
      </c>
      <c r="E16">
        <f t="shared" si="0"/>
        <v>3.3860416666666664</v>
      </c>
      <c r="F16">
        <f t="shared" si="0"/>
        <v>0.90372222222222232</v>
      </c>
    </row>
    <row r="17" spans="1:6" x14ac:dyDescent="0.25">
      <c r="A17">
        <v>1016</v>
      </c>
      <c r="B17">
        <v>21</v>
      </c>
      <c r="C17">
        <v>63.041388888888882</v>
      </c>
      <c r="D17">
        <v>47.063055555555557</v>
      </c>
      <c r="E17">
        <f t="shared" si="0"/>
        <v>3.1520694444444439</v>
      </c>
      <c r="F17">
        <f t="shared" si="0"/>
        <v>2.3531527777777779</v>
      </c>
    </row>
    <row r="18" spans="1:6" x14ac:dyDescent="0.25">
      <c r="A18">
        <v>1017</v>
      </c>
      <c r="B18">
        <v>21</v>
      </c>
      <c r="C18">
        <v>58.310555555555553</v>
      </c>
      <c r="D18">
        <v>42.429166666666667</v>
      </c>
      <c r="E18">
        <f t="shared" si="0"/>
        <v>2.9155277777777777</v>
      </c>
      <c r="F18">
        <f t="shared" si="0"/>
        <v>2.1214583333333334</v>
      </c>
    </row>
    <row r="19" spans="1:6" x14ac:dyDescent="0.25">
      <c r="A19">
        <v>1018</v>
      </c>
      <c r="B19">
        <v>17</v>
      </c>
      <c r="C19">
        <v>56.18888888888889</v>
      </c>
      <c r="D19">
        <v>3.3888888888888888</v>
      </c>
      <c r="E19">
        <f t="shared" si="0"/>
        <v>2.8094444444444444</v>
      </c>
      <c r="F19">
        <f t="shared" si="0"/>
        <v>0.16944444444444445</v>
      </c>
    </row>
    <row r="20" spans="1:6" x14ac:dyDescent="0.25">
      <c r="A20">
        <v>1019</v>
      </c>
      <c r="B20">
        <v>21</v>
      </c>
      <c r="C20">
        <v>55.323888888888888</v>
      </c>
      <c r="D20">
        <v>55.182499999999997</v>
      </c>
      <c r="E20">
        <f t="shared" si="0"/>
        <v>2.7661944444444444</v>
      </c>
      <c r="F20">
        <f t="shared" si="0"/>
        <v>2.759125</v>
      </c>
    </row>
    <row r="21" spans="1:6" x14ac:dyDescent="0.25">
      <c r="A21">
        <v>1020</v>
      </c>
      <c r="B21">
        <v>21</v>
      </c>
      <c r="C21">
        <v>54.232222222222227</v>
      </c>
      <c r="D21">
        <v>35.337499999999999</v>
      </c>
      <c r="E21">
        <f t="shared" si="0"/>
        <v>2.7116111111111114</v>
      </c>
      <c r="F21">
        <f t="shared" si="0"/>
        <v>1.766875</v>
      </c>
    </row>
    <row r="22" spans="1:6" x14ac:dyDescent="0.25">
      <c r="A22">
        <v>1021</v>
      </c>
      <c r="B22">
        <v>21</v>
      </c>
      <c r="C22">
        <v>52.944444444444443</v>
      </c>
      <c r="D22">
        <v>44.343611111111116</v>
      </c>
      <c r="E22">
        <f t="shared" si="0"/>
        <v>2.6472222222222221</v>
      </c>
      <c r="F22">
        <f t="shared" si="0"/>
        <v>2.2171805555555557</v>
      </c>
    </row>
    <row r="23" spans="1:6" x14ac:dyDescent="0.25">
      <c r="A23">
        <v>1022</v>
      </c>
      <c r="B23">
        <v>21</v>
      </c>
      <c r="C23">
        <v>45.768055555555556</v>
      </c>
      <c r="D23">
        <v>21.098055555555558</v>
      </c>
      <c r="E23">
        <f t="shared" si="0"/>
        <v>2.2884027777777778</v>
      </c>
      <c r="F23">
        <f t="shared" si="0"/>
        <v>1.054902777777778</v>
      </c>
    </row>
    <row r="24" spans="1:6" x14ac:dyDescent="0.25">
      <c r="A24">
        <v>1023</v>
      </c>
      <c r="B24">
        <v>21</v>
      </c>
      <c r="C24">
        <v>43.709444444444443</v>
      </c>
      <c r="D24">
        <v>36.383055555555551</v>
      </c>
      <c r="E24">
        <f t="shared" si="0"/>
        <v>2.1854722222222223</v>
      </c>
      <c r="F24">
        <f t="shared" si="0"/>
        <v>1.8191527777777776</v>
      </c>
    </row>
    <row r="25" spans="1:6" x14ac:dyDescent="0.25">
      <c r="A25">
        <v>1024</v>
      </c>
      <c r="B25">
        <v>21</v>
      </c>
      <c r="C25">
        <v>42.918333333333329</v>
      </c>
      <c r="D25">
        <v>11.260833333333332</v>
      </c>
      <c r="E25">
        <f t="shared" si="0"/>
        <v>2.1459166666666665</v>
      </c>
      <c r="F25">
        <f t="shared" si="0"/>
        <v>0.56304166666666666</v>
      </c>
    </row>
    <row r="26" spans="1:6" x14ac:dyDescent="0.25">
      <c r="A26">
        <v>1025</v>
      </c>
      <c r="B26">
        <v>21</v>
      </c>
      <c r="C26">
        <v>41.889166666666668</v>
      </c>
      <c r="D26">
        <v>41.718611111111116</v>
      </c>
      <c r="E26">
        <f t="shared" si="0"/>
        <v>2.0944583333333333</v>
      </c>
      <c r="F26">
        <f t="shared" si="0"/>
        <v>2.0859305555555556</v>
      </c>
    </row>
    <row r="27" spans="1:6" x14ac:dyDescent="0.25">
      <c r="A27">
        <v>1026</v>
      </c>
      <c r="B27">
        <v>21</v>
      </c>
      <c r="C27">
        <v>41.376944444444447</v>
      </c>
      <c r="D27">
        <v>29.84</v>
      </c>
      <c r="E27">
        <f t="shared" si="0"/>
        <v>2.0688472222222223</v>
      </c>
      <c r="F27">
        <f t="shared" si="0"/>
        <v>1.492</v>
      </c>
    </row>
    <row r="28" spans="1:6" x14ac:dyDescent="0.25">
      <c r="A28">
        <v>1027</v>
      </c>
      <c r="B28">
        <v>21</v>
      </c>
      <c r="C28">
        <v>40.821666666666673</v>
      </c>
      <c r="D28">
        <v>37.365833333333327</v>
      </c>
      <c r="E28">
        <f t="shared" si="0"/>
        <v>2.0410833333333338</v>
      </c>
      <c r="F28">
        <f t="shared" si="0"/>
        <v>1.8682916666666665</v>
      </c>
    </row>
    <row r="29" spans="1:6" x14ac:dyDescent="0.25">
      <c r="A29">
        <v>1028</v>
      </c>
      <c r="B29">
        <v>21</v>
      </c>
      <c r="C29">
        <v>40.253888888888888</v>
      </c>
      <c r="D29">
        <v>39.632222222222225</v>
      </c>
      <c r="E29">
        <f t="shared" si="0"/>
        <v>2.0126944444444446</v>
      </c>
      <c r="F29">
        <f t="shared" si="0"/>
        <v>1.9816111111111112</v>
      </c>
    </row>
    <row r="30" spans="1:6" x14ac:dyDescent="0.25">
      <c r="A30">
        <v>1029</v>
      </c>
      <c r="B30">
        <v>26</v>
      </c>
      <c r="C30">
        <v>40.138888888888893</v>
      </c>
      <c r="D30">
        <v>28.671666666666667</v>
      </c>
      <c r="E30">
        <f t="shared" si="0"/>
        <v>2.0069444444444446</v>
      </c>
      <c r="F30">
        <f t="shared" si="0"/>
        <v>1.4335833333333334</v>
      </c>
    </row>
    <row r="31" spans="1:6" x14ac:dyDescent="0.25">
      <c r="A31">
        <v>1030</v>
      </c>
      <c r="B31">
        <v>22</v>
      </c>
      <c r="C31">
        <v>39.699444444444445</v>
      </c>
      <c r="D31">
        <v>25.024722222222223</v>
      </c>
      <c r="E31">
        <f t="shared" si="0"/>
        <v>1.9849722222222224</v>
      </c>
      <c r="F31">
        <f t="shared" si="0"/>
        <v>1.2512361111111112</v>
      </c>
    </row>
    <row r="32" spans="1:6" x14ac:dyDescent="0.25">
      <c r="A32">
        <v>1031</v>
      </c>
      <c r="B32">
        <v>21</v>
      </c>
      <c r="C32">
        <v>39.25</v>
      </c>
      <c r="D32">
        <v>38.42722222222222</v>
      </c>
      <c r="E32">
        <f t="shared" si="0"/>
        <v>1.9624999999999999</v>
      </c>
      <c r="F32">
        <f t="shared" si="0"/>
        <v>1.9213611111111111</v>
      </c>
    </row>
    <row r="33" spans="1:6" x14ac:dyDescent="0.25">
      <c r="A33">
        <v>1032</v>
      </c>
      <c r="B33">
        <v>21</v>
      </c>
      <c r="C33">
        <v>35.924166666666665</v>
      </c>
      <c r="D33">
        <v>33.057222222222222</v>
      </c>
      <c r="E33">
        <f t="shared" si="0"/>
        <v>1.7962083333333332</v>
      </c>
      <c r="F33">
        <f t="shared" si="0"/>
        <v>1.6528611111111111</v>
      </c>
    </row>
    <row r="34" spans="1:6" x14ac:dyDescent="0.25">
      <c r="A34">
        <v>1033</v>
      </c>
      <c r="B34">
        <v>21</v>
      </c>
      <c r="C34">
        <v>35.793333333333329</v>
      </c>
      <c r="D34">
        <v>32.171111111111109</v>
      </c>
      <c r="E34">
        <f t="shared" si="0"/>
        <v>1.7896666666666665</v>
      </c>
      <c r="F34">
        <f t="shared" si="0"/>
        <v>1.6085555555555555</v>
      </c>
    </row>
    <row r="35" spans="1:6" x14ac:dyDescent="0.25">
      <c r="A35">
        <v>1034</v>
      </c>
      <c r="B35">
        <v>21</v>
      </c>
      <c r="C35">
        <v>35.363611111111112</v>
      </c>
      <c r="D35">
        <v>33.680833333333332</v>
      </c>
      <c r="E35">
        <f t="shared" si="0"/>
        <v>1.7681805555555556</v>
      </c>
      <c r="F35">
        <f t="shared" si="0"/>
        <v>1.6840416666666667</v>
      </c>
    </row>
    <row r="36" spans="1:6" x14ac:dyDescent="0.25">
      <c r="A36">
        <v>1035</v>
      </c>
      <c r="B36">
        <v>21</v>
      </c>
      <c r="C36">
        <v>33.053333333333335</v>
      </c>
      <c r="D36">
        <v>16.858611111111109</v>
      </c>
      <c r="E36">
        <f t="shared" si="0"/>
        <v>1.6526666666666667</v>
      </c>
      <c r="F36">
        <f t="shared" si="0"/>
        <v>0.84293055555555552</v>
      </c>
    </row>
    <row r="37" spans="1:6" x14ac:dyDescent="0.25">
      <c r="A37">
        <v>1036</v>
      </c>
      <c r="B37">
        <v>21</v>
      </c>
      <c r="C37">
        <v>30.498333333333335</v>
      </c>
      <c r="D37">
        <v>21.93277777777778</v>
      </c>
      <c r="E37">
        <f t="shared" si="0"/>
        <v>1.5249166666666667</v>
      </c>
      <c r="F37">
        <f t="shared" si="0"/>
        <v>1.0966388888888889</v>
      </c>
    </row>
    <row r="38" spans="1:6" x14ac:dyDescent="0.25">
      <c r="A38">
        <v>1037</v>
      </c>
      <c r="B38">
        <v>21</v>
      </c>
      <c r="C38">
        <v>30.353055555555557</v>
      </c>
      <c r="D38">
        <v>29.454722222222223</v>
      </c>
      <c r="E38">
        <f t="shared" si="0"/>
        <v>1.5176527777777777</v>
      </c>
      <c r="F38">
        <f t="shared" si="0"/>
        <v>1.4727361111111112</v>
      </c>
    </row>
    <row r="39" spans="1:6" x14ac:dyDescent="0.25">
      <c r="A39">
        <v>1038</v>
      </c>
      <c r="B39">
        <v>21</v>
      </c>
      <c r="C39">
        <v>29.726111111111109</v>
      </c>
      <c r="D39">
        <v>19.748888888888889</v>
      </c>
      <c r="E39">
        <f t="shared" si="0"/>
        <v>1.4863055555555555</v>
      </c>
      <c r="F39">
        <f t="shared" si="0"/>
        <v>0.98744444444444446</v>
      </c>
    </row>
    <row r="40" spans="1:6" x14ac:dyDescent="0.25">
      <c r="A40">
        <v>1039</v>
      </c>
      <c r="B40">
        <v>21</v>
      </c>
      <c r="C40">
        <v>29.398611111111112</v>
      </c>
      <c r="D40">
        <v>28.929722222222221</v>
      </c>
      <c r="E40">
        <f t="shared" si="0"/>
        <v>1.4699305555555555</v>
      </c>
      <c r="F40">
        <f t="shared" si="0"/>
        <v>1.4464861111111111</v>
      </c>
    </row>
    <row r="41" spans="1:6" x14ac:dyDescent="0.25">
      <c r="A41">
        <v>1040</v>
      </c>
      <c r="B41">
        <v>3</v>
      </c>
      <c r="C41">
        <v>27.909444444444443</v>
      </c>
      <c r="D41">
        <v>11.8025</v>
      </c>
      <c r="E41">
        <f t="shared" si="0"/>
        <v>1.3954722222222222</v>
      </c>
      <c r="F41">
        <f t="shared" si="0"/>
        <v>0.59012500000000001</v>
      </c>
    </row>
    <row r="42" spans="1:6" x14ac:dyDescent="0.25">
      <c r="A42">
        <v>1041</v>
      </c>
      <c r="B42">
        <v>21</v>
      </c>
      <c r="C42">
        <v>27.694444444444446</v>
      </c>
      <c r="D42">
        <v>7.2580555555555559</v>
      </c>
      <c r="E42">
        <f t="shared" si="0"/>
        <v>1.3847222222222224</v>
      </c>
      <c r="F42">
        <f t="shared" si="0"/>
        <v>0.3629027777777778</v>
      </c>
    </row>
    <row r="43" spans="1:6" x14ac:dyDescent="0.25">
      <c r="A43">
        <v>1042</v>
      </c>
      <c r="B43">
        <v>21</v>
      </c>
      <c r="C43">
        <v>26.662777777777777</v>
      </c>
      <c r="D43">
        <v>6.6977777777777776</v>
      </c>
      <c r="E43">
        <f t="shared" si="0"/>
        <v>1.3331388888888889</v>
      </c>
      <c r="F43">
        <f t="shared" si="0"/>
        <v>0.3348888888888889</v>
      </c>
    </row>
    <row r="44" spans="1:6" x14ac:dyDescent="0.25">
      <c r="A44">
        <v>1043</v>
      </c>
      <c r="B44">
        <v>21</v>
      </c>
      <c r="C44">
        <v>26.104444444444443</v>
      </c>
      <c r="D44">
        <v>25.866944444444446</v>
      </c>
      <c r="E44">
        <f t="shared" si="0"/>
        <v>1.3052222222222221</v>
      </c>
      <c r="F44">
        <f t="shared" si="0"/>
        <v>1.2933472222222222</v>
      </c>
    </row>
    <row r="45" spans="1:6" x14ac:dyDescent="0.25">
      <c r="A45">
        <v>1044</v>
      </c>
      <c r="B45">
        <v>21</v>
      </c>
      <c r="C45">
        <v>25.714722222222225</v>
      </c>
      <c r="D45">
        <v>25.201111111111111</v>
      </c>
      <c r="E45">
        <f t="shared" si="0"/>
        <v>1.2857361111111112</v>
      </c>
      <c r="F45">
        <f t="shared" si="0"/>
        <v>1.2600555555555555</v>
      </c>
    </row>
    <row r="46" spans="1:6" x14ac:dyDescent="0.25">
      <c r="A46">
        <v>1045</v>
      </c>
      <c r="B46">
        <v>21</v>
      </c>
      <c r="C46">
        <v>25.491944444444446</v>
      </c>
      <c r="D46">
        <v>24.548333333333336</v>
      </c>
      <c r="E46">
        <f t="shared" si="0"/>
        <v>1.2745972222222224</v>
      </c>
      <c r="F46">
        <f t="shared" si="0"/>
        <v>1.2274166666666668</v>
      </c>
    </row>
    <row r="47" spans="1:6" x14ac:dyDescent="0.25">
      <c r="A47">
        <v>1046</v>
      </c>
      <c r="B47">
        <v>21</v>
      </c>
      <c r="C47">
        <v>23.407777777777778</v>
      </c>
      <c r="D47">
        <v>23.046388888888888</v>
      </c>
      <c r="E47">
        <f t="shared" si="0"/>
        <v>1.1703888888888889</v>
      </c>
      <c r="F47">
        <f t="shared" si="0"/>
        <v>1.1523194444444445</v>
      </c>
    </row>
    <row r="48" spans="1:6" x14ac:dyDescent="0.25">
      <c r="A48">
        <v>1047</v>
      </c>
      <c r="B48">
        <v>21</v>
      </c>
      <c r="C48">
        <v>23.115000000000002</v>
      </c>
      <c r="D48">
        <v>20.033888888888889</v>
      </c>
      <c r="E48">
        <f t="shared" si="0"/>
        <v>1.1557500000000001</v>
      </c>
      <c r="F48">
        <f t="shared" si="0"/>
        <v>1.0016944444444444</v>
      </c>
    </row>
    <row r="49" spans="1:6" x14ac:dyDescent="0.25">
      <c r="A49">
        <v>1048</v>
      </c>
      <c r="B49">
        <v>21</v>
      </c>
      <c r="C49">
        <v>22.825277777777778</v>
      </c>
      <c r="D49">
        <v>22.711111111111112</v>
      </c>
      <c r="E49">
        <f t="shared" si="0"/>
        <v>1.1412638888888889</v>
      </c>
      <c r="F49">
        <f t="shared" si="0"/>
        <v>1.1355555555555557</v>
      </c>
    </row>
    <row r="50" spans="1:6" x14ac:dyDescent="0.25">
      <c r="A50">
        <v>1049</v>
      </c>
      <c r="B50">
        <v>21</v>
      </c>
      <c r="C50">
        <v>20.398611111111112</v>
      </c>
      <c r="D50">
        <v>17.150833333333331</v>
      </c>
      <c r="E50">
        <f t="shared" si="0"/>
        <v>1.0199305555555556</v>
      </c>
      <c r="F50">
        <f t="shared" si="0"/>
        <v>0.85754166666666654</v>
      </c>
    </row>
    <row r="51" spans="1:6" x14ac:dyDescent="0.25">
      <c r="A51">
        <v>1050</v>
      </c>
      <c r="B51">
        <v>21</v>
      </c>
      <c r="C51">
        <v>19.928888888888888</v>
      </c>
      <c r="D51">
        <v>19.489722222222223</v>
      </c>
      <c r="E51">
        <f t="shared" si="0"/>
        <v>0.99644444444444447</v>
      </c>
      <c r="F51">
        <f t="shared" si="0"/>
        <v>0.97448611111111116</v>
      </c>
    </row>
    <row r="52" spans="1:6" x14ac:dyDescent="0.25">
      <c r="A52">
        <v>1051</v>
      </c>
      <c r="B52">
        <v>21</v>
      </c>
      <c r="C52">
        <v>18.65388888888889</v>
      </c>
      <c r="D52">
        <v>18.334444444444443</v>
      </c>
      <c r="E52">
        <f t="shared" si="0"/>
        <v>0.93269444444444449</v>
      </c>
      <c r="F52">
        <f t="shared" si="0"/>
        <v>0.91672222222222222</v>
      </c>
    </row>
    <row r="53" spans="1:6" x14ac:dyDescent="0.25">
      <c r="A53">
        <v>1052</v>
      </c>
      <c r="B53">
        <v>21</v>
      </c>
      <c r="C53">
        <v>18.347222222222221</v>
      </c>
      <c r="D53">
        <v>3.223611111111111</v>
      </c>
      <c r="E53">
        <f t="shared" si="0"/>
        <v>0.91736111111111107</v>
      </c>
      <c r="F53">
        <f t="shared" si="0"/>
        <v>0.16118055555555555</v>
      </c>
    </row>
    <row r="54" spans="1:6" x14ac:dyDescent="0.25">
      <c r="A54">
        <v>1053</v>
      </c>
      <c r="B54">
        <v>20</v>
      </c>
      <c r="C54">
        <v>17.882222222222222</v>
      </c>
      <c r="D54">
        <v>9.6291666666666664</v>
      </c>
      <c r="E54">
        <f t="shared" si="0"/>
        <v>0.89411111111111108</v>
      </c>
      <c r="F54">
        <f t="shared" si="0"/>
        <v>0.48145833333333332</v>
      </c>
    </row>
    <row r="55" spans="1:6" x14ac:dyDescent="0.25">
      <c r="A55">
        <v>1054</v>
      </c>
      <c r="B55">
        <v>21</v>
      </c>
      <c r="C55">
        <v>17.863888888888887</v>
      </c>
      <c r="D55">
        <v>8.3152777777777782</v>
      </c>
      <c r="E55">
        <f t="shared" si="0"/>
        <v>0.8931944444444444</v>
      </c>
      <c r="F55">
        <f t="shared" si="0"/>
        <v>0.41576388888888893</v>
      </c>
    </row>
    <row r="56" spans="1:6" x14ac:dyDescent="0.25">
      <c r="A56">
        <v>1055</v>
      </c>
      <c r="B56">
        <v>21</v>
      </c>
      <c r="C56">
        <v>16.688611111111111</v>
      </c>
      <c r="D56">
        <v>9.6472222222222221</v>
      </c>
      <c r="E56">
        <f t="shared" si="0"/>
        <v>0.83443055555555556</v>
      </c>
      <c r="F56">
        <f t="shared" si="0"/>
        <v>0.48236111111111113</v>
      </c>
    </row>
    <row r="57" spans="1:6" x14ac:dyDescent="0.25">
      <c r="A57">
        <v>1056</v>
      </c>
      <c r="B57">
        <v>21</v>
      </c>
      <c r="C57">
        <v>15.782222222222222</v>
      </c>
      <c r="D57">
        <v>15.612222222222222</v>
      </c>
      <c r="E57">
        <f t="shared" si="0"/>
        <v>0.7891111111111111</v>
      </c>
      <c r="F57">
        <f t="shared" si="0"/>
        <v>0.78061111111111114</v>
      </c>
    </row>
    <row r="58" spans="1:6" x14ac:dyDescent="0.25">
      <c r="A58">
        <v>1057</v>
      </c>
      <c r="B58">
        <v>21</v>
      </c>
      <c r="C58">
        <v>14.731944444444444</v>
      </c>
      <c r="D58">
        <v>8.9302777777777784</v>
      </c>
      <c r="E58">
        <f t="shared" si="0"/>
        <v>0.73659722222222224</v>
      </c>
      <c r="F58">
        <f t="shared" si="0"/>
        <v>0.44651388888888893</v>
      </c>
    </row>
    <row r="59" spans="1:6" x14ac:dyDescent="0.25">
      <c r="A59">
        <v>1058</v>
      </c>
      <c r="B59">
        <v>21</v>
      </c>
      <c r="C59">
        <v>14.496388888888889</v>
      </c>
      <c r="D59">
        <v>5.9786111111111104</v>
      </c>
      <c r="E59">
        <f t="shared" si="0"/>
        <v>0.72481944444444446</v>
      </c>
      <c r="F59">
        <f t="shared" si="0"/>
        <v>0.29893055555555553</v>
      </c>
    </row>
    <row r="60" spans="1:6" x14ac:dyDescent="0.25">
      <c r="A60">
        <v>1059</v>
      </c>
      <c r="B60">
        <v>21</v>
      </c>
      <c r="C60">
        <v>14.174166666666668</v>
      </c>
      <c r="D60">
        <v>10.479166666666666</v>
      </c>
      <c r="E60">
        <f t="shared" si="0"/>
        <v>0.70870833333333338</v>
      </c>
      <c r="F60">
        <f t="shared" si="0"/>
        <v>0.5239583333333333</v>
      </c>
    </row>
    <row r="61" spans="1:6" x14ac:dyDescent="0.25">
      <c r="A61">
        <v>1060</v>
      </c>
      <c r="B61">
        <v>21</v>
      </c>
      <c r="C61">
        <v>14.060833333333333</v>
      </c>
      <c r="D61">
        <v>2.1902777777777778</v>
      </c>
      <c r="E61">
        <f t="shared" si="0"/>
        <v>0.70304166666666668</v>
      </c>
      <c r="F61">
        <f t="shared" si="0"/>
        <v>0.10951388888888888</v>
      </c>
    </row>
    <row r="62" spans="1:6" x14ac:dyDescent="0.25">
      <c r="A62">
        <v>1061</v>
      </c>
      <c r="B62">
        <v>21</v>
      </c>
      <c r="C62">
        <v>14.02638888888889</v>
      </c>
      <c r="D62">
        <v>13.770555555555555</v>
      </c>
      <c r="E62">
        <f t="shared" si="0"/>
        <v>0.7013194444444445</v>
      </c>
      <c r="F62">
        <f t="shared" si="0"/>
        <v>0.68852777777777774</v>
      </c>
    </row>
    <row r="63" spans="1:6" x14ac:dyDescent="0.25">
      <c r="A63">
        <v>1062</v>
      </c>
      <c r="B63">
        <v>21</v>
      </c>
      <c r="C63">
        <v>13.689166666666667</v>
      </c>
      <c r="D63">
        <v>12.836388888888887</v>
      </c>
      <c r="E63">
        <f t="shared" si="0"/>
        <v>0.68445833333333339</v>
      </c>
      <c r="F63">
        <f t="shared" si="0"/>
        <v>0.64181944444444439</v>
      </c>
    </row>
    <row r="64" spans="1:6" x14ac:dyDescent="0.25">
      <c r="A64">
        <v>1063</v>
      </c>
      <c r="B64">
        <v>21</v>
      </c>
      <c r="C64">
        <v>13.630833333333333</v>
      </c>
      <c r="D64">
        <v>13.290277777777778</v>
      </c>
      <c r="E64">
        <f t="shared" si="0"/>
        <v>0.68154166666666671</v>
      </c>
      <c r="F64">
        <f t="shared" si="0"/>
        <v>0.66451388888888885</v>
      </c>
    </row>
    <row r="65" spans="1:6" x14ac:dyDescent="0.25">
      <c r="A65">
        <v>1064</v>
      </c>
      <c r="B65">
        <v>21</v>
      </c>
      <c r="C65">
        <v>13.432777777777778</v>
      </c>
      <c r="D65">
        <v>13.3225</v>
      </c>
      <c r="E65">
        <f t="shared" si="0"/>
        <v>0.6716388888888889</v>
      </c>
      <c r="F65">
        <f t="shared" si="0"/>
        <v>0.66612499999999997</v>
      </c>
    </row>
    <row r="66" spans="1:6" x14ac:dyDescent="0.25">
      <c r="A66">
        <v>1065</v>
      </c>
      <c r="B66">
        <v>21</v>
      </c>
      <c r="C66">
        <v>12.59138888888889</v>
      </c>
      <c r="D66">
        <v>12.431666666666667</v>
      </c>
      <c r="E66">
        <f t="shared" si="0"/>
        <v>0.62956944444444451</v>
      </c>
      <c r="F66">
        <f t="shared" si="0"/>
        <v>0.62158333333333338</v>
      </c>
    </row>
    <row r="67" spans="1:6" x14ac:dyDescent="0.25">
      <c r="A67">
        <v>1066</v>
      </c>
      <c r="B67">
        <v>21</v>
      </c>
      <c r="C67">
        <v>12.513333333333332</v>
      </c>
      <c r="D67">
        <v>12.416944444444445</v>
      </c>
      <c r="E67">
        <f t="shared" ref="E67:F130" si="1">+C67/20</f>
        <v>0.62566666666666659</v>
      </c>
      <c r="F67">
        <f t="shared" si="1"/>
        <v>0.62084722222222222</v>
      </c>
    </row>
    <row r="68" spans="1:6" x14ac:dyDescent="0.25">
      <c r="A68">
        <v>1067</v>
      </c>
      <c r="B68">
        <v>21</v>
      </c>
      <c r="C68">
        <v>12.497777777777777</v>
      </c>
      <c r="D68">
        <v>11.495277777777778</v>
      </c>
      <c r="E68">
        <f t="shared" si="1"/>
        <v>0.62488888888888883</v>
      </c>
      <c r="F68">
        <f t="shared" si="1"/>
        <v>0.57476388888888885</v>
      </c>
    </row>
    <row r="69" spans="1:6" x14ac:dyDescent="0.25">
      <c r="A69">
        <v>1068</v>
      </c>
      <c r="B69">
        <v>21</v>
      </c>
      <c r="C69">
        <v>12.488055555555555</v>
      </c>
      <c r="D69">
        <v>6.3327777777777774</v>
      </c>
      <c r="E69">
        <f t="shared" si="1"/>
        <v>0.62440277777777775</v>
      </c>
      <c r="F69">
        <f t="shared" si="1"/>
        <v>0.31663888888888886</v>
      </c>
    </row>
    <row r="70" spans="1:6" x14ac:dyDescent="0.25">
      <c r="A70">
        <v>1069</v>
      </c>
      <c r="B70">
        <v>21</v>
      </c>
      <c r="C70">
        <v>12.360000000000001</v>
      </c>
      <c r="D70">
        <v>11.49</v>
      </c>
      <c r="E70">
        <f t="shared" si="1"/>
        <v>0.6180000000000001</v>
      </c>
      <c r="F70">
        <f t="shared" si="1"/>
        <v>0.57450000000000001</v>
      </c>
    </row>
    <row r="71" spans="1:6" x14ac:dyDescent="0.25">
      <c r="A71">
        <v>1070</v>
      </c>
      <c r="B71">
        <v>18</v>
      </c>
      <c r="C71">
        <v>12.159444444444444</v>
      </c>
      <c r="D71">
        <v>3.415</v>
      </c>
      <c r="E71">
        <f t="shared" si="1"/>
        <v>0.60797222222222225</v>
      </c>
      <c r="F71">
        <f t="shared" si="1"/>
        <v>0.17075000000000001</v>
      </c>
    </row>
    <row r="72" spans="1:6" x14ac:dyDescent="0.25">
      <c r="A72">
        <v>1071</v>
      </c>
      <c r="B72">
        <v>21</v>
      </c>
      <c r="C72">
        <v>12.039722222222222</v>
      </c>
      <c r="D72">
        <v>11.839722222222223</v>
      </c>
      <c r="E72">
        <f t="shared" si="1"/>
        <v>0.60198611111111111</v>
      </c>
      <c r="F72">
        <f t="shared" si="1"/>
        <v>0.5919861111111111</v>
      </c>
    </row>
    <row r="73" spans="1:6" x14ac:dyDescent="0.25">
      <c r="A73">
        <v>1072</v>
      </c>
      <c r="B73">
        <v>21</v>
      </c>
      <c r="C73">
        <v>12.018333333333334</v>
      </c>
      <c r="D73">
        <v>11.49</v>
      </c>
      <c r="E73">
        <f t="shared" si="1"/>
        <v>0.60091666666666677</v>
      </c>
      <c r="F73">
        <f t="shared" si="1"/>
        <v>0.57450000000000001</v>
      </c>
    </row>
    <row r="74" spans="1:6" x14ac:dyDescent="0.25">
      <c r="A74">
        <v>1073</v>
      </c>
      <c r="B74">
        <v>21</v>
      </c>
      <c r="C74">
        <v>12.013611111111112</v>
      </c>
      <c r="D74">
        <v>3.9138888888888892</v>
      </c>
      <c r="E74">
        <f t="shared" si="1"/>
        <v>0.60068055555555566</v>
      </c>
      <c r="F74">
        <f t="shared" si="1"/>
        <v>0.19569444444444445</v>
      </c>
    </row>
    <row r="75" spans="1:6" x14ac:dyDescent="0.25">
      <c r="A75">
        <v>1074</v>
      </c>
      <c r="B75">
        <v>21</v>
      </c>
      <c r="C75">
        <v>12.000555555555556</v>
      </c>
      <c r="D75">
        <v>10.833055555555555</v>
      </c>
      <c r="E75">
        <f t="shared" si="1"/>
        <v>0.60002777777777783</v>
      </c>
      <c r="F75">
        <f t="shared" si="1"/>
        <v>0.54165277777777776</v>
      </c>
    </row>
    <row r="76" spans="1:6" x14ac:dyDescent="0.25">
      <c r="A76">
        <v>1075</v>
      </c>
      <c r="B76">
        <v>21</v>
      </c>
      <c r="C76">
        <v>11.977499999999999</v>
      </c>
      <c r="D76">
        <v>2.0219444444444443</v>
      </c>
      <c r="E76">
        <f t="shared" si="1"/>
        <v>0.59887499999999994</v>
      </c>
      <c r="F76">
        <f t="shared" si="1"/>
        <v>0.10109722222222221</v>
      </c>
    </row>
    <row r="77" spans="1:6" x14ac:dyDescent="0.25">
      <c r="A77">
        <v>1076</v>
      </c>
      <c r="B77">
        <v>21</v>
      </c>
      <c r="C77">
        <v>11.971388888888889</v>
      </c>
      <c r="D77">
        <v>11.67</v>
      </c>
      <c r="E77">
        <f t="shared" si="1"/>
        <v>0.59856944444444449</v>
      </c>
      <c r="F77">
        <f t="shared" si="1"/>
        <v>0.58350000000000002</v>
      </c>
    </row>
    <row r="78" spans="1:6" x14ac:dyDescent="0.25">
      <c r="A78">
        <v>1077</v>
      </c>
      <c r="B78">
        <v>21</v>
      </c>
      <c r="C78">
        <v>11.952499999999999</v>
      </c>
      <c r="D78">
        <v>11.331666666666667</v>
      </c>
      <c r="E78">
        <f t="shared" si="1"/>
        <v>0.59762499999999996</v>
      </c>
      <c r="F78">
        <f t="shared" si="1"/>
        <v>0.56658333333333333</v>
      </c>
    </row>
    <row r="79" spans="1:6" x14ac:dyDescent="0.25">
      <c r="A79">
        <v>1078</v>
      </c>
      <c r="B79">
        <v>21</v>
      </c>
      <c r="C79">
        <v>11.934722222222224</v>
      </c>
      <c r="D79">
        <v>11.746388888888889</v>
      </c>
      <c r="E79">
        <f t="shared" si="1"/>
        <v>0.59673611111111113</v>
      </c>
      <c r="F79">
        <f t="shared" si="1"/>
        <v>0.58731944444444451</v>
      </c>
    </row>
    <row r="80" spans="1:6" x14ac:dyDescent="0.25">
      <c r="A80">
        <v>1079</v>
      </c>
      <c r="B80">
        <v>21</v>
      </c>
      <c r="C80">
        <v>11.928333333333335</v>
      </c>
      <c r="D80">
        <v>11.525833333333333</v>
      </c>
      <c r="E80">
        <f t="shared" si="1"/>
        <v>0.59641666666666671</v>
      </c>
      <c r="F80">
        <f t="shared" si="1"/>
        <v>0.57629166666666665</v>
      </c>
    </row>
    <row r="81" spans="1:6" x14ac:dyDescent="0.25">
      <c r="A81">
        <v>1080</v>
      </c>
      <c r="B81">
        <v>21</v>
      </c>
      <c r="C81">
        <v>11.487500000000001</v>
      </c>
      <c r="D81">
        <v>3.8386111111111112</v>
      </c>
      <c r="E81">
        <f t="shared" si="1"/>
        <v>0.57437500000000008</v>
      </c>
      <c r="F81">
        <f t="shared" si="1"/>
        <v>0.19193055555555555</v>
      </c>
    </row>
    <row r="82" spans="1:6" x14ac:dyDescent="0.25">
      <c r="A82">
        <v>1081</v>
      </c>
      <c r="B82">
        <v>20</v>
      </c>
      <c r="C82">
        <v>11.156388888888889</v>
      </c>
      <c r="D82">
        <v>10.673333333333334</v>
      </c>
      <c r="E82">
        <f t="shared" si="1"/>
        <v>0.55781944444444442</v>
      </c>
      <c r="F82">
        <f t="shared" si="1"/>
        <v>0.53366666666666673</v>
      </c>
    </row>
    <row r="83" spans="1:6" x14ac:dyDescent="0.25">
      <c r="A83">
        <v>1082</v>
      </c>
      <c r="B83">
        <v>26</v>
      </c>
      <c r="C83">
        <v>11.110833333333334</v>
      </c>
      <c r="D83">
        <v>1.5388888888888888</v>
      </c>
      <c r="E83">
        <f t="shared" si="1"/>
        <v>0.55554166666666671</v>
      </c>
      <c r="F83">
        <f t="shared" si="1"/>
        <v>7.694444444444444E-2</v>
      </c>
    </row>
    <row r="84" spans="1:6" x14ac:dyDescent="0.25">
      <c r="A84">
        <v>1083</v>
      </c>
      <c r="B84">
        <v>21</v>
      </c>
      <c r="C84">
        <v>10.985833333333334</v>
      </c>
      <c r="D84">
        <v>10.878888888888889</v>
      </c>
      <c r="E84">
        <f t="shared" si="1"/>
        <v>0.54929166666666673</v>
      </c>
      <c r="F84">
        <f t="shared" si="1"/>
        <v>0.54394444444444445</v>
      </c>
    </row>
    <row r="85" spans="1:6" x14ac:dyDescent="0.25">
      <c r="A85">
        <v>1084</v>
      </c>
      <c r="B85">
        <v>21</v>
      </c>
      <c r="C85">
        <v>10.947777777777778</v>
      </c>
      <c r="D85">
        <v>10.466111111111111</v>
      </c>
      <c r="E85">
        <f t="shared" si="1"/>
        <v>0.54738888888888892</v>
      </c>
      <c r="F85">
        <f t="shared" si="1"/>
        <v>0.52330555555555558</v>
      </c>
    </row>
    <row r="86" spans="1:6" x14ac:dyDescent="0.25">
      <c r="A86">
        <v>1085</v>
      </c>
      <c r="B86">
        <v>21</v>
      </c>
      <c r="C86">
        <v>10.903611111111111</v>
      </c>
      <c r="D86">
        <v>9.9505555555555549</v>
      </c>
      <c r="E86">
        <f t="shared" si="1"/>
        <v>0.54518055555555556</v>
      </c>
      <c r="F86">
        <f t="shared" si="1"/>
        <v>0.49752777777777774</v>
      </c>
    </row>
    <row r="87" spans="1:6" x14ac:dyDescent="0.25">
      <c r="A87">
        <v>1086</v>
      </c>
      <c r="B87">
        <v>21</v>
      </c>
      <c r="C87">
        <v>10.822222222222223</v>
      </c>
      <c r="D87">
        <v>7.3030555555555559</v>
      </c>
      <c r="E87">
        <f t="shared" si="1"/>
        <v>0.5411111111111111</v>
      </c>
      <c r="F87">
        <f t="shared" si="1"/>
        <v>0.36515277777777777</v>
      </c>
    </row>
    <row r="88" spans="1:6" x14ac:dyDescent="0.25">
      <c r="A88">
        <v>1087</v>
      </c>
      <c r="B88">
        <v>21</v>
      </c>
      <c r="C88">
        <v>10.542499999999999</v>
      </c>
      <c r="D88">
        <v>6.7683333333333335</v>
      </c>
      <c r="E88">
        <f t="shared" si="1"/>
        <v>0.52712499999999995</v>
      </c>
      <c r="F88">
        <f t="shared" si="1"/>
        <v>0.3384166666666667</v>
      </c>
    </row>
    <row r="89" spans="1:6" x14ac:dyDescent="0.25">
      <c r="A89">
        <v>1088</v>
      </c>
      <c r="B89">
        <v>21</v>
      </c>
      <c r="C89">
        <v>10.185</v>
      </c>
      <c r="D89">
        <v>9.6852777777777774</v>
      </c>
      <c r="E89">
        <f t="shared" si="1"/>
        <v>0.50924999999999998</v>
      </c>
      <c r="F89">
        <f t="shared" si="1"/>
        <v>0.48426388888888888</v>
      </c>
    </row>
    <row r="90" spans="1:6" x14ac:dyDescent="0.25">
      <c r="A90">
        <v>1089</v>
      </c>
      <c r="B90">
        <v>21</v>
      </c>
      <c r="C90">
        <v>10.044722222222221</v>
      </c>
      <c r="D90">
        <v>9.8602777777777781</v>
      </c>
      <c r="E90">
        <f t="shared" si="1"/>
        <v>0.50223611111111111</v>
      </c>
      <c r="F90">
        <f t="shared" si="1"/>
        <v>0.49301388888888892</v>
      </c>
    </row>
    <row r="91" spans="1:6" x14ac:dyDescent="0.25">
      <c r="A91">
        <v>1090</v>
      </c>
      <c r="B91">
        <v>21</v>
      </c>
      <c r="C91">
        <v>9.9636111111111116</v>
      </c>
      <c r="D91">
        <v>9.8394444444444442</v>
      </c>
      <c r="E91">
        <f t="shared" si="1"/>
        <v>0.49818055555555557</v>
      </c>
      <c r="F91">
        <f t="shared" si="1"/>
        <v>0.4919722222222222</v>
      </c>
    </row>
    <row r="92" spans="1:6" x14ac:dyDescent="0.25">
      <c r="A92">
        <v>1091</v>
      </c>
      <c r="B92">
        <v>21</v>
      </c>
      <c r="C92">
        <v>9.8333333333333339</v>
      </c>
      <c r="D92">
        <v>3.7133333333333334</v>
      </c>
      <c r="E92">
        <f t="shared" si="1"/>
        <v>0.4916666666666667</v>
      </c>
      <c r="F92">
        <f t="shared" si="1"/>
        <v>0.18566666666666667</v>
      </c>
    </row>
    <row r="93" spans="1:6" x14ac:dyDescent="0.25">
      <c r="A93">
        <v>1092</v>
      </c>
      <c r="B93">
        <v>21</v>
      </c>
      <c r="C93">
        <v>9.6216666666666661</v>
      </c>
      <c r="D93">
        <v>6.9644444444444442</v>
      </c>
      <c r="E93">
        <f t="shared" si="1"/>
        <v>0.48108333333333331</v>
      </c>
      <c r="F93">
        <f t="shared" si="1"/>
        <v>0.34822222222222221</v>
      </c>
    </row>
    <row r="94" spans="1:6" x14ac:dyDescent="0.25">
      <c r="A94">
        <v>1093</v>
      </c>
      <c r="B94">
        <v>21</v>
      </c>
      <c r="C94">
        <v>9.2819444444444432</v>
      </c>
      <c r="D94">
        <v>2.9530555555555558</v>
      </c>
      <c r="E94">
        <f t="shared" si="1"/>
        <v>0.46409722222222216</v>
      </c>
      <c r="F94">
        <f t="shared" si="1"/>
        <v>0.1476527777777778</v>
      </c>
    </row>
    <row r="95" spans="1:6" x14ac:dyDescent="0.25">
      <c r="A95">
        <v>1094</v>
      </c>
      <c r="B95">
        <v>21</v>
      </c>
      <c r="C95">
        <v>8.9563888888888883</v>
      </c>
      <c r="D95">
        <v>8.7480555555555561</v>
      </c>
      <c r="E95">
        <f t="shared" si="1"/>
        <v>0.44781944444444444</v>
      </c>
      <c r="F95">
        <f t="shared" si="1"/>
        <v>0.43740277777777781</v>
      </c>
    </row>
    <row r="96" spans="1:6" x14ac:dyDescent="0.25">
      <c r="A96">
        <v>1095</v>
      </c>
      <c r="B96">
        <v>21</v>
      </c>
      <c r="C96">
        <v>8.3436111111111106</v>
      </c>
      <c r="D96">
        <v>3.2744444444444443</v>
      </c>
      <c r="E96">
        <f t="shared" si="1"/>
        <v>0.41718055555555555</v>
      </c>
      <c r="F96">
        <f t="shared" si="1"/>
        <v>0.16372222222222221</v>
      </c>
    </row>
    <row r="97" spans="1:6" x14ac:dyDescent="0.25">
      <c r="A97">
        <v>1096</v>
      </c>
      <c r="B97">
        <v>21</v>
      </c>
      <c r="C97">
        <v>7.9722222222222223</v>
      </c>
      <c r="D97">
        <v>7.8627777777777776</v>
      </c>
      <c r="E97">
        <f t="shared" si="1"/>
        <v>0.39861111111111114</v>
      </c>
      <c r="F97">
        <f t="shared" si="1"/>
        <v>0.39313888888888887</v>
      </c>
    </row>
    <row r="98" spans="1:6" x14ac:dyDescent="0.25">
      <c r="A98">
        <v>1098</v>
      </c>
      <c r="B98">
        <v>21</v>
      </c>
      <c r="C98">
        <v>7.9191666666666665</v>
      </c>
      <c r="D98">
        <v>4.5241666666666669</v>
      </c>
      <c r="E98">
        <f t="shared" si="1"/>
        <v>0.3959583333333333</v>
      </c>
      <c r="F98">
        <f t="shared" si="1"/>
        <v>0.22620833333333334</v>
      </c>
    </row>
    <row r="99" spans="1:6" x14ac:dyDescent="0.25">
      <c r="A99">
        <v>1099</v>
      </c>
      <c r="B99">
        <v>21</v>
      </c>
      <c r="C99">
        <v>7.6975000000000007</v>
      </c>
      <c r="D99">
        <v>2.4655555555555555</v>
      </c>
      <c r="E99">
        <f t="shared" si="1"/>
        <v>0.38487500000000002</v>
      </c>
      <c r="F99">
        <f t="shared" si="1"/>
        <v>0.12327777777777778</v>
      </c>
    </row>
    <row r="100" spans="1:6" x14ac:dyDescent="0.25">
      <c r="A100">
        <v>1100</v>
      </c>
      <c r="B100">
        <v>21</v>
      </c>
      <c r="C100">
        <v>7.6661111111111104</v>
      </c>
      <c r="D100">
        <v>2.6622222222222218</v>
      </c>
      <c r="E100">
        <f t="shared" si="1"/>
        <v>0.38330555555555551</v>
      </c>
      <c r="F100">
        <f t="shared" si="1"/>
        <v>0.1331111111111111</v>
      </c>
    </row>
    <row r="101" spans="1:6" x14ac:dyDescent="0.25">
      <c r="A101">
        <v>1101</v>
      </c>
      <c r="B101">
        <v>21</v>
      </c>
      <c r="C101">
        <v>7.5938888888888885</v>
      </c>
      <c r="D101">
        <v>3.7744444444444443</v>
      </c>
      <c r="E101">
        <f t="shared" si="1"/>
        <v>0.37969444444444445</v>
      </c>
      <c r="F101">
        <f t="shared" si="1"/>
        <v>0.18872222222222221</v>
      </c>
    </row>
    <row r="102" spans="1:6" x14ac:dyDescent="0.25">
      <c r="A102">
        <v>1102</v>
      </c>
      <c r="B102">
        <v>13</v>
      </c>
      <c r="C102">
        <v>7.471111111111111</v>
      </c>
      <c r="D102">
        <v>2.0644444444444443</v>
      </c>
      <c r="E102">
        <f t="shared" si="1"/>
        <v>0.37355555555555553</v>
      </c>
      <c r="F102">
        <f t="shared" si="1"/>
        <v>0.10322222222222222</v>
      </c>
    </row>
    <row r="103" spans="1:6" x14ac:dyDescent="0.25">
      <c r="A103">
        <v>1103</v>
      </c>
      <c r="B103">
        <v>21</v>
      </c>
      <c r="C103">
        <v>6.6680555555555552</v>
      </c>
      <c r="D103">
        <v>5.4588888888888896</v>
      </c>
      <c r="E103">
        <f t="shared" si="1"/>
        <v>0.33340277777777777</v>
      </c>
      <c r="F103">
        <f t="shared" si="1"/>
        <v>0.27294444444444449</v>
      </c>
    </row>
    <row r="104" spans="1:6" x14ac:dyDescent="0.25">
      <c r="A104">
        <v>1104</v>
      </c>
      <c r="B104">
        <v>4</v>
      </c>
      <c r="C104">
        <v>6.1924999999999999</v>
      </c>
      <c r="D104">
        <v>1.6327777777777779</v>
      </c>
      <c r="E104">
        <f t="shared" si="1"/>
        <v>0.30962499999999998</v>
      </c>
      <c r="F104">
        <f t="shared" si="1"/>
        <v>8.16388888888889E-2</v>
      </c>
    </row>
    <row r="105" spans="1:6" x14ac:dyDescent="0.25">
      <c r="A105">
        <v>1105</v>
      </c>
      <c r="B105">
        <v>10</v>
      </c>
      <c r="C105">
        <v>6.1572222222222219</v>
      </c>
      <c r="D105">
        <v>0.95277777777777772</v>
      </c>
      <c r="E105">
        <f t="shared" si="1"/>
        <v>0.30786111111111109</v>
      </c>
      <c r="F105">
        <f t="shared" si="1"/>
        <v>4.7638888888888883E-2</v>
      </c>
    </row>
    <row r="106" spans="1:6" x14ac:dyDescent="0.25">
      <c r="A106">
        <v>1106</v>
      </c>
      <c r="B106">
        <v>1</v>
      </c>
      <c r="C106">
        <v>5.6333333333333337</v>
      </c>
      <c r="D106">
        <v>5.6333333333333337</v>
      </c>
      <c r="E106">
        <f t="shared" si="1"/>
        <v>0.28166666666666668</v>
      </c>
      <c r="F106">
        <f t="shared" si="1"/>
        <v>0.28166666666666668</v>
      </c>
    </row>
    <row r="107" spans="1:6" x14ac:dyDescent="0.25">
      <c r="A107">
        <v>1107</v>
      </c>
      <c r="B107">
        <v>21</v>
      </c>
      <c r="C107">
        <v>4.8055555555555554</v>
      </c>
      <c r="D107">
        <v>3.3463888888888889</v>
      </c>
      <c r="E107">
        <f t="shared" si="1"/>
        <v>0.24027777777777776</v>
      </c>
      <c r="F107">
        <f t="shared" si="1"/>
        <v>0.16731944444444444</v>
      </c>
    </row>
    <row r="108" spans="1:6" x14ac:dyDescent="0.25">
      <c r="A108">
        <v>1108</v>
      </c>
      <c r="B108">
        <v>8</v>
      </c>
      <c r="C108">
        <v>4.7774999999999999</v>
      </c>
      <c r="D108">
        <v>2.0499999999999998</v>
      </c>
      <c r="E108">
        <f t="shared" si="1"/>
        <v>0.238875</v>
      </c>
      <c r="F108">
        <f t="shared" si="1"/>
        <v>0.10249999999999999</v>
      </c>
    </row>
    <row r="109" spans="1:6" x14ac:dyDescent="0.25">
      <c r="A109">
        <v>1109</v>
      </c>
      <c r="B109">
        <v>31</v>
      </c>
      <c r="C109">
        <v>4.490277777777778</v>
      </c>
      <c r="D109">
        <v>4.1524999999999999</v>
      </c>
      <c r="E109">
        <f t="shared" si="1"/>
        <v>0.2245138888888889</v>
      </c>
      <c r="F109">
        <f t="shared" si="1"/>
        <v>0.207625</v>
      </c>
    </row>
    <row r="110" spans="1:6" x14ac:dyDescent="0.25">
      <c r="A110">
        <v>1110</v>
      </c>
      <c r="B110">
        <v>21</v>
      </c>
      <c r="C110">
        <v>4.432777777777777</v>
      </c>
      <c r="D110">
        <v>1.1111111111111112</v>
      </c>
      <c r="E110">
        <f t="shared" si="1"/>
        <v>0.22163888888888886</v>
      </c>
      <c r="F110">
        <f t="shared" si="1"/>
        <v>5.5555555555555559E-2</v>
      </c>
    </row>
    <row r="111" spans="1:6" x14ac:dyDescent="0.25">
      <c r="A111">
        <v>1111</v>
      </c>
      <c r="B111">
        <v>21</v>
      </c>
      <c r="C111">
        <v>3.3480555555555553</v>
      </c>
      <c r="D111">
        <v>0.36638888888888893</v>
      </c>
      <c r="E111">
        <f t="shared" si="1"/>
        <v>0.16740277777777776</v>
      </c>
      <c r="F111">
        <f t="shared" si="1"/>
        <v>1.8319444444444447E-2</v>
      </c>
    </row>
    <row r="112" spans="1:6" x14ac:dyDescent="0.25">
      <c r="A112">
        <v>1112</v>
      </c>
      <c r="B112">
        <v>21</v>
      </c>
      <c r="C112">
        <v>3.0474999999999999</v>
      </c>
      <c r="D112">
        <v>2.7991666666666664</v>
      </c>
      <c r="E112">
        <f t="shared" si="1"/>
        <v>0.15237499999999998</v>
      </c>
      <c r="F112">
        <f t="shared" si="1"/>
        <v>0.13995833333333332</v>
      </c>
    </row>
    <row r="113" spans="1:6" x14ac:dyDescent="0.25">
      <c r="A113">
        <v>1113</v>
      </c>
      <c r="B113">
        <v>21</v>
      </c>
      <c r="C113">
        <v>2.7213888888888889</v>
      </c>
      <c r="D113">
        <v>1.6886111111111111</v>
      </c>
      <c r="E113">
        <f t="shared" si="1"/>
        <v>0.13606944444444444</v>
      </c>
      <c r="F113">
        <f t="shared" si="1"/>
        <v>8.443055555555555E-2</v>
      </c>
    </row>
    <row r="114" spans="1:6" x14ac:dyDescent="0.25">
      <c r="A114">
        <v>1114</v>
      </c>
      <c r="B114">
        <v>21</v>
      </c>
      <c r="C114">
        <v>2.2088888888888887</v>
      </c>
      <c r="D114">
        <v>0.96083333333333332</v>
      </c>
      <c r="E114">
        <f t="shared" si="1"/>
        <v>0.11044444444444443</v>
      </c>
      <c r="F114">
        <f t="shared" si="1"/>
        <v>4.8041666666666663E-2</v>
      </c>
    </row>
    <row r="115" spans="1:6" x14ac:dyDescent="0.25">
      <c r="A115">
        <v>1115</v>
      </c>
      <c r="B115">
        <v>21</v>
      </c>
      <c r="C115">
        <v>2.1591666666666667</v>
      </c>
      <c r="D115">
        <v>0.84833333333333327</v>
      </c>
      <c r="E115">
        <f t="shared" si="1"/>
        <v>0.10795833333333334</v>
      </c>
      <c r="F115">
        <f t="shared" si="1"/>
        <v>4.2416666666666665E-2</v>
      </c>
    </row>
    <row r="116" spans="1:6" x14ac:dyDescent="0.25">
      <c r="A116">
        <v>1116</v>
      </c>
      <c r="B116">
        <v>2</v>
      </c>
      <c r="C116">
        <v>2.0013888888888887</v>
      </c>
      <c r="D116">
        <v>1.0183333333333333</v>
      </c>
      <c r="E116">
        <f t="shared" si="1"/>
        <v>0.10006944444444443</v>
      </c>
      <c r="F116">
        <f t="shared" si="1"/>
        <v>5.0916666666666666E-2</v>
      </c>
    </row>
    <row r="117" spans="1:6" x14ac:dyDescent="0.25">
      <c r="A117">
        <v>1117</v>
      </c>
      <c r="B117">
        <v>21</v>
      </c>
      <c r="C117">
        <v>1.97</v>
      </c>
      <c r="D117">
        <v>0.34166666666666667</v>
      </c>
      <c r="E117">
        <f t="shared" si="1"/>
        <v>9.8500000000000004E-2</v>
      </c>
      <c r="F117">
        <f t="shared" si="1"/>
        <v>1.7083333333333332E-2</v>
      </c>
    </row>
    <row r="118" spans="1:6" x14ac:dyDescent="0.25">
      <c r="A118">
        <v>1118</v>
      </c>
      <c r="B118">
        <v>21</v>
      </c>
      <c r="C118">
        <v>1.723888888888889</v>
      </c>
      <c r="D118">
        <v>1.4316666666666669</v>
      </c>
      <c r="E118">
        <f t="shared" si="1"/>
        <v>8.6194444444444449E-2</v>
      </c>
      <c r="F118">
        <f t="shared" si="1"/>
        <v>7.1583333333333346E-2</v>
      </c>
    </row>
    <row r="119" spans="1:6" x14ac:dyDescent="0.25">
      <c r="A119">
        <v>1119</v>
      </c>
      <c r="B119">
        <v>3</v>
      </c>
      <c r="C119">
        <v>1.5347222222222221</v>
      </c>
      <c r="D119">
        <v>0.56583333333333341</v>
      </c>
      <c r="E119">
        <f t="shared" si="1"/>
        <v>7.6736111111111102E-2</v>
      </c>
      <c r="F119">
        <f t="shared" si="1"/>
        <v>2.829166666666667E-2</v>
      </c>
    </row>
    <row r="120" spans="1:6" x14ac:dyDescent="0.25">
      <c r="A120">
        <v>1120</v>
      </c>
      <c r="B120">
        <v>21</v>
      </c>
      <c r="C120">
        <v>1.4227777777777777</v>
      </c>
      <c r="D120">
        <v>1.0480555555555555</v>
      </c>
      <c r="E120">
        <f t="shared" si="1"/>
        <v>7.113888888888889E-2</v>
      </c>
      <c r="F120">
        <f t="shared" si="1"/>
        <v>5.2402777777777777E-2</v>
      </c>
    </row>
    <row r="121" spans="1:6" x14ac:dyDescent="0.25">
      <c r="A121">
        <v>1121</v>
      </c>
      <c r="B121">
        <v>20</v>
      </c>
      <c r="C121">
        <v>1.2191666666666667</v>
      </c>
      <c r="D121">
        <v>0.31722222222222224</v>
      </c>
      <c r="E121">
        <f t="shared" si="1"/>
        <v>6.0958333333333337E-2</v>
      </c>
      <c r="F121">
        <f t="shared" si="1"/>
        <v>1.5861111111111111E-2</v>
      </c>
    </row>
    <row r="122" spans="1:6" x14ac:dyDescent="0.25">
      <c r="A122">
        <v>1122</v>
      </c>
      <c r="B122">
        <v>7</v>
      </c>
      <c r="C122">
        <v>1.1880555555555554</v>
      </c>
      <c r="D122">
        <v>0.69666666666666666</v>
      </c>
      <c r="E122">
        <f t="shared" si="1"/>
        <v>5.940277777777777E-2</v>
      </c>
      <c r="F122">
        <f t="shared" si="1"/>
        <v>3.4833333333333334E-2</v>
      </c>
    </row>
    <row r="123" spans="1:6" x14ac:dyDescent="0.25">
      <c r="A123">
        <v>1123</v>
      </c>
      <c r="B123">
        <v>21</v>
      </c>
      <c r="C123">
        <v>0.95583333333333331</v>
      </c>
      <c r="D123">
        <v>0.23499999999999999</v>
      </c>
      <c r="E123">
        <f t="shared" si="1"/>
        <v>4.7791666666666663E-2</v>
      </c>
      <c r="F123">
        <f t="shared" si="1"/>
        <v>1.175E-2</v>
      </c>
    </row>
    <row r="124" spans="1:6" x14ac:dyDescent="0.25">
      <c r="A124">
        <v>1124</v>
      </c>
      <c r="B124">
        <v>21</v>
      </c>
      <c r="C124">
        <v>0.9458333333333333</v>
      </c>
      <c r="D124">
        <v>0.82666666666666666</v>
      </c>
      <c r="E124">
        <f t="shared" si="1"/>
        <v>4.7291666666666662E-2</v>
      </c>
      <c r="F124">
        <f t="shared" si="1"/>
        <v>4.1333333333333333E-2</v>
      </c>
    </row>
    <row r="125" spans="1:6" x14ac:dyDescent="0.25">
      <c r="A125">
        <v>1125</v>
      </c>
      <c r="B125">
        <v>14</v>
      </c>
      <c r="C125">
        <v>0.8536111111111111</v>
      </c>
      <c r="D125">
        <v>0.25472222222222224</v>
      </c>
      <c r="E125">
        <f t="shared" si="1"/>
        <v>4.2680555555555555E-2</v>
      </c>
      <c r="F125">
        <f t="shared" si="1"/>
        <v>1.2736111111111111E-2</v>
      </c>
    </row>
    <row r="126" spans="1:6" x14ac:dyDescent="0.25">
      <c r="A126">
        <v>1126</v>
      </c>
      <c r="B126">
        <v>7</v>
      </c>
      <c r="C126">
        <v>0.84583333333333333</v>
      </c>
      <c r="D126">
        <v>0.26500000000000001</v>
      </c>
      <c r="E126">
        <f t="shared" si="1"/>
        <v>4.2291666666666665E-2</v>
      </c>
      <c r="F126">
        <f t="shared" si="1"/>
        <v>1.3250000000000001E-2</v>
      </c>
    </row>
    <row r="127" spans="1:6" x14ac:dyDescent="0.25">
      <c r="A127">
        <v>1127</v>
      </c>
      <c r="B127">
        <v>21</v>
      </c>
      <c r="C127">
        <v>0.83194444444444438</v>
      </c>
      <c r="D127">
        <v>0.51472222222222219</v>
      </c>
      <c r="E127">
        <f t="shared" si="1"/>
        <v>4.1597222222222216E-2</v>
      </c>
      <c r="F127">
        <f t="shared" si="1"/>
        <v>2.5736111111111109E-2</v>
      </c>
    </row>
    <row r="128" spans="1:6" x14ac:dyDescent="0.25">
      <c r="A128">
        <v>1128</v>
      </c>
      <c r="B128">
        <v>21</v>
      </c>
      <c r="C128">
        <v>0.72166666666666657</v>
      </c>
      <c r="D128">
        <v>0.47527777777777774</v>
      </c>
      <c r="E128">
        <f t="shared" si="1"/>
        <v>3.6083333333333328E-2</v>
      </c>
      <c r="F128">
        <f t="shared" si="1"/>
        <v>2.3763888888888886E-2</v>
      </c>
    </row>
    <row r="129" spans="1:6" x14ac:dyDescent="0.25">
      <c r="A129">
        <v>1129</v>
      </c>
      <c r="B129">
        <v>7</v>
      </c>
      <c r="C129">
        <v>0.70944444444444454</v>
      </c>
      <c r="D129">
        <v>0.25833333333333336</v>
      </c>
      <c r="E129">
        <f t="shared" si="1"/>
        <v>3.5472222222222224E-2</v>
      </c>
      <c r="F129">
        <f t="shared" si="1"/>
        <v>1.2916666666666668E-2</v>
      </c>
    </row>
    <row r="130" spans="1:6" x14ac:dyDescent="0.25">
      <c r="A130">
        <v>1130</v>
      </c>
      <c r="B130">
        <v>21</v>
      </c>
      <c r="C130">
        <v>0.70333333333333337</v>
      </c>
      <c r="D130">
        <v>0.4186111111111111</v>
      </c>
      <c r="E130">
        <f t="shared" si="1"/>
        <v>3.5166666666666666E-2</v>
      </c>
      <c r="F130">
        <f t="shared" si="1"/>
        <v>2.0930555555555556E-2</v>
      </c>
    </row>
    <row r="131" spans="1:6" x14ac:dyDescent="0.25">
      <c r="A131">
        <v>1131</v>
      </c>
      <c r="B131">
        <v>1</v>
      </c>
      <c r="C131">
        <v>0.66916666666666669</v>
      </c>
      <c r="D131">
        <v>0.66916666666666669</v>
      </c>
      <c r="E131">
        <f t="shared" ref="E131:F158" si="2">+C131/20</f>
        <v>3.3458333333333333E-2</v>
      </c>
      <c r="F131">
        <f t="shared" si="2"/>
        <v>3.3458333333333333E-2</v>
      </c>
    </row>
    <row r="132" spans="1:6" x14ac:dyDescent="0.25">
      <c r="A132">
        <v>1132</v>
      </c>
      <c r="B132">
        <v>21</v>
      </c>
      <c r="C132">
        <v>0.52638888888888891</v>
      </c>
      <c r="D132">
        <v>0.32666666666666672</v>
      </c>
      <c r="E132">
        <f t="shared" si="2"/>
        <v>2.6319444444444444E-2</v>
      </c>
      <c r="F132">
        <f t="shared" si="2"/>
        <v>1.6333333333333335E-2</v>
      </c>
    </row>
    <row r="133" spans="1:6" x14ac:dyDescent="0.25">
      <c r="A133">
        <v>1133</v>
      </c>
      <c r="B133">
        <v>21</v>
      </c>
      <c r="C133">
        <v>0.48472222222222222</v>
      </c>
      <c r="D133">
        <v>0.21916666666666668</v>
      </c>
      <c r="E133">
        <f t="shared" si="2"/>
        <v>2.4236111111111111E-2</v>
      </c>
      <c r="F133">
        <f t="shared" si="2"/>
        <v>1.0958333333333334E-2</v>
      </c>
    </row>
    <row r="134" spans="1:6" x14ac:dyDescent="0.25">
      <c r="A134">
        <v>1135</v>
      </c>
      <c r="B134">
        <v>21</v>
      </c>
      <c r="C134">
        <v>0.46583333333333332</v>
      </c>
      <c r="D134">
        <v>0.23833333333333334</v>
      </c>
      <c r="E134">
        <f t="shared" si="2"/>
        <v>2.3291666666666665E-2</v>
      </c>
      <c r="F134">
        <f t="shared" si="2"/>
        <v>1.1916666666666667E-2</v>
      </c>
    </row>
    <row r="135" spans="1:6" x14ac:dyDescent="0.25">
      <c r="A135">
        <v>1138</v>
      </c>
      <c r="B135">
        <v>21</v>
      </c>
      <c r="C135">
        <v>0.39611111111111108</v>
      </c>
      <c r="D135">
        <v>0.14916666666666664</v>
      </c>
      <c r="E135">
        <f t="shared" si="2"/>
        <v>1.9805555555555555E-2</v>
      </c>
      <c r="F135">
        <f t="shared" si="2"/>
        <v>7.4583333333333324E-3</v>
      </c>
    </row>
    <row r="136" spans="1:6" x14ac:dyDescent="0.25">
      <c r="A136">
        <v>1139</v>
      </c>
      <c r="B136">
        <v>13</v>
      </c>
      <c r="C136">
        <v>0.35749999999999998</v>
      </c>
      <c r="D136">
        <v>0.18055555555555555</v>
      </c>
      <c r="E136">
        <f t="shared" si="2"/>
        <v>1.7874999999999999E-2</v>
      </c>
      <c r="F136">
        <f t="shared" si="2"/>
        <v>9.0277777777777769E-3</v>
      </c>
    </row>
    <row r="137" spans="1:6" x14ac:dyDescent="0.25">
      <c r="A137">
        <v>1140</v>
      </c>
      <c r="B137">
        <v>1</v>
      </c>
      <c r="C137">
        <v>0.24361111111111111</v>
      </c>
      <c r="D137">
        <v>0.24361111111111111</v>
      </c>
      <c r="E137">
        <f t="shared" si="2"/>
        <v>1.2180555555555556E-2</v>
      </c>
      <c r="F137">
        <f t="shared" si="2"/>
        <v>1.2180555555555556E-2</v>
      </c>
    </row>
    <row r="138" spans="1:6" x14ac:dyDescent="0.25">
      <c r="A138">
        <v>1141</v>
      </c>
      <c r="B138">
        <v>10</v>
      </c>
      <c r="C138">
        <v>0.22194444444444444</v>
      </c>
      <c r="D138">
        <v>0.11694444444444445</v>
      </c>
      <c r="E138">
        <f t="shared" si="2"/>
        <v>1.1097222222222222E-2</v>
      </c>
      <c r="F138">
        <f t="shared" si="2"/>
        <v>5.8472222222222224E-3</v>
      </c>
    </row>
    <row r="139" spans="1:6" x14ac:dyDescent="0.25">
      <c r="A139">
        <v>1142</v>
      </c>
      <c r="B139">
        <v>21</v>
      </c>
      <c r="C139">
        <v>0.19527777777777777</v>
      </c>
      <c r="D139">
        <v>4.4722222222222219E-2</v>
      </c>
      <c r="E139">
        <f t="shared" si="2"/>
        <v>9.7638888888888879E-3</v>
      </c>
      <c r="F139">
        <f t="shared" si="2"/>
        <v>2.236111111111111E-3</v>
      </c>
    </row>
    <row r="140" spans="1:6" x14ac:dyDescent="0.25">
      <c r="A140">
        <v>1143</v>
      </c>
      <c r="B140">
        <v>21</v>
      </c>
      <c r="C140">
        <v>0.19083333333333333</v>
      </c>
      <c r="D140">
        <v>0.14333333333333334</v>
      </c>
      <c r="E140">
        <f t="shared" si="2"/>
        <v>9.541666666666667E-3</v>
      </c>
      <c r="F140">
        <f t="shared" si="2"/>
        <v>7.1666666666666667E-3</v>
      </c>
    </row>
    <row r="141" spans="1:6" x14ac:dyDescent="0.25">
      <c r="A141">
        <v>1146</v>
      </c>
      <c r="B141">
        <v>9</v>
      </c>
      <c r="C141">
        <v>0.18583333333333335</v>
      </c>
      <c r="D141">
        <v>0.10638888888888889</v>
      </c>
      <c r="E141">
        <f t="shared" si="2"/>
        <v>9.2916666666666668E-3</v>
      </c>
      <c r="F141">
        <f t="shared" si="2"/>
        <v>5.3194444444444444E-3</v>
      </c>
    </row>
    <row r="142" spans="1:6" x14ac:dyDescent="0.25">
      <c r="A142">
        <v>1150</v>
      </c>
      <c r="B142">
        <v>2</v>
      </c>
      <c r="C142">
        <v>0.16916666666666666</v>
      </c>
      <c r="D142">
        <v>0.1602777777777778</v>
      </c>
      <c r="E142">
        <f t="shared" si="2"/>
        <v>8.4583333333333333E-3</v>
      </c>
      <c r="F142">
        <f t="shared" si="2"/>
        <v>8.0138888888888898E-3</v>
      </c>
    </row>
    <row r="143" spans="1:6" x14ac:dyDescent="0.25">
      <c r="A143">
        <v>1151</v>
      </c>
      <c r="B143">
        <v>1</v>
      </c>
      <c r="C143">
        <v>0.16250000000000001</v>
      </c>
      <c r="D143">
        <v>0.16250000000000001</v>
      </c>
      <c r="E143">
        <f t="shared" si="2"/>
        <v>8.1250000000000003E-3</v>
      </c>
      <c r="F143">
        <f t="shared" si="2"/>
        <v>8.1250000000000003E-3</v>
      </c>
    </row>
    <row r="144" spans="1:6" x14ac:dyDescent="0.25">
      <c r="A144">
        <v>1152</v>
      </c>
      <c r="B144">
        <v>21</v>
      </c>
      <c r="C144">
        <v>0.14277777777777778</v>
      </c>
      <c r="D144">
        <v>5.305555555555555E-2</v>
      </c>
      <c r="E144">
        <f t="shared" si="2"/>
        <v>7.1388888888888891E-3</v>
      </c>
      <c r="F144">
        <f t="shared" si="2"/>
        <v>2.6527777777777773E-3</v>
      </c>
    </row>
    <row r="145" spans="1:6" x14ac:dyDescent="0.25">
      <c r="A145">
        <v>1153</v>
      </c>
      <c r="B145">
        <v>21</v>
      </c>
      <c r="C145">
        <v>0.11944444444444445</v>
      </c>
      <c r="D145">
        <v>8.5555555555555565E-2</v>
      </c>
      <c r="E145">
        <f t="shared" si="2"/>
        <v>5.9722222222222225E-3</v>
      </c>
      <c r="F145">
        <f t="shared" si="2"/>
        <v>4.2777777777777779E-3</v>
      </c>
    </row>
    <row r="146" spans="1:6" x14ac:dyDescent="0.25">
      <c r="A146">
        <v>1154</v>
      </c>
      <c r="B146">
        <v>6</v>
      </c>
      <c r="C146">
        <v>0.11527777777777778</v>
      </c>
      <c r="D146">
        <v>9.4722222222222222E-2</v>
      </c>
      <c r="E146">
        <f t="shared" si="2"/>
        <v>5.7638888888888896E-3</v>
      </c>
      <c r="F146">
        <f t="shared" si="2"/>
        <v>4.7361111111111111E-3</v>
      </c>
    </row>
    <row r="147" spans="1:6" x14ac:dyDescent="0.25">
      <c r="A147">
        <v>1155</v>
      </c>
      <c r="B147">
        <v>1</v>
      </c>
      <c r="C147">
        <v>0.10527777777777778</v>
      </c>
      <c r="D147">
        <v>0.10527777777777778</v>
      </c>
      <c r="E147">
        <f t="shared" si="2"/>
        <v>5.2638888888888891E-3</v>
      </c>
      <c r="F147">
        <f t="shared" si="2"/>
        <v>5.2638888888888891E-3</v>
      </c>
    </row>
    <row r="148" spans="1:6" x14ac:dyDescent="0.25">
      <c r="A148">
        <v>1156</v>
      </c>
      <c r="B148">
        <v>1</v>
      </c>
      <c r="C148">
        <v>6.6666666666666666E-2</v>
      </c>
      <c r="D148">
        <v>6.6666666666666666E-2</v>
      </c>
      <c r="E148">
        <f t="shared" si="2"/>
        <v>3.3333333333333331E-3</v>
      </c>
      <c r="F148">
        <f t="shared" si="2"/>
        <v>3.3333333333333331E-3</v>
      </c>
    </row>
    <row r="149" spans="1:6" x14ac:dyDescent="0.25">
      <c r="A149">
        <v>1157</v>
      </c>
      <c r="B149">
        <v>2</v>
      </c>
      <c r="C149">
        <v>5.1111111111111114E-2</v>
      </c>
      <c r="D149">
        <v>3.5000000000000003E-2</v>
      </c>
      <c r="E149">
        <f t="shared" si="2"/>
        <v>2.5555555555555557E-3</v>
      </c>
      <c r="F149">
        <f t="shared" si="2"/>
        <v>1.7500000000000003E-3</v>
      </c>
    </row>
    <row r="150" spans="1:6" x14ac:dyDescent="0.25">
      <c r="A150">
        <v>1158</v>
      </c>
      <c r="B150">
        <v>1</v>
      </c>
      <c r="C150">
        <v>3.5833333333333335E-2</v>
      </c>
      <c r="D150">
        <v>3.5833333333333335E-2</v>
      </c>
      <c r="E150">
        <f t="shared" si="2"/>
        <v>1.7916666666666667E-3</v>
      </c>
      <c r="F150">
        <f t="shared" si="2"/>
        <v>1.7916666666666667E-3</v>
      </c>
    </row>
    <row r="151" spans="1:6" x14ac:dyDescent="0.25">
      <c r="A151">
        <v>1159</v>
      </c>
      <c r="B151">
        <v>3</v>
      </c>
      <c r="C151">
        <v>3.4166666666666665E-2</v>
      </c>
      <c r="D151">
        <v>2.0833333333333332E-2</v>
      </c>
      <c r="E151">
        <f t="shared" si="2"/>
        <v>1.7083333333333332E-3</v>
      </c>
      <c r="F151">
        <f t="shared" si="2"/>
        <v>1.0416666666666667E-3</v>
      </c>
    </row>
    <row r="152" spans="1:6" x14ac:dyDescent="0.25">
      <c r="A152">
        <v>1160</v>
      </c>
      <c r="B152">
        <v>2</v>
      </c>
      <c r="C152">
        <v>3.3333333333333333E-2</v>
      </c>
      <c r="D152">
        <v>3.111111111111111E-2</v>
      </c>
      <c r="E152">
        <f t="shared" si="2"/>
        <v>1.6666666666666666E-3</v>
      </c>
      <c r="F152">
        <f t="shared" si="2"/>
        <v>1.5555555555555555E-3</v>
      </c>
    </row>
    <row r="153" spans="1:6" x14ac:dyDescent="0.25">
      <c r="A153">
        <v>1161</v>
      </c>
      <c r="B153">
        <v>2</v>
      </c>
      <c r="C153">
        <v>2.9444444444444443E-2</v>
      </c>
      <c r="D153">
        <v>2.1388888888888891E-2</v>
      </c>
      <c r="E153">
        <f t="shared" si="2"/>
        <v>1.4722222222222222E-3</v>
      </c>
      <c r="F153">
        <f t="shared" si="2"/>
        <v>1.0694444444444445E-3</v>
      </c>
    </row>
    <row r="154" spans="1:6" x14ac:dyDescent="0.25">
      <c r="A154">
        <v>1162</v>
      </c>
      <c r="B154">
        <v>1</v>
      </c>
      <c r="C154">
        <v>2.3611111111111114E-2</v>
      </c>
      <c r="D154">
        <v>2.3611111111111114E-2</v>
      </c>
      <c r="E154">
        <f t="shared" si="2"/>
        <v>1.1805555555555558E-3</v>
      </c>
      <c r="F154">
        <f t="shared" si="2"/>
        <v>1.1805555555555558E-3</v>
      </c>
    </row>
    <row r="155" spans="1:6" x14ac:dyDescent="0.25">
      <c r="A155">
        <v>1163</v>
      </c>
      <c r="B155">
        <v>1</v>
      </c>
      <c r="C155">
        <v>2.0833333333333332E-2</v>
      </c>
      <c r="D155">
        <v>2.0833333333333332E-2</v>
      </c>
      <c r="E155">
        <f t="shared" si="2"/>
        <v>1.0416666666666667E-3</v>
      </c>
      <c r="F155">
        <f t="shared" si="2"/>
        <v>1.0416666666666667E-3</v>
      </c>
    </row>
    <row r="156" spans="1:6" x14ac:dyDescent="0.25">
      <c r="A156">
        <v>1164</v>
      </c>
      <c r="B156">
        <v>21</v>
      </c>
      <c r="C156">
        <v>1.7777777777777778E-2</v>
      </c>
      <c r="D156">
        <v>1.4444444444444446E-2</v>
      </c>
      <c r="E156">
        <f t="shared" si="2"/>
        <v>8.8888888888888893E-4</v>
      </c>
      <c r="F156">
        <f t="shared" si="2"/>
        <v>7.222222222222223E-4</v>
      </c>
    </row>
    <row r="157" spans="1:6" x14ac:dyDescent="0.25">
      <c r="A157">
        <v>1165</v>
      </c>
      <c r="B157">
        <v>1</v>
      </c>
      <c r="C157">
        <v>1.111111111111111E-2</v>
      </c>
      <c r="D157">
        <v>1.111111111111111E-2</v>
      </c>
      <c r="E157">
        <f t="shared" si="2"/>
        <v>5.5555555555555545E-4</v>
      </c>
      <c r="F157">
        <f t="shared" si="2"/>
        <v>5.5555555555555545E-4</v>
      </c>
    </row>
    <row r="158" spans="1:6" x14ac:dyDescent="0.25">
      <c r="A158">
        <v>1166</v>
      </c>
      <c r="B158">
        <v>1</v>
      </c>
      <c r="C158">
        <v>3.6111111111111114E-3</v>
      </c>
      <c r="D158">
        <v>3.6111111111111114E-3</v>
      </c>
      <c r="E158">
        <f t="shared" si="2"/>
        <v>1.8055555555555557E-4</v>
      </c>
      <c r="F158">
        <f t="shared" si="2"/>
        <v>1.8055555555555557E-4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2DD3-BBD6-4B99-9B2D-8B7096AF9B5A}">
  <dimension ref="A3:C194"/>
  <sheetViews>
    <sheetView workbookViewId="0">
      <selection activeCell="P10" sqref="P10"/>
    </sheetView>
  </sheetViews>
  <sheetFormatPr baseColWidth="10" defaultRowHeight="15" x14ac:dyDescent="0.25"/>
  <cols>
    <col min="1" max="1" width="22.42578125" bestFit="1" customWidth="1"/>
    <col min="2" max="2" width="32.85546875" bestFit="1" customWidth="1"/>
    <col min="3" max="3" width="34.5703125" bestFit="1" customWidth="1"/>
  </cols>
  <sheetData>
    <row r="3" spans="1:3" x14ac:dyDescent="0.25">
      <c r="A3" s="8" t="s">
        <v>24</v>
      </c>
      <c r="B3" t="s">
        <v>36</v>
      </c>
      <c r="C3" t="s">
        <v>31</v>
      </c>
    </row>
    <row r="4" spans="1:3" x14ac:dyDescent="0.25">
      <c r="A4" s="3">
        <v>1000</v>
      </c>
      <c r="B4">
        <v>8.4028534953703709</v>
      </c>
      <c r="C4">
        <v>7.4293338547175916</v>
      </c>
    </row>
    <row r="5" spans="1:3" x14ac:dyDescent="0.25">
      <c r="A5" s="3">
        <v>1001</v>
      </c>
      <c r="B5">
        <v>7.719691439814814</v>
      </c>
      <c r="C5">
        <v>4.7214781989821812</v>
      </c>
    </row>
    <row r="6" spans="1:3" x14ac:dyDescent="0.25">
      <c r="A6" s="3">
        <v>1002</v>
      </c>
      <c r="B6">
        <v>5.1156518263888895</v>
      </c>
      <c r="C6">
        <v>2.9760056041842931</v>
      </c>
    </row>
    <row r="7" spans="1:3" x14ac:dyDescent="0.25">
      <c r="A7" s="3">
        <v>1003</v>
      </c>
      <c r="B7">
        <v>5.0485384803240736</v>
      </c>
      <c r="C7">
        <v>4.6815400405953262</v>
      </c>
    </row>
    <row r="8" spans="1:3" x14ac:dyDescent="0.25">
      <c r="A8" s="3">
        <v>1004</v>
      </c>
      <c r="B8">
        <v>4.6143547326388896</v>
      </c>
      <c r="C8">
        <v>4.4708598975480855</v>
      </c>
    </row>
    <row r="9" spans="1:3" x14ac:dyDescent="0.25">
      <c r="A9" s="3">
        <v>1005</v>
      </c>
      <c r="B9">
        <v>4.1739290254629626</v>
      </c>
      <c r="C9">
        <v>3.5489363191654011</v>
      </c>
    </row>
    <row r="10" spans="1:3" x14ac:dyDescent="0.25">
      <c r="A10" s="3">
        <v>1006</v>
      </c>
      <c r="B10">
        <v>4.0083278379629625</v>
      </c>
      <c r="C10">
        <v>3.0637992372875336</v>
      </c>
    </row>
    <row r="11" spans="1:3" x14ac:dyDescent="0.25">
      <c r="A11" s="3">
        <v>1007</v>
      </c>
      <c r="B11">
        <v>3.8848004687500004</v>
      </c>
      <c r="C11">
        <v>2.3301886169859802</v>
      </c>
    </row>
    <row r="12" spans="1:3" x14ac:dyDescent="0.25">
      <c r="A12" s="3">
        <v>1008</v>
      </c>
      <c r="B12">
        <v>3.6685779814814818</v>
      </c>
      <c r="C12">
        <v>3.3875306488633923</v>
      </c>
    </row>
    <row r="13" spans="1:3" x14ac:dyDescent="0.25">
      <c r="A13" s="3">
        <v>1009</v>
      </c>
      <c r="B13">
        <v>3.4954110081018515</v>
      </c>
      <c r="C13">
        <v>3.3594609732141518</v>
      </c>
    </row>
    <row r="14" spans="1:3" x14ac:dyDescent="0.25">
      <c r="A14" s="3">
        <v>1010</v>
      </c>
      <c r="B14">
        <v>3.5234283437500005</v>
      </c>
      <c r="C14">
        <v>1.5926519987177754</v>
      </c>
    </row>
    <row r="15" spans="1:3" x14ac:dyDescent="0.25">
      <c r="A15" s="3">
        <v>1011</v>
      </c>
      <c r="B15">
        <v>3.4141073668981488</v>
      </c>
      <c r="C15">
        <v>3.1455153721668738</v>
      </c>
    </row>
    <row r="16" spans="1:3" x14ac:dyDescent="0.25">
      <c r="A16" s="3">
        <v>1012</v>
      </c>
      <c r="B16">
        <v>2.9931189224537045</v>
      </c>
      <c r="C16">
        <v>2.2922862204757593</v>
      </c>
    </row>
    <row r="17" spans="1:3" x14ac:dyDescent="0.25">
      <c r="A17" s="3">
        <v>1013</v>
      </c>
      <c r="B17">
        <v>2.9484489664351852</v>
      </c>
      <c r="C17">
        <v>2.5671183389591299</v>
      </c>
    </row>
    <row r="18" spans="1:3" x14ac:dyDescent="0.25">
      <c r="A18" s="3">
        <v>1014</v>
      </c>
      <c r="B18">
        <v>2.9071520462962961</v>
      </c>
      <c r="C18">
        <v>2.1113038524501091</v>
      </c>
    </row>
    <row r="19" spans="1:3" x14ac:dyDescent="0.25">
      <c r="A19" s="3">
        <v>1015</v>
      </c>
      <c r="B19">
        <v>2.9003476666666668</v>
      </c>
      <c r="C19">
        <v>2.0357995144383851</v>
      </c>
    </row>
    <row r="20" spans="1:3" x14ac:dyDescent="0.25">
      <c r="A20" s="3">
        <v>1016</v>
      </c>
      <c r="B20">
        <v>2.7504284560185184</v>
      </c>
      <c r="C20">
        <v>2.7243829523222725</v>
      </c>
    </row>
    <row r="21" spans="1:3" x14ac:dyDescent="0.25">
      <c r="A21" s="3">
        <v>1017</v>
      </c>
      <c r="B21">
        <v>2.6720716736111108</v>
      </c>
      <c r="C21">
        <v>1.7850593507321582</v>
      </c>
    </row>
    <row r="22" spans="1:3" x14ac:dyDescent="0.25">
      <c r="A22" s="3">
        <v>1018</v>
      </c>
      <c r="B22">
        <v>2.5919461319444448</v>
      </c>
      <c r="C22">
        <v>2.2275288279225309</v>
      </c>
    </row>
    <row r="23" spans="1:3" x14ac:dyDescent="0.25">
      <c r="A23" s="3">
        <v>1019</v>
      </c>
      <c r="B23">
        <v>2.482427956018519</v>
      </c>
      <c r="C23">
        <v>1.9304726817036135</v>
      </c>
    </row>
    <row r="24" spans="1:3" x14ac:dyDescent="0.25">
      <c r="A24" s="3">
        <v>1020</v>
      </c>
      <c r="B24">
        <v>2.3625153923611109</v>
      </c>
      <c r="C24">
        <v>1.1956826636613034</v>
      </c>
    </row>
    <row r="25" spans="1:3" x14ac:dyDescent="0.25">
      <c r="A25" s="3">
        <v>1021</v>
      </c>
      <c r="B25">
        <v>2.3433840925925926</v>
      </c>
      <c r="C25">
        <v>1.6980667107283749</v>
      </c>
    </row>
    <row r="26" spans="1:3" x14ac:dyDescent="0.25">
      <c r="A26" s="3">
        <v>1022</v>
      </c>
      <c r="B26">
        <v>2.5082977303240739</v>
      </c>
      <c r="C26">
        <v>0.42518971862323612</v>
      </c>
    </row>
    <row r="27" spans="1:3" x14ac:dyDescent="0.25">
      <c r="A27" s="3">
        <v>1023</v>
      </c>
      <c r="B27">
        <v>2.0812415659722223</v>
      </c>
      <c r="C27">
        <v>2.0281926311085163</v>
      </c>
    </row>
    <row r="28" spans="1:3" x14ac:dyDescent="0.25">
      <c r="A28" s="3">
        <v>1024</v>
      </c>
      <c r="B28">
        <v>2.0109140543981483</v>
      </c>
      <c r="C28">
        <v>1.9445466212867186</v>
      </c>
    </row>
    <row r="29" spans="1:3" x14ac:dyDescent="0.25">
      <c r="A29" s="3">
        <v>1025</v>
      </c>
      <c r="B29">
        <v>1.9697463599537037</v>
      </c>
      <c r="C29">
        <v>1.1818672773558867</v>
      </c>
    </row>
    <row r="30" spans="1:3" x14ac:dyDescent="0.25">
      <c r="A30" s="3">
        <v>1026</v>
      </c>
      <c r="B30">
        <v>1.9315682812500001</v>
      </c>
      <c r="C30">
        <v>1.8895150689385511</v>
      </c>
    </row>
    <row r="31" spans="1:3" x14ac:dyDescent="0.25">
      <c r="A31" s="3">
        <v>1027</v>
      </c>
      <c r="B31">
        <v>1.9246557141203704</v>
      </c>
      <c r="C31">
        <v>1.3996185559263516</v>
      </c>
    </row>
    <row r="32" spans="1:3" x14ac:dyDescent="0.25">
      <c r="A32" s="3">
        <v>1028</v>
      </c>
      <c r="B32">
        <v>1.7945071724537038</v>
      </c>
      <c r="C32">
        <v>1.7184802204987861</v>
      </c>
    </row>
    <row r="33" spans="1:3" x14ac:dyDescent="0.25">
      <c r="A33" s="3">
        <v>1029</v>
      </c>
      <c r="B33">
        <v>1.7315676354166665</v>
      </c>
      <c r="C33">
        <v>1.6990093620076239</v>
      </c>
    </row>
    <row r="34" spans="1:3" x14ac:dyDescent="0.25">
      <c r="A34" s="3">
        <v>1030</v>
      </c>
      <c r="B34">
        <v>1.6115895995370371</v>
      </c>
      <c r="C34">
        <v>0.70196821328033565</v>
      </c>
    </row>
    <row r="35" spans="1:3" x14ac:dyDescent="0.25">
      <c r="A35" s="3">
        <v>1031</v>
      </c>
      <c r="B35">
        <v>1.483247039351852</v>
      </c>
      <c r="C35">
        <v>0.76326194321346752</v>
      </c>
    </row>
    <row r="36" spans="1:3" x14ac:dyDescent="0.25">
      <c r="A36" s="3">
        <v>1032</v>
      </c>
      <c r="B36">
        <v>1.4694299548611112</v>
      </c>
      <c r="C36">
        <v>1.4187882268851133</v>
      </c>
    </row>
    <row r="37" spans="1:3" x14ac:dyDescent="0.25">
      <c r="A37" s="3">
        <v>1033</v>
      </c>
      <c r="B37">
        <v>1.3643960185185187</v>
      </c>
      <c r="C37">
        <v>1.2855825654962605</v>
      </c>
    </row>
    <row r="38" spans="1:3" x14ac:dyDescent="0.25">
      <c r="A38" s="3">
        <v>1034</v>
      </c>
      <c r="B38">
        <v>1.3016488020833334</v>
      </c>
      <c r="C38">
        <v>0.97866751303086119</v>
      </c>
    </row>
    <row r="39" spans="1:3" x14ac:dyDescent="0.25">
      <c r="A39" s="3">
        <v>1035</v>
      </c>
      <c r="B39">
        <v>1.2979901817129629</v>
      </c>
      <c r="C39">
        <v>0.48568109899325013</v>
      </c>
    </row>
    <row r="40" spans="1:3" x14ac:dyDescent="0.25">
      <c r="A40" s="3">
        <v>1036</v>
      </c>
      <c r="B40">
        <v>1.2929660787037038</v>
      </c>
      <c r="C40">
        <v>1.2711627726241412</v>
      </c>
    </row>
    <row r="41" spans="1:3" x14ac:dyDescent="0.25">
      <c r="A41" s="3">
        <v>1037</v>
      </c>
      <c r="B41">
        <v>1.2683048321759258</v>
      </c>
      <c r="C41">
        <v>0.35379352678602549</v>
      </c>
    </row>
    <row r="42" spans="1:3" x14ac:dyDescent="0.25">
      <c r="A42" s="3">
        <v>1038</v>
      </c>
      <c r="B42">
        <v>1.2523990914351852</v>
      </c>
      <c r="C42">
        <v>1.1832294147591633</v>
      </c>
    </row>
    <row r="43" spans="1:3" x14ac:dyDescent="0.25">
      <c r="A43" s="3">
        <v>1039</v>
      </c>
      <c r="B43">
        <v>1.2455910405092596</v>
      </c>
      <c r="C43">
        <v>0.79889746711277554</v>
      </c>
    </row>
    <row r="44" spans="1:3" x14ac:dyDescent="0.25">
      <c r="A44" s="3">
        <v>1040</v>
      </c>
      <c r="B44">
        <v>1.0415254189814815</v>
      </c>
      <c r="C44">
        <v>0.54202491375148265</v>
      </c>
    </row>
    <row r="45" spans="1:3" x14ac:dyDescent="0.25">
      <c r="A45" s="3">
        <v>1041</v>
      </c>
      <c r="B45">
        <v>1.0412603564814815</v>
      </c>
      <c r="C45">
        <v>0.98367833128727999</v>
      </c>
    </row>
    <row r="46" spans="1:3" x14ac:dyDescent="0.25">
      <c r="A46" s="3">
        <v>1042</v>
      </c>
      <c r="B46">
        <v>0.99214458449074061</v>
      </c>
      <c r="C46">
        <v>0.97652367594525469</v>
      </c>
    </row>
    <row r="47" spans="1:3" x14ac:dyDescent="0.25">
      <c r="A47" s="3">
        <v>1043</v>
      </c>
      <c r="B47">
        <v>0.93003329050925942</v>
      </c>
      <c r="C47">
        <v>0.9068175798689051</v>
      </c>
    </row>
    <row r="48" spans="1:3" x14ac:dyDescent="0.25">
      <c r="A48" s="3">
        <v>1044</v>
      </c>
      <c r="B48">
        <v>0.99652615277777779</v>
      </c>
      <c r="C48">
        <v>0.72524712713844675</v>
      </c>
    </row>
    <row r="49" spans="1:3" x14ac:dyDescent="0.25">
      <c r="A49" s="3">
        <v>1045</v>
      </c>
      <c r="B49">
        <v>0.87890534143518528</v>
      </c>
      <c r="C49">
        <v>0.17525083160115046</v>
      </c>
    </row>
    <row r="50" spans="1:3" x14ac:dyDescent="0.25">
      <c r="A50" s="3">
        <v>1046</v>
      </c>
      <c r="B50">
        <v>0.86422519328703717</v>
      </c>
      <c r="C50">
        <v>0.83803808472582286</v>
      </c>
    </row>
    <row r="51" spans="1:3" x14ac:dyDescent="0.25">
      <c r="A51" s="3">
        <v>1047</v>
      </c>
      <c r="B51">
        <v>0.84070785532407388</v>
      </c>
      <c r="C51">
        <v>0.63449054827573614</v>
      </c>
    </row>
    <row r="52" spans="1:3" x14ac:dyDescent="0.25">
      <c r="A52" s="3">
        <v>1048</v>
      </c>
      <c r="B52">
        <v>0.86774767708333334</v>
      </c>
      <c r="C52">
        <v>0.85861405414587155</v>
      </c>
    </row>
    <row r="53" spans="1:3" x14ac:dyDescent="0.25">
      <c r="A53" s="3">
        <v>1049</v>
      </c>
      <c r="B53">
        <v>0.80445154166666666</v>
      </c>
      <c r="C53">
        <v>0.59129868279028708</v>
      </c>
    </row>
    <row r="54" spans="1:3" x14ac:dyDescent="0.25">
      <c r="A54" s="3">
        <v>1050</v>
      </c>
      <c r="B54">
        <v>0.7954005856481482</v>
      </c>
      <c r="C54">
        <v>0.59009550269610989</v>
      </c>
    </row>
    <row r="55" spans="1:3" x14ac:dyDescent="0.25">
      <c r="A55" s="3">
        <v>1051</v>
      </c>
      <c r="B55">
        <v>0.78902395717592588</v>
      </c>
      <c r="C55">
        <v>0.43484366371429389</v>
      </c>
    </row>
    <row r="56" spans="1:3" x14ac:dyDescent="0.25">
      <c r="A56" s="3">
        <v>1052</v>
      </c>
      <c r="B56">
        <v>0.78420923263888898</v>
      </c>
      <c r="C56">
        <v>0.77542076297548479</v>
      </c>
    </row>
    <row r="57" spans="1:3" x14ac:dyDescent="0.25">
      <c r="A57" s="3">
        <v>1053</v>
      </c>
      <c r="B57">
        <v>0.76351132175925929</v>
      </c>
      <c r="C57">
        <v>0.63244506437860537</v>
      </c>
    </row>
    <row r="58" spans="1:3" x14ac:dyDescent="0.25">
      <c r="A58" s="3">
        <v>1054</v>
      </c>
      <c r="B58">
        <v>0.68968433101851856</v>
      </c>
      <c r="C58">
        <v>0.67781553777379389</v>
      </c>
    </row>
    <row r="59" spans="1:3" x14ac:dyDescent="0.25">
      <c r="A59" s="3">
        <v>1055</v>
      </c>
      <c r="B59">
        <v>0.68502903125000003</v>
      </c>
      <c r="C59">
        <v>0.65234516892983685</v>
      </c>
    </row>
    <row r="60" spans="1:3" x14ac:dyDescent="0.25">
      <c r="A60" s="3">
        <v>1056</v>
      </c>
      <c r="B60">
        <v>0.6814224699074074</v>
      </c>
      <c r="C60">
        <v>0.66156562082385184</v>
      </c>
    </row>
    <row r="61" spans="1:3" x14ac:dyDescent="0.25">
      <c r="A61" s="3">
        <v>1057</v>
      </c>
      <c r="B61">
        <v>0.67444757986111115</v>
      </c>
      <c r="C61">
        <v>0.43424015976869562</v>
      </c>
    </row>
    <row r="62" spans="1:3" x14ac:dyDescent="0.25">
      <c r="A62" s="3">
        <v>1058</v>
      </c>
      <c r="B62">
        <v>0.63688329629629636</v>
      </c>
      <c r="C62">
        <v>0.43615463354176381</v>
      </c>
    </row>
    <row r="63" spans="1:3" x14ac:dyDescent="0.25">
      <c r="A63" s="3">
        <v>1059</v>
      </c>
      <c r="B63">
        <v>0.66941570254629634</v>
      </c>
      <c r="C63">
        <v>0.64485115113360536</v>
      </c>
    </row>
    <row r="64" spans="1:3" x14ac:dyDescent="0.25">
      <c r="A64" s="3">
        <v>1060</v>
      </c>
      <c r="B64">
        <v>0.62654811111111119</v>
      </c>
      <c r="C64">
        <v>0.61694975022154397</v>
      </c>
    </row>
    <row r="65" spans="1:3" x14ac:dyDescent="0.25">
      <c r="A65" s="3">
        <v>1061</v>
      </c>
      <c r="B65">
        <v>0.6235230810185185</v>
      </c>
      <c r="C65">
        <v>0.61595959985611126</v>
      </c>
    </row>
    <row r="66" spans="1:3" x14ac:dyDescent="0.25">
      <c r="A66" s="3">
        <v>1062</v>
      </c>
      <c r="B66">
        <v>0.62116559375000002</v>
      </c>
      <c r="C66">
        <v>0.25977322604732639</v>
      </c>
    </row>
    <row r="67" spans="1:3" x14ac:dyDescent="0.25">
      <c r="A67" s="3">
        <v>1063</v>
      </c>
      <c r="B67">
        <v>0.61852948958333331</v>
      </c>
      <c r="C67">
        <v>0.42136382951305323</v>
      </c>
    </row>
    <row r="68" spans="1:3" x14ac:dyDescent="0.25">
      <c r="A68" s="3">
        <v>1064</v>
      </c>
      <c r="B68">
        <v>0.61261276157407407</v>
      </c>
      <c r="C68">
        <v>0.5735887837082847</v>
      </c>
    </row>
    <row r="69" spans="1:3" x14ac:dyDescent="0.25">
      <c r="A69" s="3">
        <v>1065</v>
      </c>
      <c r="B69">
        <v>0.61002361226851864</v>
      </c>
      <c r="C69">
        <v>0.582444702861176</v>
      </c>
    </row>
    <row r="70" spans="1:3" x14ac:dyDescent="0.25">
      <c r="A70" s="3">
        <v>1066</v>
      </c>
      <c r="B70">
        <v>0.6085768958333333</v>
      </c>
      <c r="C70">
        <v>0.57583229588458673</v>
      </c>
    </row>
    <row r="71" spans="1:3" x14ac:dyDescent="0.25">
      <c r="A71" s="3">
        <v>1067</v>
      </c>
      <c r="B71">
        <v>0.60830141203703691</v>
      </c>
      <c r="C71">
        <v>0.37856250158332178</v>
      </c>
    </row>
    <row r="72" spans="1:3" x14ac:dyDescent="0.25">
      <c r="A72" s="3">
        <v>1068</v>
      </c>
      <c r="B72">
        <v>0.6038352187499999</v>
      </c>
      <c r="C72">
        <v>0.56058666162414128</v>
      </c>
    </row>
    <row r="73" spans="1:3" x14ac:dyDescent="0.25">
      <c r="A73" s="3">
        <v>1069</v>
      </c>
      <c r="B73">
        <v>0.73859195254629628</v>
      </c>
      <c r="C73">
        <v>0.48351130015432059</v>
      </c>
    </row>
    <row r="74" spans="1:3" x14ac:dyDescent="0.25">
      <c r="A74" s="3">
        <v>1070</v>
      </c>
      <c r="B74">
        <v>0.5997049895833334</v>
      </c>
      <c r="C74">
        <v>0.57806647367371644</v>
      </c>
    </row>
    <row r="75" spans="1:3" x14ac:dyDescent="0.25">
      <c r="A75" s="3">
        <v>1071</v>
      </c>
      <c r="B75">
        <v>0.59568479398148155</v>
      </c>
      <c r="C75">
        <v>0.56606148855628113</v>
      </c>
    </row>
    <row r="76" spans="1:3" x14ac:dyDescent="0.25">
      <c r="A76" s="3">
        <v>1072</v>
      </c>
      <c r="B76">
        <v>0.59509810532407414</v>
      </c>
      <c r="C76">
        <v>0.57120552479309827</v>
      </c>
    </row>
    <row r="77" spans="1:3" x14ac:dyDescent="0.25">
      <c r="A77" s="3">
        <v>1073</v>
      </c>
      <c r="B77">
        <v>0.59356079282407403</v>
      </c>
      <c r="C77">
        <v>0.24229571745705786</v>
      </c>
    </row>
    <row r="78" spans="1:3" x14ac:dyDescent="0.25">
      <c r="A78" s="3">
        <v>1074</v>
      </c>
      <c r="B78">
        <v>0.59347445023148149</v>
      </c>
      <c r="C78">
        <v>0.58139488330591327</v>
      </c>
    </row>
    <row r="79" spans="1:3" x14ac:dyDescent="0.25">
      <c r="A79" s="3">
        <v>1075</v>
      </c>
      <c r="B79">
        <v>0.58982076620370361</v>
      </c>
      <c r="C79">
        <v>0.56538284397253469</v>
      </c>
    </row>
    <row r="80" spans="1:3" x14ac:dyDescent="0.25">
      <c r="A80" s="3">
        <v>1076</v>
      </c>
      <c r="B80">
        <v>0.58344505787037027</v>
      </c>
      <c r="C80">
        <v>0.56266243171927655</v>
      </c>
    </row>
    <row r="81" spans="1:3" x14ac:dyDescent="0.25">
      <c r="A81" s="3">
        <v>1077</v>
      </c>
      <c r="B81">
        <v>0.55918745949074067</v>
      </c>
      <c r="C81">
        <v>0.53987305271977548</v>
      </c>
    </row>
    <row r="82" spans="1:3" x14ac:dyDescent="0.25">
      <c r="A82" s="3">
        <v>1078</v>
      </c>
      <c r="B82">
        <v>0.55468870949074067</v>
      </c>
      <c r="C82">
        <v>0.51125386834020947</v>
      </c>
    </row>
    <row r="83" spans="1:3" x14ac:dyDescent="0.25">
      <c r="A83" s="3">
        <v>1079</v>
      </c>
      <c r="B83">
        <v>0.54713782291666679</v>
      </c>
      <c r="C83">
        <v>0.53970648468399884</v>
      </c>
    </row>
    <row r="84" spans="1:3" x14ac:dyDescent="0.25">
      <c r="A84" s="3">
        <v>1080</v>
      </c>
      <c r="B84">
        <v>0.54425687384259269</v>
      </c>
      <c r="C84">
        <v>0.53257469970089599</v>
      </c>
    </row>
    <row r="85" spans="1:3" x14ac:dyDescent="0.25">
      <c r="A85" s="3">
        <v>1081</v>
      </c>
      <c r="B85">
        <v>0.5364948784722221</v>
      </c>
      <c r="C85">
        <v>0.35700592138600118</v>
      </c>
    </row>
    <row r="86" spans="1:3" x14ac:dyDescent="0.25">
      <c r="A86" s="3">
        <v>1082</v>
      </c>
      <c r="B86">
        <v>0.52616231597222229</v>
      </c>
      <c r="C86">
        <v>0.4394248667474826</v>
      </c>
    </row>
    <row r="87" spans="1:3" x14ac:dyDescent="0.25">
      <c r="A87" s="3">
        <v>1083</v>
      </c>
      <c r="B87">
        <v>0.51145683912037032</v>
      </c>
      <c r="C87">
        <v>0.48513614979570141</v>
      </c>
    </row>
    <row r="88" spans="1:3" x14ac:dyDescent="0.25">
      <c r="A88" s="3">
        <v>1084</v>
      </c>
      <c r="B88">
        <v>0.51096151504629639</v>
      </c>
      <c r="C88">
        <v>0.15552887021680095</v>
      </c>
    </row>
    <row r="89" spans="1:3" x14ac:dyDescent="0.25">
      <c r="A89" s="3">
        <v>1085</v>
      </c>
      <c r="B89">
        <v>0.50996736689814814</v>
      </c>
      <c r="C89">
        <v>0.23619606200879284</v>
      </c>
    </row>
    <row r="90" spans="1:3" x14ac:dyDescent="0.25">
      <c r="A90" s="3">
        <v>1086</v>
      </c>
      <c r="B90">
        <v>0.54102500347222215</v>
      </c>
      <c r="C90">
        <v>0.20489703223642589</v>
      </c>
    </row>
    <row r="91" spans="1:3" x14ac:dyDescent="0.25">
      <c r="A91" s="3">
        <v>1087</v>
      </c>
      <c r="B91">
        <v>0.49946491898148143</v>
      </c>
      <c r="C91">
        <v>0.49241677046836457</v>
      </c>
    </row>
    <row r="92" spans="1:3" x14ac:dyDescent="0.25">
      <c r="A92" s="3">
        <v>1088</v>
      </c>
      <c r="B92">
        <v>0.49564777083333333</v>
      </c>
      <c r="C92">
        <v>0.49077564880917124</v>
      </c>
    </row>
    <row r="93" spans="1:3" x14ac:dyDescent="0.25">
      <c r="A93" s="3">
        <v>1089</v>
      </c>
      <c r="B93">
        <v>0.48999759027777778</v>
      </c>
      <c r="C93">
        <v>0.44218325784346302</v>
      </c>
    </row>
    <row r="94" spans="1:3" x14ac:dyDescent="0.25">
      <c r="A94" s="3">
        <v>1090</v>
      </c>
      <c r="B94">
        <v>0.48111075347222221</v>
      </c>
      <c r="C94">
        <v>9.9491242791513917E-2</v>
      </c>
    </row>
    <row r="95" spans="1:3" x14ac:dyDescent="0.25">
      <c r="A95" s="3">
        <v>1091</v>
      </c>
      <c r="B95">
        <v>0.47275977314814815</v>
      </c>
      <c r="C95">
        <v>0.12987167319482179</v>
      </c>
    </row>
    <row r="96" spans="1:3" x14ac:dyDescent="0.25">
      <c r="A96" s="3">
        <v>1092</v>
      </c>
      <c r="B96">
        <v>0.467358</v>
      </c>
      <c r="C96">
        <v>0.11165362047921873</v>
      </c>
    </row>
    <row r="97" spans="1:3" x14ac:dyDescent="0.25">
      <c r="A97" s="3">
        <v>1093</v>
      </c>
      <c r="B97">
        <v>0.43938171527777775</v>
      </c>
      <c r="C97">
        <v>0.2247768954475301</v>
      </c>
    </row>
    <row r="98" spans="1:3" x14ac:dyDescent="0.25">
      <c r="A98" s="3">
        <v>1094</v>
      </c>
      <c r="B98">
        <v>0.40548875231481479</v>
      </c>
      <c r="C98">
        <v>0.19429595930800928</v>
      </c>
    </row>
    <row r="99" spans="1:3" x14ac:dyDescent="0.25">
      <c r="A99" s="3">
        <v>1095</v>
      </c>
      <c r="B99">
        <v>0.37615484606481475</v>
      </c>
      <c r="C99">
        <v>9.4012229641378495E-2</v>
      </c>
    </row>
    <row r="100" spans="1:3" x14ac:dyDescent="0.25">
      <c r="A100" s="3">
        <v>1096</v>
      </c>
      <c r="B100">
        <v>0.37309171296296295</v>
      </c>
      <c r="C100">
        <v>7.0832546972670135E-2</v>
      </c>
    </row>
    <row r="101" spans="1:3" x14ac:dyDescent="0.25">
      <c r="A101" s="3">
        <v>1097</v>
      </c>
      <c r="B101">
        <v>0.36248460532407406</v>
      </c>
      <c r="C101">
        <v>0.21451698187269908</v>
      </c>
    </row>
    <row r="102" spans="1:3" x14ac:dyDescent="0.25">
      <c r="A102" s="3">
        <v>1098</v>
      </c>
      <c r="B102">
        <v>0.35477624421296294</v>
      </c>
      <c r="C102">
        <v>0.15107053409664581</v>
      </c>
    </row>
    <row r="103" spans="1:3" x14ac:dyDescent="0.25">
      <c r="A103" s="3">
        <v>1099</v>
      </c>
      <c r="B103">
        <v>0.35303284722222222</v>
      </c>
      <c r="C103">
        <v>0.17177113030139121</v>
      </c>
    </row>
    <row r="104" spans="1:3" x14ac:dyDescent="0.25">
      <c r="A104" s="3">
        <v>1100</v>
      </c>
      <c r="B104">
        <v>0.3506208564814815</v>
      </c>
      <c r="C104">
        <v>0.24292123499628235</v>
      </c>
    </row>
    <row r="105" spans="1:3" x14ac:dyDescent="0.25">
      <c r="A105" s="3">
        <v>1101</v>
      </c>
      <c r="B105">
        <v>0.33733123495370371</v>
      </c>
      <c r="C105">
        <v>0.13445248467496876</v>
      </c>
    </row>
    <row r="106" spans="1:3" x14ac:dyDescent="0.25">
      <c r="A106" s="3">
        <v>1102</v>
      </c>
      <c r="B106">
        <v>0.32437917939814814</v>
      </c>
      <c r="C106">
        <v>0.22851318865290629</v>
      </c>
    </row>
    <row r="107" spans="1:3" x14ac:dyDescent="0.25">
      <c r="A107" s="3">
        <v>1103</v>
      </c>
      <c r="B107">
        <v>0.31682141782407408</v>
      </c>
      <c r="C107">
        <v>0.18597375930946874</v>
      </c>
    </row>
    <row r="108" spans="1:3" x14ac:dyDescent="0.25">
      <c r="A108" s="3">
        <v>1104</v>
      </c>
      <c r="B108">
        <v>0.31255274768518515</v>
      </c>
      <c r="C108">
        <v>0.11093811976937847</v>
      </c>
    </row>
    <row r="109" spans="1:3" x14ac:dyDescent="0.25">
      <c r="A109" s="3">
        <v>1105</v>
      </c>
      <c r="B109">
        <v>0.26350114814814812</v>
      </c>
      <c r="C109">
        <v>6.2797035294332171E-2</v>
      </c>
    </row>
    <row r="110" spans="1:3" x14ac:dyDescent="0.25">
      <c r="A110" s="3">
        <v>1106</v>
      </c>
      <c r="B110">
        <v>0.26823788773148149</v>
      </c>
      <c r="C110">
        <v>0.1977893646133935</v>
      </c>
    </row>
    <row r="111" spans="1:3" x14ac:dyDescent="0.25">
      <c r="A111" s="3">
        <v>1107</v>
      </c>
      <c r="B111">
        <v>0.24965113310185183</v>
      </c>
      <c r="C111">
        <v>0.18290442409336344</v>
      </c>
    </row>
    <row r="112" spans="1:3" x14ac:dyDescent="0.25">
      <c r="A112" s="3">
        <v>1108</v>
      </c>
      <c r="B112">
        <v>0.30417882986111106</v>
      </c>
      <c r="C112">
        <v>0.11990054430765969</v>
      </c>
    </row>
    <row r="113" spans="1:3" x14ac:dyDescent="0.25">
      <c r="A113" s="3">
        <v>1109</v>
      </c>
      <c r="B113">
        <v>0.23779425578703706</v>
      </c>
      <c r="C113">
        <v>4.1321233219085644E-2</v>
      </c>
    </row>
    <row r="114" spans="1:3" x14ac:dyDescent="0.25">
      <c r="A114" s="3">
        <v>1110</v>
      </c>
      <c r="B114">
        <v>0.233010150462963</v>
      </c>
      <c r="C114">
        <v>0.20271076639609029</v>
      </c>
    </row>
    <row r="115" spans="1:3" x14ac:dyDescent="0.25">
      <c r="A115" s="3">
        <v>1111</v>
      </c>
      <c r="B115">
        <v>0.21609114583333333</v>
      </c>
      <c r="C115">
        <v>0.19288808738905902</v>
      </c>
    </row>
    <row r="116" spans="1:3" x14ac:dyDescent="0.25">
      <c r="A116" s="3">
        <v>1112</v>
      </c>
      <c r="B116">
        <v>0.19294305555555555</v>
      </c>
      <c r="C116">
        <v>0.10717385091774304</v>
      </c>
    </row>
    <row r="117" spans="1:3" x14ac:dyDescent="0.25">
      <c r="A117" s="3">
        <v>1113</v>
      </c>
      <c r="B117">
        <v>0.1642437986111111</v>
      </c>
      <c r="C117">
        <v>4.0103593681964117E-2</v>
      </c>
    </row>
    <row r="118" spans="1:3" x14ac:dyDescent="0.25">
      <c r="A118" s="3">
        <v>1114</v>
      </c>
      <c r="B118">
        <v>0.17540632060185182</v>
      </c>
      <c r="C118">
        <v>4.3184152000157405E-2</v>
      </c>
    </row>
    <row r="119" spans="1:3" x14ac:dyDescent="0.25">
      <c r="A119" s="3">
        <v>1115</v>
      </c>
      <c r="B119">
        <v>0.15171780902777779</v>
      </c>
      <c r="C119">
        <v>7.6835387222951398E-2</v>
      </c>
    </row>
    <row r="120" spans="1:3" x14ac:dyDescent="0.25">
      <c r="A120" s="3">
        <v>1116</v>
      </c>
      <c r="B120">
        <v>0.17729163541666665</v>
      </c>
      <c r="C120">
        <v>0.17427961329440161</v>
      </c>
    </row>
    <row r="121" spans="1:3" x14ac:dyDescent="0.25">
      <c r="A121" s="3">
        <v>1117</v>
      </c>
      <c r="B121">
        <v>0.17891089930555557</v>
      </c>
      <c r="C121">
        <v>0.16162617129629631</v>
      </c>
    </row>
    <row r="122" spans="1:3" x14ac:dyDescent="0.25">
      <c r="A122" s="3">
        <v>1118</v>
      </c>
      <c r="B122">
        <v>0.12510892939814813</v>
      </c>
      <c r="C122">
        <v>6.5133991605655098E-2</v>
      </c>
    </row>
    <row r="123" spans="1:3" x14ac:dyDescent="0.25">
      <c r="A123" s="3">
        <v>1119</v>
      </c>
      <c r="B123">
        <v>0.12486650694444447</v>
      </c>
      <c r="C123">
        <v>5.4447661562240748E-2</v>
      </c>
    </row>
    <row r="124" spans="1:3" x14ac:dyDescent="0.25">
      <c r="A124" s="3">
        <v>1120</v>
      </c>
      <c r="B124">
        <v>0.12437440277777778</v>
      </c>
      <c r="C124">
        <v>8.4777117910732641E-2</v>
      </c>
    </row>
    <row r="125" spans="1:3" x14ac:dyDescent="0.25">
      <c r="A125" s="3">
        <v>1121</v>
      </c>
      <c r="B125">
        <v>0.10078750347222221</v>
      </c>
      <c r="C125">
        <v>3.4642393055554395E-2</v>
      </c>
    </row>
    <row r="126" spans="1:3" x14ac:dyDescent="0.25">
      <c r="A126" s="3">
        <v>1122</v>
      </c>
      <c r="B126">
        <v>0.10014616782407405</v>
      </c>
      <c r="C126">
        <v>2.1178106889785882E-2</v>
      </c>
    </row>
    <row r="127" spans="1:3" x14ac:dyDescent="0.25">
      <c r="A127" s="3">
        <v>1123</v>
      </c>
      <c r="B127">
        <v>0.10567088773148151</v>
      </c>
      <c r="C127">
        <v>6.4765804588292841E-2</v>
      </c>
    </row>
    <row r="128" spans="1:3" x14ac:dyDescent="0.25">
      <c r="A128" s="3">
        <v>1124</v>
      </c>
      <c r="B128">
        <v>8.3990901620370373E-2</v>
      </c>
      <c r="C128">
        <v>7.3436186551348384E-2</v>
      </c>
    </row>
    <row r="129" spans="1:3" x14ac:dyDescent="0.25">
      <c r="A129" s="3">
        <v>1125</v>
      </c>
      <c r="B129">
        <v>7.171016435185186E-2</v>
      </c>
      <c r="C129">
        <v>4.6565507074513887E-2</v>
      </c>
    </row>
    <row r="130" spans="1:3" x14ac:dyDescent="0.25">
      <c r="A130" s="3">
        <v>1126</v>
      </c>
      <c r="B130">
        <v>6.9776329861111111E-2</v>
      </c>
      <c r="C130">
        <v>2.8553051391461803E-2</v>
      </c>
    </row>
    <row r="131" spans="1:3" x14ac:dyDescent="0.25">
      <c r="A131" s="3">
        <v>1127</v>
      </c>
      <c r="B131">
        <v>6.2768840277777779E-2</v>
      </c>
      <c r="C131">
        <v>1.5806332184016204E-2</v>
      </c>
    </row>
    <row r="132" spans="1:3" x14ac:dyDescent="0.25">
      <c r="A132" s="3">
        <v>1128</v>
      </c>
      <c r="B132">
        <v>7.5915988425925923E-2</v>
      </c>
      <c r="C132">
        <v>5.3029650578703701E-2</v>
      </c>
    </row>
    <row r="133" spans="1:3" x14ac:dyDescent="0.25">
      <c r="A133" s="3">
        <v>1129</v>
      </c>
      <c r="B133">
        <v>6.3329405092592592E-2</v>
      </c>
      <c r="C133">
        <v>3.2925337687387729E-2</v>
      </c>
    </row>
    <row r="134" spans="1:3" x14ac:dyDescent="0.25">
      <c r="A134" s="3">
        <v>1130</v>
      </c>
      <c r="B134">
        <v>6.6105910879629637E-2</v>
      </c>
      <c r="C134">
        <v>2.609252354096412E-2</v>
      </c>
    </row>
    <row r="135" spans="1:3" x14ac:dyDescent="0.25">
      <c r="A135" s="3">
        <v>1131</v>
      </c>
      <c r="B135">
        <v>5.5033706018518508E-2</v>
      </c>
      <c r="C135">
        <v>2.1433772317707177E-2</v>
      </c>
    </row>
    <row r="136" spans="1:3" x14ac:dyDescent="0.25">
      <c r="A136" s="3">
        <v>1132</v>
      </c>
      <c r="B136">
        <v>5.3016049768518515E-2</v>
      </c>
      <c r="C136">
        <v>2.7212371334876154E-2</v>
      </c>
    </row>
    <row r="137" spans="1:3" x14ac:dyDescent="0.25">
      <c r="A137" s="3">
        <v>1133</v>
      </c>
      <c r="B137">
        <v>4.7266468749999992E-2</v>
      </c>
      <c r="C137">
        <v>2.3167494919788194E-2</v>
      </c>
    </row>
    <row r="138" spans="1:3" x14ac:dyDescent="0.25">
      <c r="A138" s="3">
        <v>1134</v>
      </c>
      <c r="B138">
        <v>4.7715400462962965E-2</v>
      </c>
      <c r="C138">
        <v>2.5243225413358796E-2</v>
      </c>
    </row>
    <row r="139" spans="1:3" x14ac:dyDescent="0.25">
      <c r="A139" s="3">
        <v>1135</v>
      </c>
      <c r="B139">
        <v>5.3240740740740734E-2</v>
      </c>
      <c r="C139">
        <v>5.3240740740740734E-2</v>
      </c>
    </row>
    <row r="140" spans="1:3" x14ac:dyDescent="0.25">
      <c r="A140" s="3">
        <v>1136</v>
      </c>
      <c r="B140">
        <v>4.2077657407407411E-2</v>
      </c>
      <c r="C140">
        <v>2.0019865214170138E-2</v>
      </c>
    </row>
    <row r="141" spans="1:3" x14ac:dyDescent="0.25">
      <c r="A141" s="3">
        <v>1137</v>
      </c>
      <c r="B141">
        <v>3.66987025462963E-2</v>
      </c>
      <c r="C141">
        <v>7.0345404544340283E-3</v>
      </c>
    </row>
    <row r="142" spans="1:3" x14ac:dyDescent="0.25">
      <c r="A142" s="3">
        <v>1138</v>
      </c>
      <c r="B142">
        <v>3.5638086805555552E-2</v>
      </c>
      <c r="C142">
        <v>1.6479941216228009E-2</v>
      </c>
    </row>
    <row r="143" spans="1:3" x14ac:dyDescent="0.25">
      <c r="A143" s="3">
        <v>1139</v>
      </c>
      <c r="B143">
        <v>3.4333119212962962E-2</v>
      </c>
      <c r="C143">
        <v>1.3491252479339121E-2</v>
      </c>
    </row>
    <row r="144" spans="1:3" x14ac:dyDescent="0.25">
      <c r="A144" s="3">
        <v>1140</v>
      </c>
      <c r="B144">
        <v>3.0417086805555556E-2</v>
      </c>
      <c r="C144">
        <v>1.0439570892692127E-2</v>
      </c>
    </row>
    <row r="145" spans="1:3" x14ac:dyDescent="0.25">
      <c r="A145" s="3">
        <v>1141</v>
      </c>
      <c r="B145">
        <v>3.0205864583333332E-2</v>
      </c>
      <c r="C145">
        <v>1.4796444438579861E-2</v>
      </c>
    </row>
    <row r="146" spans="1:3" x14ac:dyDescent="0.25">
      <c r="A146" s="3">
        <v>1142</v>
      </c>
      <c r="B146">
        <v>3.0729166666666669E-2</v>
      </c>
      <c r="C146">
        <v>3.0729166666666669E-2</v>
      </c>
    </row>
    <row r="147" spans="1:3" x14ac:dyDescent="0.25">
      <c r="A147" s="3">
        <v>1143</v>
      </c>
      <c r="B147">
        <v>2.8277447916666667E-2</v>
      </c>
      <c r="C147">
        <v>1.4918361111111111E-2</v>
      </c>
    </row>
    <row r="148" spans="1:3" x14ac:dyDescent="0.25">
      <c r="A148" s="3">
        <v>1144</v>
      </c>
      <c r="B148">
        <v>2.5526959490740738E-2</v>
      </c>
      <c r="C148">
        <v>1.4765462451243057E-2</v>
      </c>
    </row>
    <row r="149" spans="1:3" x14ac:dyDescent="0.25">
      <c r="A149" s="3">
        <v>1145</v>
      </c>
      <c r="B149">
        <v>2.5921355324074073E-2</v>
      </c>
      <c r="C149">
        <v>1.4079991411299769E-2</v>
      </c>
    </row>
    <row r="150" spans="1:3" x14ac:dyDescent="0.25">
      <c r="A150" s="3">
        <v>1146</v>
      </c>
      <c r="B150">
        <v>2.2743701388888884E-2</v>
      </c>
      <c r="C150">
        <v>1.75687819033125E-2</v>
      </c>
    </row>
    <row r="151" spans="1:3" x14ac:dyDescent="0.25">
      <c r="A151" s="3">
        <v>1147</v>
      </c>
      <c r="B151">
        <v>2.1595478009259258E-2</v>
      </c>
      <c r="C151">
        <v>9.8840368827152782E-3</v>
      </c>
    </row>
    <row r="152" spans="1:3" x14ac:dyDescent="0.25">
      <c r="A152" s="3">
        <v>1148</v>
      </c>
      <c r="B152">
        <v>1.8126202546296294E-2</v>
      </c>
      <c r="C152">
        <v>7.3965009563761574E-3</v>
      </c>
    </row>
    <row r="153" spans="1:3" x14ac:dyDescent="0.25">
      <c r="A153" s="3">
        <v>1149</v>
      </c>
      <c r="B153">
        <v>1.6681585648148149E-2</v>
      </c>
      <c r="C153">
        <v>6.7291046588344901E-3</v>
      </c>
    </row>
    <row r="154" spans="1:3" x14ac:dyDescent="0.25">
      <c r="A154" s="3">
        <v>1150</v>
      </c>
      <c r="B154">
        <v>1.8144760416666669E-2</v>
      </c>
      <c r="C154">
        <v>8.4546867766203734E-3</v>
      </c>
    </row>
    <row r="155" spans="1:3" x14ac:dyDescent="0.25">
      <c r="A155" s="3">
        <v>1151</v>
      </c>
      <c r="B155">
        <v>1.6132690972222224E-2</v>
      </c>
      <c r="C155">
        <v>7.6129392728599542E-3</v>
      </c>
    </row>
    <row r="156" spans="1:3" x14ac:dyDescent="0.25">
      <c r="A156" s="3">
        <v>1152</v>
      </c>
      <c r="B156">
        <v>1.8758593749999997E-2</v>
      </c>
      <c r="C156">
        <v>1.4992047295875E-2</v>
      </c>
    </row>
    <row r="157" spans="1:3" x14ac:dyDescent="0.25">
      <c r="A157" s="3">
        <v>1153</v>
      </c>
      <c r="B157">
        <v>1.7029640046296299E-2</v>
      </c>
      <c r="C157">
        <v>6.3045190972222222E-3</v>
      </c>
    </row>
    <row r="158" spans="1:3" x14ac:dyDescent="0.25">
      <c r="A158" s="3">
        <v>1154</v>
      </c>
      <c r="B158">
        <v>1.3386106481481481E-2</v>
      </c>
      <c r="C158">
        <v>6.0895844907407409E-3</v>
      </c>
    </row>
    <row r="159" spans="1:3" x14ac:dyDescent="0.25">
      <c r="A159" s="3">
        <v>1155</v>
      </c>
      <c r="B159">
        <v>1.4359011574074074E-2</v>
      </c>
      <c r="C159">
        <v>7.0166385582002312E-3</v>
      </c>
    </row>
    <row r="160" spans="1:3" x14ac:dyDescent="0.25">
      <c r="A160" s="3">
        <v>1156</v>
      </c>
      <c r="B160">
        <v>1.1585016203703703E-2</v>
      </c>
      <c r="C160">
        <v>1.0963466435185185E-2</v>
      </c>
    </row>
    <row r="161" spans="1:3" x14ac:dyDescent="0.25">
      <c r="A161" s="3">
        <v>1157</v>
      </c>
      <c r="B161">
        <v>9.6869710648148141E-3</v>
      </c>
      <c r="C161">
        <v>4.3514025159814805E-3</v>
      </c>
    </row>
    <row r="162" spans="1:3" x14ac:dyDescent="0.25">
      <c r="A162" s="3">
        <v>1158</v>
      </c>
      <c r="B162">
        <v>1.0441273148148146E-2</v>
      </c>
      <c r="C162">
        <v>3.6857294688784725E-3</v>
      </c>
    </row>
    <row r="163" spans="1:3" x14ac:dyDescent="0.25">
      <c r="A163" s="3">
        <v>1159</v>
      </c>
      <c r="B163">
        <v>8.2330625000000008E-3</v>
      </c>
      <c r="C163">
        <v>3.7534625334571759E-3</v>
      </c>
    </row>
    <row r="164" spans="1:3" x14ac:dyDescent="0.25">
      <c r="A164" s="3">
        <v>1160</v>
      </c>
      <c r="B164">
        <v>6.6327199074074084E-3</v>
      </c>
      <c r="C164">
        <v>1.5754241734849536E-3</v>
      </c>
    </row>
    <row r="165" spans="1:3" x14ac:dyDescent="0.25">
      <c r="A165" s="3">
        <v>1161</v>
      </c>
      <c r="B165">
        <v>6.4835393518518506E-3</v>
      </c>
      <c r="C165">
        <v>4.6004789173622685E-3</v>
      </c>
    </row>
    <row r="166" spans="1:3" x14ac:dyDescent="0.25">
      <c r="A166" s="3">
        <v>1162</v>
      </c>
      <c r="B166">
        <v>8.3181793981481483E-3</v>
      </c>
      <c r="C166">
        <v>2.8090034722222218E-3</v>
      </c>
    </row>
    <row r="167" spans="1:3" x14ac:dyDescent="0.25">
      <c r="A167" s="3">
        <v>1163</v>
      </c>
      <c r="B167">
        <v>5.2626458333333327E-3</v>
      </c>
      <c r="C167">
        <v>4.4808571566342589E-3</v>
      </c>
    </row>
    <row r="168" spans="1:3" x14ac:dyDescent="0.25">
      <c r="A168" s="3">
        <v>1164</v>
      </c>
      <c r="B168">
        <v>5.0578043981481481E-3</v>
      </c>
      <c r="C168">
        <v>5.0578043981481481E-3</v>
      </c>
    </row>
    <row r="169" spans="1:3" x14ac:dyDescent="0.25">
      <c r="A169" s="3">
        <v>1165</v>
      </c>
      <c r="B169">
        <v>3.4708125000000004E-3</v>
      </c>
      <c r="C169">
        <v>2.6354533179004627E-3</v>
      </c>
    </row>
    <row r="170" spans="1:3" x14ac:dyDescent="0.25">
      <c r="A170" s="3">
        <v>1166</v>
      </c>
      <c r="B170">
        <v>3.4467939814814817E-3</v>
      </c>
      <c r="C170">
        <v>1.245953060699074E-3</v>
      </c>
    </row>
    <row r="171" spans="1:3" x14ac:dyDescent="0.25">
      <c r="A171" s="3">
        <v>1167</v>
      </c>
      <c r="B171">
        <v>2.8746493055555561E-3</v>
      </c>
      <c r="C171">
        <v>7.3607970331365736E-4</v>
      </c>
    </row>
    <row r="172" spans="1:3" x14ac:dyDescent="0.25">
      <c r="A172" s="3">
        <v>1168</v>
      </c>
      <c r="B172">
        <v>2.7665833333333331E-3</v>
      </c>
      <c r="C172">
        <v>1.3605937086631945E-3</v>
      </c>
    </row>
    <row r="173" spans="1:3" x14ac:dyDescent="0.25">
      <c r="A173" s="3">
        <v>1169</v>
      </c>
      <c r="B173">
        <v>2.4283518518518521E-3</v>
      </c>
      <c r="C173">
        <v>1.2859243827152776E-3</v>
      </c>
    </row>
    <row r="174" spans="1:3" x14ac:dyDescent="0.25">
      <c r="A174" s="3">
        <v>1170</v>
      </c>
      <c r="B174">
        <v>3.1551041666666663E-3</v>
      </c>
      <c r="C174">
        <v>3.1551041666666663E-3</v>
      </c>
    </row>
    <row r="175" spans="1:3" x14ac:dyDescent="0.25">
      <c r="A175" s="3">
        <v>1171</v>
      </c>
      <c r="B175">
        <v>2.261607638888889E-3</v>
      </c>
      <c r="C175">
        <v>1.4684971064814816E-3</v>
      </c>
    </row>
    <row r="176" spans="1:3" x14ac:dyDescent="0.25">
      <c r="A176" s="3">
        <v>1172</v>
      </c>
      <c r="B176">
        <v>2.427033564814815E-3</v>
      </c>
      <c r="C176">
        <v>1.4823460648148152E-3</v>
      </c>
    </row>
    <row r="177" spans="1:3" x14ac:dyDescent="0.25">
      <c r="A177" s="3">
        <v>1173</v>
      </c>
      <c r="B177">
        <v>1.99825E-3</v>
      </c>
      <c r="C177">
        <v>1.3620630787037039E-3</v>
      </c>
    </row>
    <row r="178" spans="1:3" x14ac:dyDescent="0.25">
      <c r="A178" s="3">
        <v>1174</v>
      </c>
      <c r="B178">
        <v>2.1076238425925928E-3</v>
      </c>
      <c r="C178">
        <v>1.2827916666666665E-3</v>
      </c>
    </row>
    <row r="179" spans="1:3" x14ac:dyDescent="0.25">
      <c r="A179" s="3">
        <v>1175</v>
      </c>
      <c r="B179">
        <v>1.378880787037037E-3</v>
      </c>
      <c r="C179">
        <v>6.9829868825694457E-4</v>
      </c>
    </row>
    <row r="180" spans="1:3" x14ac:dyDescent="0.25">
      <c r="A180" s="3">
        <v>1176</v>
      </c>
      <c r="B180">
        <v>1.134204861111111E-3</v>
      </c>
      <c r="C180">
        <v>1.134204861111111E-3</v>
      </c>
    </row>
    <row r="181" spans="1:3" x14ac:dyDescent="0.25">
      <c r="A181" s="3">
        <v>1177</v>
      </c>
      <c r="B181">
        <v>8.7029282407407422E-4</v>
      </c>
      <c r="C181">
        <v>8.7029282407407422E-4</v>
      </c>
    </row>
    <row r="182" spans="1:3" x14ac:dyDescent="0.25">
      <c r="A182" s="3">
        <v>1178</v>
      </c>
      <c r="B182">
        <v>9.3749999999999997E-4</v>
      </c>
      <c r="C182">
        <v>9.3749999999999997E-4</v>
      </c>
    </row>
    <row r="183" spans="1:3" x14ac:dyDescent="0.25">
      <c r="A183" s="3">
        <v>1179</v>
      </c>
      <c r="B183">
        <v>6.0005671296296304E-4</v>
      </c>
      <c r="C183">
        <v>5.724803240740741E-4</v>
      </c>
    </row>
    <row r="184" spans="1:3" x14ac:dyDescent="0.25">
      <c r="A184" s="3">
        <v>1180</v>
      </c>
      <c r="B184">
        <v>5.8795486111111103E-4</v>
      </c>
      <c r="C184">
        <v>5.8795486111111103E-4</v>
      </c>
    </row>
    <row r="185" spans="1:3" x14ac:dyDescent="0.25">
      <c r="A185" s="3">
        <v>1181</v>
      </c>
      <c r="B185">
        <v>5.4758564814814806E-4</v>
      </c>
      <c r="C185">
        <v>4.4822164351851848E-4</v>
      </c>
    </row>
    <row r="186" spans="1:3" x14ac:dyDescent="0.25">
      <c r="A186" s="3">
        <v>1182</v>
      </c>
      <c r="B186">
        <v>4.1666666666666664E-4</v>
      </c>
      <c r="C186">
        <v>4.1666666666666664E-4</v>
      </c>
    </row>
    <row r="187" spans="1:3" x14ac:dyDescent="0.25">
      <c r="A187" s="3">
        <v>1183</v>
      </c>
      <c r="B187">
        <v>3.5057060185185186E-4</v>
      </c>
      <c r="C187">
        <v>3.5057060185185186E-4</v>
      </c>
    </row>
    <row r="188" spans="1:3" x14ac:dyDescent="0.25">
      <c r="A188" s="3">
        <v>1184</v>
      </c>
      <c r="B188">
        <v>3.0909375000000002E-4</v>
      </c>
      <c r="C188">
        <v>3.0909375000000002E-4</v>
      </c>
    </row>
    <row r="189" spans="1:3" x14ac:dyDescent="0.25">
      <c r="A189" s="3">
        <v>1185</v>
      </c>
      <c r="B189">
        <v>1.6658912037037038E-4</v>
      </c>
      <c r="C189">
        <v>1.2607986111111112E-4</v>
      </c>
    </row>
    <row r="190" spans="1:3" x14ac:dyDescent="0.25">
      <c r="A190" s="3">
        <v>1186</v>
      </c>
      <c r="B190">
        <v>1.851851851851852E-4</v>
      </c>
      <c r="C190">
        <v>1.3888888888888892E-4</v>
      </c>
    </row>
    <row r="191" spans="1:3" x14ac:dyDescent="0.25">
      <c r="A191" s="3">
        <v>1187</v>
      </c>
      <c r="B191">
        <v>2.0833333333333332E-4</v>
      </c>
      <c r="C191">
        <v>2.0833333333333332E-4</v>
      </c>
    </row>
    <row r="192" spans="1:3" x14ac:dyDescent="0.25">
      <c r="A192" s="3">
        <v>1188</v>
      </c>
      <c r="B192">
        <v>9.6674768518518507E-5</v>
      </c>
      <c r="C192">
        <v>9.6674768518518507E-5</v>
      </c>
    </row>
    <row r="193" spans="1:3" x14ac:dyDescent="0.25">
      <c r="A193" s="3">
        <v>1189</v>
      </c>
      <c r="B193">
        <v>1.0416666666666669E-4</v>
      </c>
      <c r="C193">
        <v>1.0416666666666669E-4</v>
      </c>
    </row>
    <row r="194" spans="1:3" x14ac:dyDescent="0.25">
      <c r="A194" s="3" t="s">
        <v>23</v>
      </c>
      <c r="B194">
        <v>157.81153758912035</v>
      </c>
      <c r="C194">
        <v>119.17018226278263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2DD4-3A07-49F3-B72E-D2309F0F4DBF}">
  <dimension ref="A3:H47"/>
  <sheetViews>
    <sheetView workbookViewId="0">
      <selection activeCell="G27" sqref="G27"/>
    </sheetView>
  </sheetViews>
  <sheetFormatPr baseColWidth="10" defaultRowHeight="15" x14ac:dyDescent="0.25"/>
  <cols>
    <col min="1" max="1" width="22.42578125" bestFit="1" customWidth="1"/>
    <col min="2" max="2" width="29.28515625" bestFit="1" customWidth="1"/>
    <col min="3" max="3" width="34.140625" bestFit="1" customWidth="1"/>
  </cols>
  <sheetData>
    <row r="3" spans="1:3" x14ac:dyDescent="0.25">
      <c r="A3" s="8" t="s">
        <v>24</v>
      </c>
      <c r="B3" t="s">
        <v>35</v>
      </c>
      <c r="C3" t="s">
        <v>34</v>
      </c>
    </row>
    <row r="4" spans="1:3" x14ac:dyDescent="0.25">
      <c r="A4" s="3">
        <v>1</v>
      </c>
      <c r="B4">
        <v>284</v>
      </c>
      <c r="C4" s="9">
        <v>156.01269444444452</v>
      </c>
    </row>
    <row r="5" spans="1:3" x14ac:dyDescent="0.25">
      <c r="A5" s="3">
        <v>2</v>
      </c>
      <c r="B5">
        <v>257</v>
      </c>
      <c r="C5" s="9">
        <v>170.40174712500016</v>
      </c>
    </row>
    <row r="6" spans="1:3" x14ac:dyDescent="0.25">
      <c r="A6" s="3">
        <v>3</v>
      </c>
      <c r="B6">
        <v>252</v>
      </c>
      <c r="C6" s="9">
        <v>162.93750166666675</v>
      </c>
    </row>
    <row r="7" spans="1:3" x14ac:dyDescent="0.25">
      <c r="A7" s="3">
        <v>4</v>
      </c>
      <c r="B7">
        <v>275</v>
      </c>
      <c r="C7" s="9">
        <v>177.2239139444444</v>
      </c>
    </row>
    <row r="8" spans="1:3" x14ac:dyDescent="0.25">
      <c r="A8" s="3">
        <v>5</v>
      </c>
      <c r="B8">
        <v>238</v>
      </c>
      <c r="C8" s="9">
        <v>147.68372055555565</v>
      </c>
    </row>
    <row r="9" spans="1:3" x14ac:dyDescent="0.25">
      <c r="A9" s="3">
        <v>6</v>
      </c>
      <c r="B9">
        <v>253</v>
      </c>
      <c r="C9" s="9">
        <v>158.0592455972222</v>
      </c>
    </row>
    <row r="10" spans="1:3" x14ac:dyDescent="0.25">
      <c r="A10" s="3">
        <v>7</v>
      </c>
      <c r="B10">
        <v>250</v>
      </c>
      <c r="C10" s="9">
        <v>152.66847259722221</v>
      </c>
    </row>
    <row r="11" spans="1:3" x14ac:dyDescent="0.25">
      <c r="A11" s="3">
        <v>8</v>
      </c>
      <c r="B11">
        <v>244</v>
      </c>
      <c r="C11" s="9">
        <v>154.58099604166657</v>
      </c>
    </row>
    <row r="12" spans="1:3" x14ac:dyDescent="0.25">
      <c r="A12" s="3">
        <v>9</v>
      </c>
      <c r="B12">
        <v>238</v>
      </c>
      <c r="C12" s="9">
        <v>147.42485434722221</v>
      </c>
    </row>
    <row r="13" spans="1:3" x14ac:dyDescent="0.25">
      <c r="A13" s="3">
        <v>10</v>
      </c>
      <c r="B13">
        <v>247</v>
      </c>
      <c r="C13" s="9">
        <v>156.95798579166669</v>
      </c>
    </row>
    <row r="14" spans="1:3" x14ac:dyDescent="0.25">
      <c r="A14" s="3">
        <v>11</v>
      </c>
      <c r="B14">
        <v>249</v>
      </c>
      <c r="C14" s="9">
        <v>154.29343427777772</v>
      </c>
    </row>
    <row r="15" spans="1:3" x14ac:dyDescent="0.25">
      <c r="A15" s="3">
        <v>12</v>
      </c>
      <c r="B15">
        <v>250</v>
      </c>
      <c r="C15" s="9">
        <v>155.49388468055542</v>
      </c>
    </row>
    <row r="16" spans="1:3" x14ac:dyDescent="0.25">
      <c r="A16" s="3" t="s">
        <v>23</v>
      </c>
      <c r="B16">
        <v>3037</v>
      </c>
      <c r="C16" s="9">
        <v>1893.7384510694446</v>
      </c>
    </row>
    <row r="34" spans="6:8" x14ac:dyDescent="0.25">
      <c r="H34">
        <f>+MIN(H35:H46)</f>
        <v>0.33695818239299546</v>
      </c>
    </row>
    <row r="35" spans="6:8" x14ac:dyDescent="0.25">
      <c r="F35">
        <v>257</v>
      </c>
      <c r="G35" s="9">
        <v>170.40174712500016</v>
      </c>
      <c r="H35">
        <f>1-G35/F35</f>
        <v>0.33695818239299546</v>
      </c>
    </row>
    <row r="36" spans="6:8" x14ac:dyDescent="0.25">
      <c r="F36">
        <v>252</v>
      </c>
      <c r="G36" s="9">
        <v>162.93750166666675</v>
      </c>
      <c r="H36">
        <f t="shared" ref="H36:H46" si="0">1-G36/F36</f>
        <v>0.35342261243386208</v>
      </c>
    </row>
    <row r="37" spans="6:8" x14ac:dyDescent="0.25">
      <c r="F37">
        <v>275</v>
      </c>
      <c r="G37" s="9">
        <v>177.2239139444444</v>
      </c>
      <c r="H37">
        <f t="shared" si="0"/>
        <v>0.35554940383838396</v>
      </c>
    </row>
    <row r="38" spans="6:8" x14ac:dyDescent="0.25">
      <c r="F38">
        <v>238</v>
      </c>
      <c r="G38" s="9">
        <v>147.68372055555565</v>
      </c>
      <c r="H38">
        <f t="shared" si="0"/>
        <v>0.3794801657329594</v>
      </c>
    </row>
    <row r="39" spans="6:8" x14ac:dyDescent="0.25">
      <c r="F39">
        <v>253</v>
      </c>
      <c r="G39" s="9">
        <v>158.0592455972222</v>
      </c>
      <c r="H39">
        <f t="shared" si="0"/>
        <v>0.37525989882520872</v>
      </c>
    </row>
    <row r="40" spans="6:8" x14ac:dyDescent="0.25">
      <c r="F40">
        <v>250</v>
      </c>
      <c r="G40" s="9">
        <v>152.66847259722221</v>
      </c>
      <c r="H40">
        <f t="shared" si="0"/>
        <v>0.38932610961111114</v>
      </c>
    </row>
    <row r="41" spans="6:8" x14ac:dyDescent="0.25">
      <c r="F41">
        <v>244</v>
      </c>
      <c r="G41" s="9">
        <v>154.58099604166657</v>
      </c>
      <c r="H41">
        <f t="shared" si="0"/>
        <v>0.36647132769808788</v>
      </c>
    </row>
    <row r="42" spans="6:8" x14ac:dyDescent="0.25">
      <c r="F42">
        <v>250</v>
      </c>
      <c r="G42" s="9">
        <v>155.49388468055542</v>
      </c>
      <c r="H42">
        <f t="shared" si="0"/>
        <v>0.37802446127777833</v>
      </c>
    </row>
    <row r="43" spans="6:8" x14ac:dyDescent="0.25">
      <c r="F43">
        <v>247</v>
      </c>
      <c r="G43" s="9">
        <v>156.95798579166669</v>
      </c>
      <c r="H43">
        <f t="shared" si="0"/>
        <v>0.36454256764507409</v>
      </c>
    </row>
    <row r="44" spans="6:8" x14ac:dyDescent="0.25">
      <c r="F44">
        <v>249</v>
      </c>
      <c r="G44" s="9">
        <v>154.29343427777772</v>
      </c>
      <c r="H44">
        <f t="shared" si="0"/>
        <v>0.38034765350290067</v>
      </c>
    </row>
    <row r="45" spans="6:8" x14ac:dyDescent="0.25">
      <c r="F45">
        <v>238</v>
      </c>
      <c r="G45" s="9">
        <v>147.42485434722221</v>
      </c>
      <c r="H45">
        <f t="shared" si="0"/>
        <v>0.38056783887721757</v>
      </c>
    </row>
    <row r="46" spans="6:8" x14ac:dyDescent="0.25">
      <c r="F46">
        <v>284</v>
      </c>
      <c r="G46" s="9">
        <v>156.01269444444452</v>
      </c>
      <c r="H46">
        <f t="shared" si="0"/>
        <v>0.45065952660406861</v>
      </c>
    </row>
    <row r="47" spans="6:8" x14ac:dyDescent="0.25">
      <c r="F47" s="10">
        <v>3037</v>
      </c>
      <c r="G47" s="11">
        <v>1893.7384510694446</v>
      </c>
      <c r="H47">
        <f>1-G47/F47</f>
        <v>0.37644436909139134</v>
      </c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D381-BC80-45CF-A9FC-DC8E516198F6}">
  <dimension ref="A1:H1849"/>
  <sheetViews>
    <sheetView tabSelected="1" workbookViewId="0">
      <selection activeCell="G16" sqref="G16"/>
    </sheetView>
  </sheetViews>
  <sheetFormatPr baseColWidth="10" defaultRowHeight="15" x14ac:dyDescent="0.25"/>
  <cols>
    <col min="1" max="1" width="15.140625" bestFit="1" customWidth="1"/>
    <col min="3" max="3" width="12.7109375" bestFit="1" customWidth="1"/>
    <col min="4" max="4" width="14" bestFit="1" customWidth="1"/>
    <col min="5" max="5" width="19.5703125" bestFit="1" customWidth="1"/>
    <col min="6" max="6" width="20.85546875" bestFit="1" customWidth="1"/>
    <col min="7" max="7" width="33.5703125" bestFit="1" customWidth="1"/>
    <col min="8" max="8" width="47.140625" bestFit="1" customWidth="1"/>
  </cols>
  <sheetData>
    <row r="1" spans="1:8" x14ac:dyDescent="0.25">
      <c r="A1" s="1" t="s">
        <v>27</v>
      </c>
      <c r="B1" t="s">
        <v>30</v>
      </c>
      <c r="C1" t="s">
        <v>28</v>
      </c>
      <c r="D1" t="s">
        <v>29</v>
      </c>
      <c r="E1" s="2" t="s">
        <v>2</v>
      </c>
      <c r="F1" s="2" t="s">
        <v>3</v>
      </c>
      <c r="G1" t="s">
        <v>32</v>
      </c>
      <c r="H1" t="s">
        <v>33</v>
      </c>
    </row>
    <row r="2" spans="1:8" x14ac:dyDescent="0.25">
      <c r="A2">
        <v>1000</v>
      </c>
      <c r="B2">
        <v>1</v>
      </c>
      <c r="C2">
        <v>155.12972222222223</v>
      </c>
      <c r="D2">
        <v>137.15694444444443</v>
      </c>
      <c r="E2">
        <f t="shared" ref="E2:E65" si="0">+C2/20/12</f>
        <v>0.64637384259259256</v>
      </c>
      <c r="F2">
        <f t="shared" ref="F2:F65" si="1">+D2/20/12</f>
        <v>0.5714872685185185</v>
      </c>
      <c r="G2">
        <f t="shared" ref="G2:G65" si="2">+ROUNDUP(E2*12,0)</f>
        <v>8</v>
      </c>
      <c r="H2">
        <f t="shared" ref="H2:H65" si="3">+E2*12</f>
        <v>7.7564861111111103</v>
      </c>
    </row>
    <row r="3" spans="1:8" x14ac:dyDescent="0.25">
      <c r="A3">
        <v>1000</v>
      </c>
      <c r="B3">
        <v>2</v>
      </c>
      <c r="C3">
        <v>168.40761277777781</v>
      </c>
      <c r="D3">
        <v>124.3127455952381</v>
      </c>
      <c r="E3">
        <f t="shared" si="0"/>
        <v>0.70169838657407413</v>
      </c>
      <c r="F3">
        <f t="shared" si="1"/>
        <v>0.51796977331349214</v>
      </c>
      <c r="G3">
        <f t="shared" si="2"/>
        <v>9</v>
      </c>
      <c r="H3">
        <f t="shared" si="3"/>
        <v>8.42038063888889</v>
      </c>
    </row>
    <row r="4" spans="1:8" x14ac:dyDescent="0.25">
      <c r="A4">
        <v>1000</v>
      </c>
      <c r="B4">
        <v>3</v>
      </c>
      <c r="C4">
        <v>170.44148277777779</v>
      </c>
      <c r="D4">
        <v>117.1995622023808</v>
      </c>
      <c r="E4">
        <f t="shared" si="0"/>
        <v>0.71017284490740751</v>
      </c>
      <c r="F4">
        <f t="shared" si="1"/>
        <v>0.48833150917658669</v>
      </c>
      <c r="G4">
        <f t="shared" si="2"/>
        <v>9</v>
      </c>
      <c r="H4">
        <f t="shared" si="3"/>
        <v>8.5220741388888896</v>
      </c>
    </row>
    <row r="5" spans="1:8" x14ac:dyDescent="0.25">
      <c r="A5">
        <v>1000</v>
      </c>
      <c r="B5">
        <v>4</v>
      </c>
      <c r="C5">
        <v>170.80081250000001</v>
      </c>
      <c r="D5">
        <v>155.71005450000001</v>
      </c>
      <c r="E5">
        <f t="shared" si="0"/>
        <v>0.71167005208333334</v>
      </c>
      <c r="F5">
        <f t="shared" si="1"/>
        <v>0.64879189375000001</v>
      </c>
      <c r="G5">
        <f t="shared" si="2"/>
        <v>9</v>
      </c>
      <c r="H5">
        <f t="shared" si="3"/>
        <v>8.5400406249999996</v>
      </c>
    </row>
    <row r="6" spans="1:8" x14ac:dyDescent="0.25">
      <c r="A6">
        <v>1000</v>
      </c>
      <c r="B6">
        <v>5</v>
      </c>
      <c r="C6">
        <v>170.41265388888891</v>
      </c>
      <c r="D6">
        <v>162.55184091666669</v>
      </c>
      <c r="E6">
        <f t="shared" si="0"/>
        <v>0.71005272453703716</v>
      </c>
      <c r="F6">
        <f t="shared" si="1"/>
        <v>0.6772993371527779</v>
      </c>
      <c r="G6">
        <f t="shared" si="2"/>
        <v>9</v>
      </c>
      <c r="H6">
        <f t="shared" si="3"/>
        <v>8.5206326944444459</v>
      </c>
    </row>
    <row r="7" spans="1:8" x14ac:dyDescent="0.25">
      <c r="A7">
        <v>1000</v>
      </c>
      <c r="B7">
        <v>6</v>
      </c>
      <c r="C7">
        <v>168.96931805555559</v>
      </c>
      <c r="D7">
        <v>167.0940138888889</v>
      </c>
      <c r="E7">
        <f t="shared" si="0"/>
        <v>0.70403882523148165</v>
      </c>
      <c r="F7">
        <f t="shared" si="1"/>
        <v>0.69622505787037037</v>
      </c>
      <c r="G7">
        <f t="shared" si="2"/>
        <v>9</v>
      </c>
      <c r="H7">
        <f t="shared" si="3"/>
        <v>8.4484659027777802</v>
      </c>
    </row>
    <row r="8" spans="1:8" x14ac:dyDescent="0.25">
      <c r="A8">
        <v>1000</v>
      </c>
      <c r="B8">
        <v>7</v>
      </c>
      <c r="C8">
        <v>169.14663138888889</v>
      </c>
      <c r="D8">
        <v>145.19360944444441</v>
      </c>
      <c r="E8">
        <f t="shared" si="0"/>
        <v>0.70477763078703715</v>
      </c>
      <c r="F8">
        <f t="shared" si="1"/>
        <v>0.60497337268518503</v>
      </c>
      <c r="G8">
        <f t="shared" si="2"/>
        <v>9</v>
      </c>
      <c r="H8">
        <f t="shared" si="3"/>
        <v>8.4573315694444453</v>
      </c>
    </row>
    <row r="9" spans="1:8" x14ac:dyDescent="0.25">
      <c r="A9">
        <v>1000</v>
      </c>
      <c r="B9">
        <v>8</v>
      </c>
      <c r="C9">
        <v>169.26977777777779</v>
      </c>
      <c r="D9">
        <v>164.12907721014469</v>
      </c>
      <c r="E9">
        <f t="shared" si="0"/>
        <v>0.70529074074074083</v>
      </c>
      <c r="F9">
        <f t="shared" si="1"/>
        <v>0.68387115504226959</v>
      </c>
      <c r="G9">
        <f t="shared" si="2"/>
        <v>9</v>
      </c>
      <c r="H9">
        <f t="shared" si="3"/>
        <v>8.4634888888888895</v>
      </c>
    </row>
    <row r="10" spans="1:8" x14ac:dyDescent="0.25">
      <c r="A10">
        <v>1000</v>
      </c>
      <c r="B10">
        <v>9</v>
      </c>
      <c r="C10">
        <v>167.78578555555549</v>
      </c>
      <c r="D10">
        <v>137.58714300925919</v>
      </c>
      <c r="E10">
        <f t="shared" si="0"/>
        <v>0.69910743981481449</v>
      </c>
      <c r="F10">
        <f t="shared" si="1"/>
        <v>0.57327976253858004</v>
      </c>
      <c r="G10">
        <f t="shared" si="2"/>
        <v>9</v>
      </c>
      <c r="H10">
        <f t="shared" si="3"/>
        <v>8.3892892777777739</v>
      </c>
    </row>
    <row r="11" spans="1:8" x14ac:dyDescent="0.25">
      <c r="A11">
        <v>1000</v>
      </c>
      <c r="B11">
        <v>10</v>
      </c>
      <c r="C11">
        <v>168.99513944444439</v>
      </c>
      <c r="D11">
        <v>158.87889890151499</v>
      </c>
      <c r="E11">
        <f t="shared" si="0"/>
        <v>0.70414641435185166</v>
      </c>
      <c r="F11">
        <f t="shared" si="1"/>
        <v>0.66199541208964574</v>
      </c>
      <c r="G11">
        <f t="shared" si="2"/>
        <v>9</v>
      </c>
      <c r="H11">
        <f t="shared" si="3"/>
        <v>8.4497569722222199</v>
      </c>
    </row>
    <row r="12" spans="1:8" x14ac:dyDescent="0.25">
      <c r="A12">
        <v>1000</v>
      </c>
      <c r="B12">
        <v>11</v>
      </c>
      <c r="C12">
        <v>167.79297972222221</v>
      </c>
      <c r="D12">
        <v>160.29596598484829</v>
      </c>
      <c r="E12">
        <f t="shared" si="0"/>
        <v>0.69913741550925923</v>
      </c>
      <c r="F12">
        <f t="shared" si="1"/>
        <v>0.66789985827020126</v>
      </c>
      <c r="G12">
        <f t="shared" si="2"/>
        <v>9</v>
      </c>
      <c r="H12">
        <f t="shared" si="3"/>
        <v>8.3896489861111103</v>
      </c>
    </row>
    <row r="13" spans="1:8" x14ac:dyDescent="0.25">
      <c r="A13">
        <v>1000</v>
      </c>
      <c r="B13">
        <v>12</v>
      </c>
      <c r="C13">
        <v>169.5329227777778</v>
      </c>
      <c r="D13">
        <v>152.93026903439139</v>
      </c>
      <c r="E13">
        <f t="shared" si="0"/>
        <v>0.70638717824074082</v>
      </c>
      <c r="F13">
        <f t="shared" si="1"/>
        <v>0.63720945430996412</v>
      </c>
      <c r="G13">
        <f t="shared" si="2"/>
        <v>9</v>
      </c>
      <c r="H13">
        <f t="shared" si="3"/>
        <v>8.4766461388888903</v>
      </c>
    </row>
    <row r="14" spans="1:8" x14ac:dyDescent="0.25">
      <c r="A14">
        <v>1001</v>
      </c>
      <c r="B14">
        <v>1</v>
      </c>
      <c r="C14">
        <v>142.51749999999998</v>
      </c>
      <c r="D14">
        <v>87.165833333333325</v>
      </c>
      <c r="E14">
        <f t="shared" si="0"/>
        <v>0.59382291666666653</v>
      </c>
      <c r="F14">
        <f t="shared" si="1"/>
        <v>0.36319097222222219</v>
      </c>
      <c r="G14">
        <f t="shared" si="2"/>
        <v>8</v>
      </c>
      <c r="H14">
        <f t="shared" si="3"/>
        <v>7.1258749999999988</v>
      </c>
    </row>
    <row r="15" spans="1:8" x14ac:dyDescent="0.25">
      <c r="A15">
        <v>1001</v>
      </c>
      <c r="B15">
        <v>2</v>
      </c>
      <c r="C15">
        <v>158.80018777777781</v>
      </c>
      <c r="D15">
        <v>107.5939890782828</v>
      </c>
      <c r="E15">
        <f t="shared" si="0"/>
        <v>0.66166744907407427</v>
      </c>
      <c r="F15">
        <f t="shared" si="1"/>
        <v>0.44830828782617838</v>
      </c>
      <c r="G15">
        <f t="shared" si="2"/>
        <v>8</v>
      </c>
      <c r="H15">
        <f t="shared" si="3"/>
        <v>7.9400093888888907</v>
      </c>
    </row>
    <row r="16" spans="1:8" x14ac:dyDescent="0.25">
      <c r="A16">
        <v>1001</v>
      </c>
      <c r="B16">
        <v>3</v>
      </c>
      <c r="C16">
        <v>158.58475944444439</v>
      </c>
      <c r="D16">
        <v>95.013529537036945</v>
      </c>
      <c r="E16">
        <f t="shared" si="0"/>
        <v>0.66076983101851827</v>
      </c>
      <c r="F16">
        <f t="shared" si="1"/>
        <v>0.39588970640432058</v>
      </c>
      <c r="G16">
        <f t="shared" si="2"/>
        <v>8</v>
      </c>
      <c r="H16">
        <f t="shared" si="3"/>
        <v>7.9292379722222197</v>
      </c>
    </row>
    <row r="17" spans="1:8" x14ac:dyDescent="0.25">
      <c r="A17">
        <v>1001</v>
      </c>
      <c r="B17">
        <v>4</v>
      </c>
      <c r="C17">
        <v>158.68968333333331</v>
      </c>
      <c r="D17">
        <v>94.84001903381639</v>
      </c>
      <c r="E17">
        <f t="shared" si="0"/>
        <v>0.66120701388888881</v>
      </c>
      <c r="F17">
        <f t="shared" si="1"/>
        <v>0.39516674597423496</v>
      </c>
      <c r="G17">
        <f t="shared" si="2"/>
        <v>8</v>
      </c>
      <c r="H17">
        <f t="shared" si="3"/>
        <v>7.9344841666666657</v>
      </c>
    </row>
    <row r="18" spans="1:8" x14ac:dyDescent="0.25">
      <c r="A18">
        <v>1001</v>
      </c>
      <c r="B18">
        <v>5</v>
      </c>
      <c r="C18">
        <v>152.42732694444439</v>
      </c>
      <c r="D18">
        <v>83.480213020833332</v>
      </c>
      <c r="E18">
        <f t="shared" si="0"/>
        <v>0.63511386226851829</v>
      </c>
      <c r="F18">
        <f t="shared" si="1"/>
        <v>0.34783422092013888</v>
      </c>
      <c r="G18">
        <f t="shared" si="2"/>
        <v>8</v>
      </c>
      <c r="H18">
        <f t="shared" si="3"/>
        <v>7.6213663472222191</v>
      </c>
    </row>
    <row r="19" spans="1:8" x14ac:dyDescent="0.25">
      <c r="A19">
        <v>1001</v>
      </c>
      <c r="B19">
        <v>6</v>
      </c>
      <c r="C19">
        <v>158.7581625</v>
      </c>
      <c r="D19">
        <v>89.615817870370279</v>
      </c>
      <c r="E19">
        <f t="shared" si="0"/>
        <v>0.66149234374999999</v>
      </c>
      <c r="F19">
        <f t="shared" si="1"/>
        <v>0.37339924112654282</v>
      </c>
      <c r="G19">
        <f t="shared" si="2"/>
        <v>8</v>
      </c>
      <c r="H19">
        <f t="shared" si="3"/>
        <v>7.9379081249999999</v>
      </c>
    </row>
    <row r="20" spans="1:8" x14ac:dyDescent="0.25">
      <c r="A20">
        <v>1001</v>
      </c>
      <c r="B20">
        <v>7</v>
      </c>
      <c r="C20">
        <v>138.0421747222222</v>
      </c>
      <c r="D20">
        <v>91.766906780302776</v>
      </c>
      <c r="E20">
        <f t="shared" si="0"/>
        <v>0.5751757280092592</v>
      </c>
      <c r="F20">
        <f t="shared" si="1"/>
        <v>0.38236211158459493</v>
      </c>
      <c r="G20">
        <f t="shared" si="2"/>
        <v>7</v>
      </c>
      <c r="H20">
        <f t="shared" si="3"/>
        <v>6.90210873611111</v>
      </c>
    </row>
    <row r="21" spans="1:8" x14ac:dyDescent="0.25">
      <c r="A21">
        <v>1001</v>
      </c>
      <c r="B21">
        <v>8</v>
      </c>
      <c r="C21">
        <v>158.77070611111111</v>
      </c>
      <c r="D21">
        <v>94.825163511111114</v>
      </c>
      <c r="E21">
        <f t="shared" si="0"/>
        <v>0.66154460879629629</v>
      </c>
      <c r="F21">
        <f t="shared" si="1"/>
        <v>0.39510484796296302</v>
      </c>
      <c r="G21">
        <f t="shared" si="2"/>
        <v>8</v>
      </c>
      <c r="H21">
        <f t="shared" si="3"/>
        <v>7.9385353055555559</v>
      </c>
    </row>
    <row r="22" spans="1:8" x14ac:dyDescent="0.25">
      <c r="A22">
        <v>1001</v>
      </c>
      <c r="B22">
        <v>9</v>
      </c>
      <c r="C22">
        <v>158.65364638888889</v>
      </c>
      <c r="D22">
        <v>88.617748584655828</v>
      </c>
      <c r="E22">
        <f t="shared" si="0"/>
        <v>0.66105685995370367</v>
      </c>
      <c r="F22">
        <f t="shared" si="1"/>
        <v>0.36924061910273265</v>
      </c>
      <c r="G22">
        <f t="shared" si="2"/>
        <v>8</v>
      </c>
      <c r="H22">
        <f t="shared" si="3"/>
        <v>7.932682319444444</v>
      </c>
    </row>
    <row r="23" spans="1:8" x14ac:dyDescent="0.25">
      <c r="A23">
        <v>1001</v>
      </c>
      <c r="B23">
        <v>10</v>
      </c>
      <c r="C23">
        <v>158.70751916666671</v>
      </c>
      <c r="D23">
        <v>101.4612298309178</v>
      </c>
      <c r="E23">
        <f t="shared" si="0"/>
        <v>0.66128132986111132</v>
      </c>
      <c r="F23">
        <f t="shared" si="1"/>
        <v>0.42275512429549084</v>
      </c>
      <c r="G23">
        <f t="shared" si="2"/>
        <v>8</v>
      </c>
      <c r="H23">
        <f t="shared" si="3"/>
        <v>7.9353759583333359</v>
      </c>
    </row>
    <row r="24" spans="1:8" x14ac:dyDescent="0.25">
      <c r="A24">
        <v>1001</v>
      </c>
      <c r="B24">
        <v>11</v>
      </c>
      <c r="C24">
        <v>150.22289749999999</v>
      </c>
      <c r="D24">
        <v>94.785689106280003</v>
      </c>
      <c r="E24">
        <f t="shared" si="0"/>
        <v>0.62592873958333328</v>
      </c>
      <c r="F24">
        <f t="shared" si="1"/>
        <v>0.39494037127616671</v>
      </c>
      <c r="G24">
        <f t="shared" si="2"/>
        <v>8</v>
      </c>
      <c r="H24">
        <f t="shared" si="3"/>
        <v>7.5111448749999994</v>
      </c>
    </row>
    <row r="25" spans="1:8" x14ac:dyDescent="0.25">
      <c r="A25">
        <v>1001</v>
      </c>
      <c r="B25">
        <v>12</v>
      </c>
      <c r="C25">
        <v>158.55138166666671</v>
      </c>
      <c r="D25">
        <v>103.9886280687831</v>
      </c>
      <c r="E25">
        <f t="shared" si="0"/>
        <v>0.66063075694444462</v>
      </c>
      <c r="F25">
        <f t="shared" si="1"/>
        <v>0.43328595028659622</v>
      </c>
      <c r="G25">
        <f t="shared" si="2"/>
        <v>8</v>
      </c>
      <c r="H25">
        <f t="shared" si="3"/>
        <v>7.927569083333335</v>
      </c>
    </row>
    <row r="26" spans="1:8" x14ac:dyDescent="0.25">
      <c r="A26">
        <v>1002</v>
      </c>
      <c r="B26">
        <v>1</v>
      </c>
      <c r="C26">
        <v>94.443055555555546</v>
      </c>
      <c r="D26">
        <v>54.94166666666667</v>
      </c>
      <c r="E26">
        <f t="shared" si="0"/>
        <v>0.39351273148148147</v>
      </c>
      <c r="F26">
        <f t="shared" si="1"/>
        <v>0.22892361111111112</v>
      </c>
      <c r="G26">
        <f t="shared" si="2"/>
        <v>5</v>
      </c>
      <c r="H26">
        <f t="shared" si="3"/>
        <v>4.7221527777777776</v>
      </c>
    </row>
    <row r="27" spans="1:8" x14ac:dyDescent="0.25">
      <c r="A27">
        <v>1002</v>
      </c>
      <c r="B27">
        <v>2</v>
      </c>
      <c r="C27">
        <v>39.415931388888893</v>
      </c>
      <c r="D27">
        <v>26.688750012626109</v>
      </c>
      <c r="E27">
        <f t="shared" si="0"/>
        <v>0.16423304745370373</v>
      </c>
      <c r="F27">
        <f t="shared" si="1"/>
        <v>0.11120312505260878</v>
      </c>
      <c r="G27">
        <f t="shared" si="2"/>
        <v>2</v>
      </c>
      <c r="H27">
        <f t="shared" si="3"/>
        <v>1.9707965694444449</v>
      </c>
    </row>
    <row r="28" spans="1:8" x14ac:dyDescent="0.25">
      <c r="A28">
        <v>1002</v>
      </c>
      <c r="B28">
        <v>3</v>
      </c>
      <c r="C28">
        <v>39.411208611111107</v>
      </c>
      <c r="D28">
        <v>24.174621547618891</v>
      </c>
      <c r="E28">
        <f t="shared" si="0"/>
        <v>0.16421336921296295</v>
      </c>
      <c r="F28">
        <f t="shared" si="1"/>
        <v>0.10072758978174538</v>
      </c>
      <c r="G28">
        <f t="shared" si="2"/>
        <v>2</v>
      </c>
      <c r="H28">
        <f t="shared" si="3"/>
        <v>1.9705604305555555</v>
      </c>
    </row>
    <row r="29" spans="1:8" x14ac:dyDescent="0.25">
      <c r="A29">
        <v>1002</v>
      </c>
      <c r="B29">
        <v>4</v>
      </c>
      <c r="C29">
        <v>118.1319441666667</v>
      </c>
      <c r="D29">
        <v>60.417727013888893</v>
      </c>
      <c r="E29">
        <f t="shared" si="0"/>
        <v>0.49221643402777793</v>
      </c>
      <c r="F29">
        <f t="shared" si="1"/>
        <v>0.25174052922453705</v>
      </c>
      <c r="G29">
        <f t="shared" si="2"/>
        <v>6</v>
      </c>
      <c r="H29">
        <f t="shared" si="3"/>
        <v>5.9065972083333351</v>
      </c>
    </row>
    <row r="30" spans="1:8" x14ac:dyDescent="0.25">
      <c r="A30">
        <v>1002</v>
      </c>
      <c r="B30">
        <v>5</v>
      </c>
      <c r="C30">
        <v>109.8358158333333</v>
      </c>
      <c r="D30">
        <v>63.834116147342783</v>
      </c>
      <c r="E30">
        <f t="shared" si="0"/>
        <v>0.45764923263888874</v>
      </c>
      <c r="F30">
        <f t="shared" si="1"/>
        <v>0.26597548394726162</v>
      </c>
      <c r="G30">
        <f t="shared" si="2"/>
        <v>6</v>
      </c>
      <c r="H30">
        <f t="shared" si="3"/>
        <v>5.4917907916666646</v>
      </c>
    </row>
    <row r="31" spans="1:8" x14ac:dyDescent="0.25">
      <c r="A31">
        <v>1002</v>
      </c>
      <c r="B31">
        <v>6</v>
      </c>
      <c r="C31">
        <v>118.15116583333329</v>
      </c>
      <c r="D31">
        <v>73.766491611111107</v>
      </c>
      <c r="E31">
        <f t="shared" si="0"/>
        <v>0.49229652430555543</v>
      </c>
      <c r="F31">
        <f t="shared" si="1"/>
        <v>0.30736038171296293</v>
      </c>
      <c r="G31">
        <f t="shared" si="2"/>
        <v>6</v>
      </c>
      <c r="H31">
        <f t="shared" si="3"/>
        <v>5.9075582916666649</v>
      </c>
    </row>
    <row r="32" spans="1:8" x14ac:dyDescent="0.25">
      <c r="A32">
        <v>1002</v>
      </c>
      <c r="B32">
        <v>7</v>
      </c>
      <c r="C32">
        <v>118.1248658333333</v>
      </c>
      <c r="D32">
        <v>66.902676969696941</v>
      </c>
      <c r="E32">
        <f t="shared" si="0"/>
        <v>0.4921869409722221</v>
      </c>
      <c r="F32">
        <f t="shared" si="1"/>
        <v>0.27876115404040391</v>
      </c>
      <c r="G32">
        <f t="shared" si="2"/>
        <v>6</v>
      </c>
      <c r="H32">
        <f t="shared" si="3"/>
        <v>5.906243291666665</v>
      </c>
    </row>
    <row r="33" spans="1:8" x14ac:dyDescent="0.25">
      <c r="A33">
        <v>1002</v>
      </c>
      <c r="B33">
        <v>8</v>
      </c>
      <c r="C33">
        <v>118.1024352777778</v>
      </c>
      <c r="D33">
        <v>69.113413588888889</v>
      </c>
      <c r="E33">
        <f t="shared" si="0"/>
        <v>0.49209348032407418</v>
      </c>
      <c r="F33">
        <f t="shared" si="1"/>
        <v>0.28797255662037036</v>
      </c>
      <c r="G33">
        <f t="shared" si="2"/>
        <v>6</v>
      </c>
      <c r="H33">
        <f t="shared" si="3"/>
        <v>5.9051217638888902</v>
      </c>
    </row>
    <row r="34" spans="1:8" x14ac:dyDescent="0.25">
      <c r="A34">
        <v>1002</v>
      </c>
      <c r="B34">
        <v>9</v>
      </c>
      <c r="C34">
        <v>117.95055000000001</v>
      </c>
      <c r="D34">
        <v>45.871661846404997</v>
      </c>
      <c r="E34">
        <f t="shared" si="0"/>
        <v>0.49146062500000004</v>
      </c>
      <c r="F34">
        <f t="shared" si="1"/>
        <v>0.19113192436002083</v>
      </c>
      <c r="G34">
        <f t="shared" si="2"/>
        <v>6</v>
      </c>
      <c r="H34">
        <f t="shared" si="3"/>
        <v>5.8975275000000007</v>
      </c>
    </row>
    <row r="35" spans="1:8" x14ac:dyDescent="0.25">
      <c r="A35">
        <v>1002</v>
      </c>
      <c r="B35">
        <v>10</v>
      </c>
      <c r="C35">
        <v>118.16755083333329</v>
      </c>
      <c r="D35">
        <v>75.598000374396108</v>
      </c>
      <c r="E35">
        <f t="shared" si="0"/>
        <v>0.49236479513888876</v>
      </c>
      <c r="F35">
        <f t="shared" si="1"/>
        <v>0.31499166822665042</v>
      </c>
      <c r="G35">
        <f t="shared" si="2"/>
        <v>6</v>
      </c>
      <c r="H35">
        <f t="shared" si="3"/>
        <v>5.9083775416666651</v>
      </c>
    </row>
    <row r="36" spans="1:8" x14ac:dyDescent="0.25">
      <c r="A36">
        <v>1002</v>
      </c>
      <c r="B36">
        <v>11</v>
      </c>
      <c r="C36">
        <v>117.9735752777778</v>
      </c>
      <c r="D36">
        <v>75.243865429292782</v>
      </c>
      <c r="E36">
        <f t="shared" si="0"/>
        <v>0.49155656365740752</v>
      </c>
      <c r="F36">
        <f t="shared" si="1"/>
        <v>0.31351610595538659</v>
      </c>
      <c r="G36">
        <f t="shared" si="2"/>
        <v>6</v>
      </c>
      <c r="H36">
        <f t="shared" si="3"/>
        <v>5.8986787638888902</v>
      </c>
    </row>
    <row r="37" spans="1:8" x14ac:dyDescent="0.25">
      <c r="A37">
        <v>1002</v>
      </c>
      <c r="B37">
        <v>12</v>
      </c>
      <c r="C37">
        <v>118.0483397222222</v>
      </c>
      <c r="D37">
        <v>77.688353796296113</v>
      </c>
      <c r="E37">
        <f t="shared" si="0"/>
        <v>0.49186808217592581</v>
      </c>
      <c r="F37">
        <f t="shared" si="1"/>
        <v>0.32370147415123379</v>
      </c>
      <c r="G37">
        <f t="shared" si="2"/>
        <v>6</v>
      </c>
      <c r="H37">
        <f t="shared" si="3"/>
        <v>5.9024169861111098</v>
      </c>
    </row>
    <row r="38" spans="1:8" x14ac:dyDescent="0.25">
      <c r="A38">
        <v>1003</v>
      </c>
      <c r="B38">
        <v>1</v>
      </c>
      <c r="C38">
        <v>93.203888888888898</v>
      </c>
      <c r="D38">
        <v>86.42861111111111</v>
      </c>
      <c r="E38">
        <f t="shared" si="0"/>
        <v>0.38834953703703706</v>
      </c>
      <c r="F38">
        <f t="shared" si="1"/>
        <v>0.36011921296296295</v>
      </c>
      <c r="G38">
        <f t="shared" si="2"/>
        <v>5</v>
      </c>
      <c r="H38">
        <f t="shared" si="3"/>
        <v>4.6601944444444445</v>
      </c>
    </row>
    <row r="39" spans="1:8" x14ac:dyDescent="0.25">
      <c r="A39">
        <v>1003</v>
      </c>
      <c r="B39">
        <v>2</v>
      </c>
      <c r="C39">
        <v>101.3035541666667</v>
      </c>
      <c r="D39">
        <v>100.15134291666671</v>
      </c>
      <c r="E39">
        <f t="shared" si="0"/>
        <v>0.42209814236111126</v>
      </c>
      <c r="F39">
        <f t="shared" si="1"/>
        <v>0.41729726215277796</v>
      </c>
      <c r="G39">
        <f t="shared" si="2"/>
        <v>6</v>
      </c>
      <c r="H39">
        <f t="shared" si="3"/>
        <v>5.0651777083333354</v>
      </c>
    </row>
    <row r="40" spans="1:8" x14ac:dyDescent="0.25">
      <c r="A40">
        <v>1003</v>
      </c>
      <c r="B40">
        <v>3</v>
      </c>
      <c r="C40">
        <v>101.21274333333329</v>
      </c>
      <c r="D40">
        <v>98.797288638888887</v>
      </c>
      <c r="E40">
        <f t="shared" si="0"/>
        <v>0.42171976388888871</v>
      </c>
      <c r="F40">
        <f t="shared" si="1"/>
        <v>0.41165536932870372</v>
      </c>
      <c r="G40">
        <f t="shared" si="2"/>
        <v>6</v>
      </c>
      <c r="H40">
        <f t="shared" si="3"/>
        <v>5.0606371666666643</v>
      </c>
    </row>
    <row r="41" spans="1:8" x14ac:dyDescent="0.25">
      <c r="A41">
        <v>1003</v>
      </c>
      <c r="B41">
        <v>4</v>
      </c>
      <c r="C41">
        <v>156.9540686111111</v>
      </c>
      <c r="D41">
        <v>103.00734988095221</v>
      </c>
      <c r="E41">
        <f t="shared" si="0"/>
        <v>0.65397528587962961</v>
      </c>
      <c r="F41">
        <f t="shared" si="1"/>
        <v>0.42919729117063415</v>
      </c>
      <c r="G41">
        <f t="shared" si="2"/>
        <v>8</v>
      </c>
      <c r="H41">
        <f t="shared" si="3"/>
        <v>7.8477034305555549</v>
      </c>
    </row>
    <row r="42" spans="1:8" x14ac:dyDescent="0.25">
      <c r="A42">
        <v>1003</v>
      </c>
      <c r="B42">
        <v>5</v>
      </c>
      <c r="C42">
        <v>101.2865627777778</v>
      </c>
      <c r="D42">
        <v>95.940678027777778</v>
      </c>
      <c r="E42">
        <f t="shared" si="0"/>
        <v>0.42202734490740751</v>
      </c>
      <c r="F42">
        <f t="shared" si="1"/>
        <v>0.39975282511574073</v>
      </c>
      <c r="G42">
        <f t="shared" si="2"/>
        <v>6</v>
      </c>
      <c r="H42">
        <f t="shared" si="3"/>
        <v>5.0643281388888903</v>
      </c>
    </row>
    <row r="43" spans="1:8" x14ac:dyDescent="0.25">
      <c r="A43">
        <v>1003</v>
      </c>
      <c r="B43">
        <v>6</v>
      </c>
      <c r="C43">
        <v>94.216383888888885</v>
      </c>
      <c r="D43">
        <v>91.969636069444448</v>
      </c>
      <c r="E43">
        <f t="shared" si="0"/>
        <v>0.39256826620370372</v>
      </c>
      <c r="F43">
        <f t="shared" si="1"/>
        <v>0.38320681695601855</v>
      </c>
      <c r="G43">
        <f t="shared" si="2"/>
        <v>5</v>
      </c>
      <c r="H43">
        <f t="shared" si="3"/>
        <v>4.7108191944444444</v>
      </c>
    </row>
    <row r="44" spans="1:8" x14ac:dyDescent="0.25">
      <c r="A44">
        <v>1003</v>
      </c>
      <c r="B44">
        <v>7</v>
      </c>
      <c r="C44">
        <v>94.651109444444444</v>
      </c>
      <c r="D44">
        <v>89.354969285714162</v>
      </c>
      <c r="E44">
        <f t="shared" si="0"/>
        <v>0.39437962268518517</v>
      </c>
      <c r="F44">
        <f t="shared" si="1"/>
        <v>0.37231237202380901</v>
      </c>
      <c r="G44">
        <f t="shared" si="2"/>
        <v>5</v>
      </c>
      <c r="H44">
        <f t="shared" si="3"/>
        <v>4.7325554722222218</v>
      </c>
    </row>
    <row r="45" spans="1:8" x14ac:dyDescent="0.25">
      <c r="A45">
        <v>1003</v>
      </c>
      <c r="B45">
        <v>8</v>
      </c>
      <c r="C45">
        <v>94.545019444444449</v>
      </c>
      <c r="D45">
        <v>92.249587632849995</v>
      </c>
      <c r="E45">
        <f t="shared" si="0"/>
        <v>0.39393758101851856</v>
      </c>
      <c r="F45">
        <f t="shared" si="1"/>
        <v>0.38437328180354163</v>
      </c>
      <c r="G45">
        <f t="shared" si="2"/>
        <v>5</v>
      </c>
      <c r="H45">
        <f t="shared" si="3"/>
        <v>4.7272509722222225</v>
      </c>
    </row>
    <row r="46" spans="1:8" x14ac:dyDescent="0.25">
      <c r="A46">
        <v>1003</v>
      </c>
      <c r="B46">
        <v>9</v>
      </c>
      <c r="C46">
        <v>93.656360555555551</v>
      </c>
      <c r="D46">
        <v>89.407241347222225</v>
      </c>
      <c r="E46">
        <f t="shared" si="0"/>
        <v>0.39023483564814815</v>
      </c>
      <c r="F46">
        <f t="shared" si="1"/>
        <v>0.37253017228009261</v>
      </c>
      <c r="G46">
        <f t="shared" si="2"/>
        <v>5</v>
      </c>
      <c r="H46">
        <f t="shared" si="3"/>
        <v>4.6828180277777776</v>
      </c>
    </row>
    <row r="47" spans="1:8" x14ac:dyDescent="0.25">
      <c r="A47">
        <v>1003</v>
      </c>
      <c r="B47">
        <v>10</v>
      </c>
      <c r="C47">
        <v>93.487307222222228</v>
      </c>
      <c r="D47">
        <v>92.275081805555558</v>
      </c>
      <c r="E47">
        <f t="shared" si="0"/>
        <v>0.3895304467592593</v>
      </c>
      <c r="F47">
        <f t="shared" si="1"/>
        <v>0.38447950752314819</v>
      </c>
      <c r="G47">
        <f t="shared" si="2"/>
        <v>5</v>
      </c>
      <c r="H47">
        <f t="shared" si="3"/>
        <v>4.6743653611111116</v>
      </c>
    </row>
    <row r="48" spans="1:8" x14ac:dyDescent="0.25">
      <c r="A48">
        <v>1003</v>
      </c>
      <c r="B48">
        <v>11</v>
      </c>
      <c r="C48">
        <v>93.483871388888886</v>
      </c>
      <c r="D48">
        <v>91.931845328282776</v>
      </c>
      <c r="E48">
        <f t="shared" si="0"/>
        <v>0.38951613078703701</v>
      </c>
      <c r="F48">
        <f t="shared" si="1"/>
        <v>0.38304935553451158</v>
      </c>
      <c r="G48">
        <f t="shared" si="2"/>
        <v>5</v>
      </c>
      <c r="H48">
        <f t="shared" si="3"/>
        <v>4.6741935694444443</v>
      </c>
    </row>
    <row r="49" spans="1:8" x14ac:dyDescent="0.25">
      <c r="A49">
        <v>1003</v>
      </c>
      <c r="B49">
        <v>12</v>
      </c>
      <c r="C49">
        <v>93.648365555555557</v>
      </c>
      <c r="D49">
        <v>92.055977698412505</v>
      </c>
      <c r="E49">
        <f t="shared" si="0"/>
        <v>0.39020152314814815</v>
      </c>
      <c r="F49">
        <f t="shared" si="1"/>
        <v>0.38356657374338549</v>
      </c>
      <c r="G49">
        <f t="shared" si="2"/>
        <v>5</v>
      </c>
      <c r="H49">
        <f t="shared" si="3"/>
        <v>4.6824182777777779</v>
      </c>
    </row>
    <row r="50" spans="1:8" x14ac:dyDescent="0.25">
      <c r="A50">
        <v>1004</v>
      </c>
      <c r="B50">
        <v>1</v>
      </c>
      <c r="C50">
        <v>85.188333333333333</v>
      </c>
      <c r="D50">
        <v>82.539166666666674</v>
      </c>
      <c r="E50">
        <f t="shared" si="0"/>
        <v>0.35495138888888889</v>
      </c>
      <c r="F50">
        <f t="shared" si="1"/>
        <v>0.34391319444444446</v>
      </c>
      <c r="G50">
        <f t="shared" si="2"/>
        <v>5</v>
      </c>
      <c r="H50">
        <f t="shared" si="3"/>
        <v>4.2594166666666666</v>
      </c>
    </row>
    <row r="51" spans="1:8" x14ac:dyDescent="0.25">
      <c r="A51">
        <v>1004</v>
      </c>
      <c r="B51">
        <v>2</v>
      </c>
      <c r="C51">
        <v>81.765438055555549</v>
      </c>
      <c r="D51">
        <v>79.044674891304169</v>
      </c>
      <c r="E51">
        <f t="shared" si="0"/>
        <v>0.34068932523148149</v>
      </c>
      <c r="F51">
        <f t="shared" si="1"/>
        <v>0.32935281204710071</v>
      </c>
      <c r="G51">
        <f t="shared" si="2"/>
        <v>5</v>
      </c>
      <c r="H51">
        <f t="shared" si="3"/>
        <v>4.0882719027777776</v>
      </c>
    </row>
    <row r="52" spans="1:8" x14ac:dyDescent="0.25">
      <c r="A52">
        <v>1004</v>
      </c>
      <c r="B52">
        <v>3</v>
      </c>
      <c r="C52">
        <v>92.182698333333335</v>
      </c>
      <c r="D52">
        <v>86.502541840277772</v>
      </c>
      <c r="E52">
        <f t="shared" si="0"/>
        <v>0.38409457638888894</v>
      </c>
      <c r="F52">
        <f t="shared" si="1"/>
        <v>0.36042725766782402</v>
      </c>
      <c r="G52">
        <f t="shared" si="2"/>
        <v>5</v>
      </c>
      <c r="H52">
        <f t="shared" si="3"/>
        <v>4.6091349166666671</v>
      </c>
    </row>
    <row r="53" spans="1:8" x14ac:dyDescent="0.25">
      <c r="A53">
        <v>1004</v>
      </c>
      <c r="B53">
        <v>4</v>
      </c>
      <c r="C53">
        <v>91.901456388888889</v>
      </c>
      <c r="D53">
        <v>89.58977719696945</v>
      </c>
      <c r="E53">
        <f t="shared" si="0"/>
        <v>0.38292273495370371</v>
      </c>
      <c r="F53">
        <f t="shared" si="1"/>
        <v>0.37329073832070603</v>
      </c>
      <c r="G53">
        <f t="shared" si="2"/>
        <v>5</v>
      </c>
      <c r="H53">
        <f t="shared" si="3"/>
        <v>4.5950728194444448</v>
      </c>
    </row>
    <row r="54" spans="1:8" x14ac:dyDescent="0.25">
      <c r="A54">
        <v>1004</v>
      </c>
      <c r="B54">
        <v>5</v>
      </c>
      <c r="C54">
        <v>92.031467500000005</v>
      </c>
      <c r="D54">
        <v>91.52950929166667</v>
      </c>
      <c r="E54">
        <f t="shared" si="0"/>
        <v>0.38346444791666667</v>
      </c>
      <c r="F54">
        <f t="shared" si="1"/>
        <v>0.38137295538194449</v>
      </c>
      <c r="G54">
        <f t="shared" si="2"/>
        <v>5</v>
      </c>
      <c r="H54">
        <f t="shared" si="3"/>
        <v>4.6015733750000001</v>
      </c>
    </row>
    <row r="55" spans="1:8" x14ac:dyDescent="0.25">
      <c r="A55">
        <v>1004</v>
      </c>
      <c r="B55">
        <v>6</v>
      </c>
      <c r="C55">
        <v>95.022206666666662</v>
      </c>
      <c r="D55">
        <v>92.156567291666661</v>
      </c>
      <c r="E55">
        <f t="shared" si="0"/>
        <v>0.39592586111111111</v>
      </c>
      <c r="F55">
        <f t="shared" si="1"/>
        <v>0.38398569704861107</v>
      </c>
      <c r="G55">
        <f t="shared" si="2"/>
        <v>5</v>
      </c>
      <c r="H55">
        <f t="shared" si="3"/>
        <v>4.7511103333333331</v>
      </c>
    </row>
    <row r="56" spans="1:8" x14ac:dyDescent="0.25">
      <c r="A56">
        <v>1004</v>
      </c>
      <c r="B56">
        <v>7</v>
      </c>
      <c r="C56">
        <v>94.967797500000003</v>
      </c>
      <c r="D56">
        <v>88.83982842592583</v>
      </c>
      <c r="E56">
        <f t="shared" si="0"/>
        <v>0.39569915625000002</v>
      </c>
      <c r="F56">
        <f t="shared" si="1"/>
        <v>0.37016595177469097</v>
      </c>
      <c r="G56">
        <f t="shared" si="2"/>
        <v>5</v>
      </c>
      <c r="H56">
        <f t="shared" si="3"/>
        <v>4.748389875</v>
      </c>
    </row>
    <row r="57" spans="1:8" x14ac:dyDescent="0.25">
      <c r="A57">
        <v>1004</v>
      </c>
      <c r="B57">
        <v>8</v>
      </c>
      <c r="C57">
        <v>95.031129444444446</v>
      </c>
      <c r="D57">
        <v>93.688860362318607</v>
      </c>
      <c r="E57">
        <f t="shared" si="0"/>
        <v>0.39596303935185184</v>
      </c>
      <c r="F57">
        <f t="shared" si="1"/>
        <v>0.39037025150966081</v>
      </c>
      <c r="G57">
        <f t="shared" si="2"/>
        <v>5</v>
      </c>
      <c r="H57">
        <f t="shared" si="3"/>
        <v>4.7515564722222221</v>
      </c>
    </row>
    <row r="58" spans="1:8" x14ac:dyDescent="0.25">
      <c r="A58">
        <v>1004</v>
      </c>
      <c r="B58">
        <v>9</v>
      </c>
      <c r="C58">
        <v>94.806304166666663</v>
      </c>
      <c r="D58">
        <v>92.224101041666671</v>
      </c>
      <c r="E58">
        <f t="shared" si="0"/>
        <v>0.39502626736111113</v>
      </c>
      <c r="F58">
        <f t="shared" si="1"/>
        <v>0.38426708767361112</v>
      </c>
      <c r="G58">
        <f t="shared" si="2"/>
        <v>5</v>
      </c>
      <c r="H58">
        <f t="shared" si="3"/>
        <v>4.7403152083333335</v>
      </c>
    </row>
    <row r="59" spans="1:8" x14ac:dyDescent="0.25">
      <c r="A59">
        <v>1004</v>
      </c>
      <c r="B59">
        <v>10</v>
      </c>
      <c r="C59">
        <v>94.89533055555556</v>
      </c>
      <c r="D59">
        <v>92.979026628787778</v>
      </c>
      <c r="E59">
        <f t="shared" si="0"/>
        <v>0.3953972106481482</v>
      </c>
      <c r="F59">
        <f t="shared" si="1"/>
        <v>0.38741261095328244</v>
      </c>
      <c r="G59">
        <f t="shared" si="2"/>
        <v>5</v>
      </c>
      <c r="H59">
        <f t="shared" si="3"/>
        <v>4.7447665277777782</v>
      </c>
    </row>
    <row r="60" spans="1:8" x14ac:dyDescent="0.25">
      <c r="A60">
        <v>1004</v>
      </c>
      <c r="B60">
        <v>11</v>
      </c>
      <c r="C60">
        <v>94.836220277777784</v>
      </c>
      <c r="D60">
        <v>91.956153017676669</v>
      </c>
      <c r="E60">
        <f t="shared" si="0"/>
        <v>0.39515091782407413</v>
      </c>
      <c r="F60">
        <f t="shared" si="1"/>
        <v>0.38315063757365281</v>
      </c>
      <c r="G60">
        <f t="shared" si="2"/>
        <v>5</v>
      </c>
      <c r="H60">
        <f t="shared" si="3"/>
        <v>4.7418110138888894</v>
      </c>
    </row>
    <row r="61" spans="1:8" x14ac:dyDescent="0.25">
      <c r="A61">
        <v>1004</v>
      </c>
      <c r="B61">
        <v>12</v>
      </c>
      <c r="C61">
        <v>94.81675361111111</v>
      </c>
      <c r="D61">
        <v>91.956168756613607</v>
      </c>
      <c r="E61">
        <f t="shared" si="0"/>
        <v>0.39506980671296299</v>
      </c>
      <c r="F61">
        <f t="shared" si="1"/>
        <v>0.38315070315255673</v>
      </c>
      <c r="G61">
        <f t="shared" si="2"/>
        <v>5</v>
      </c>
      <c r="H61">
        <f t="shared" si="3"/>
        <v>4.7408376805555559</v>
      </c>
    </row>
    <row r="62" spans="1:8" x14ac:dyDescent="0.25">
      <c r="A62">
        <v>1005</v>
      </c>
      <c r="B62">
        <v>1</v>
      </c>
      <c r="C62">
        <v>77.057222222222222</v>
      </c>
      <c r="D62">
        <v>65.518888888888881</v>
      </c>
      <c r="E62">
        <f t="shared" si="0"/>
        <v>0.32107175925925929</v>
      </c>
      <c r="F62">
        <f t="shared" si="1"/>
        <v>0.2729953703703703</v>
      </c>
      <c r="G62">
        <f t="shared" si="2"/>
        <v>4</v>
      </c>
      <c r="H62">
        <f t="shared" si="3"/>
        <v>3.8528611111111113</v>
      </c>
    </row>
    <row r="63" spans="1:8" x14ac:dyDescent="0.25">
      <c r="A63">
        <v>1005</v>
      </c>
      <c r="B63">
        <v>2</v>
      </c>
      <c r="C63">
        <v>75.112058611111109</v>
      </c>
      <c r="D63">
        <v>68.209119256272217</v>
      </c>
      <c r="E63">
        <f t="shared" si="0"/>
        <v>0.31296691087962963</v>
      </c>
      <c r="F63">
        <f t="shared" si="1"/>
        <v>0.28420466356780089</v>
      </c>
      <c r="G63">
        <f t="shared" si="2"/>
        <v>4</v>
      </c>
      <c r="H63">
        <f t="shared" si="3"/>
        <v>3.7556029305555558</v>
      </c>
    </row>
    <row r="64" spans="1:8" x14ac:dyDescent="0.25">
      <c r="A64">
        <v>1005</v>
      </c>
      <c r="B64">
        <v>3</v>
      </c>
      <c r="C64">
        <v>70.645085277777781</v>
      </c>
      <c r="D64">
        <v>68.032313323412495</v>
      </c>
      <c r="E64">
        <f t="shared" si="0"/>
        <v>0.29435452199074075</v>
      </c>
      <c r="F64">
        <f t="shared" si="1"/>
        <v>0.28346797218088543</v>
      </c>
      <c r="G64">
        <f t="shared" si="2"/>
        <v>4</v>
      </c>
      <c r="H64">
        <f t="shared" si="3"/>
        <v>3.532254263888889</v>
      </c>
    </row>
    <row r="65" spans="1:8" x14ac:dyDescent="0.25">
      <c r="A65">
        <v>1005</v>
      </c>
      <c r="B65">
        <v>4</v>
      </c>
      <c r="C65">
        <v>72.130192777777779</v>
      </c>
      <c r="D65">
        <v>69.39120071684583</v>
      </c>
      <c r="E65">
        <f t="shared" si="0"/>
        <v>0.30054246990740741</v>
      </c>
      <c r="F65">
        <f t="shared" si="1"/>
        <v>0.28913000298685759</v>
      </c>
      <c r="G65">
        <f t="shared" si="2"/>
        <v>4</v>
      </c>
      <c r="H65">
        <f t="shared" si="3"/>
        <v>3.6065096388888889</v>
      </c>
    </row>
    <row r="66" spans="1:8" x14ac:dyDescent="0.25">
      <c r="A66">
        <v>1005</v>
      </c>
      <c r="B66">
        <v>5</v>
      </c>
      <c r="C66">
        <v>90.379694722222226</v>
      </c>
      <c r="D66">
        <v>68.763724333333329</v>
      </c>
      <c r="E66">
        <f t="shared" ref="E66:E129" si="4">+C66/20/12</f>
        <v>0.37658206134259259</v>
      </c>
      <c r="F66">
        <f t="shared" ref="F66:F129" si="5">+D66/20/12</f>
        <v>0.28651551805555553</v>
      </c>
      <c r="G66">
        <f t="shared" ref="G66:G129" si="6">+ROUNDUP(E66*12,0)</f>
        <v>5</v>
      </c>
      <c r="H66">
        <f t="shared" ref="H66:H129" si="7">+E66*12</f>
        <v>4.5189847361111113</v>
      </c>
    </row>
    <row r="67" spans="1:8" x14ac:dyDescent="0.25">
      <c r="A67">
        <v>1005</v>
      </c>
      <c r="B67">
        <v>6</v>
      </c>
      <c r="C67">
        <v>83.761349166666662</v>
      </c>
      <c r="D67">
        <v>70.091024130824167</v>
      </c>
      <c r="E67">
        <f t="shared" si="4"/>
        <v>0.34900562152777775</v>
      </c>
      <c r="F67">
        <f t="shared" si="5"/>
        <v>0.29204593387843403</v>
      </c>
      <c r="G67">
        <f t="shared" si="6"/>
        <v>5</v>
      </c>
      <c r="H67">
        <f t="shared" si="7"/>
        <v>4.1880674583333333</v>
      </c>
    </row>
    <row r="68" spans="1:8" x14ac:dyDescent="0.25">
      <c r="A68">
        <v>1005</v>
      </c>
      <c r="B68">
        <v>7</v>
      </c>
      <c r="C68">
        <v>82.776835833333337</v>
      </c>
      <c r="D68">
        <v>69.665758814814723</v>
      </c>
      <c r="E68">
        <f t="shared" si="4"/>
        <v>0.34490348263888887</v>
      </c>
      <c r="F68">
        <f t="shared" si="5"/>
        <v>0.29027399506172802</v>
      </c>
      <c r="G68">
        <f t="shared" si="6"/>
        <v>5</v>
      </c>
      <c r="H68">
        <f t="shared" si="7"/>
        <v>4.1388417916666667</v>
      </c>
    </row>
    <row r="69" spans="1:8" x14ac:dyDescent="0.25">
      <c r="A69">
        <v>1005</v>
      </c>
      <c r="B69">
        <v>8</v>
      </c>
      <c r="C69">
        <v>86.938279166666661</v>
      </c>
      <c r="D69">
        <v>69.602720492831395</v>
      </c>
      <c r="E69">
        <f t="shared" si="4"/>
        <v>0.36224282986111112</v>
      </c>
      <c r="F69">
        <f t="shared" si="5"/>
        <v>0.29001133538679746</v>
      </c>
      <c r="G69">
        <f t="shared" si="6"/>
        <v>5</v>
      </c>
      <c r="H69">
        <f t="shared" si="7"/>
        <v>4.3469139583333334</v>
      </c>
    </row>
    <row r="70" spans="1:8" x14ac:dyDescent="0.25">
      <c r="A70">
        <v>1005</v>
      </c>
      <c r="B70">
        <v>9</v>
      </c>
      <c r="C70">
        <v>80.601804166666668</v>
      </c>
      <c r="D70">
        <v>68.854828777777783</v>
      </c>
      <c r="E70">
        <f t="shared" si="4"/>
        <v>0.33584085069444441</v>
      </c>
      <c r="F70">
        <f t="shared" si="5"/>
        <v>0.2868951199074074</v>
      </c>
      <c r="G70">
        <f t="shared" si="6"/>
        <v>5</v>
      </c>
      <c r="H70">
        <f t="shared" si="7"/>
        <v>4.0300902083333332</v>
      </c>
    </row>
    <row r="71" spans="1:8" x14ac:dyDescent="0.25">
      <c r="A71">
        <v>1005</v>
      </c>
      <c r="B71">
        <v>10</v>
      </c>
      <c r="C71">
        <v>102.05035416666669</v>
      </c>
      <c r="D71">
        <v>88.451237694444444</v>
      </c>
      <c r="E71">
        <f t="shared" si="4"/>
        <v>0.42520980902777789</v>
      </c>
      <c r="F71">
        <f t="shared" si="5"/>
        <v>0.36854682372685188</v>
      </c>
      <c r="G71">
        <f t="shared" si="6"/>
        <v>6</v>
      </c>
      <c r="H71">
        <f t="shared" si="7"/>
        <v>5.1025177083333348</v>
      </c>
    </row>
    <row r="72" spans="1:8" x14ac:dyDescent="0.25">
      <c r="A72">
        <v>1005</v>
      </c>
      <c r="B72">
        <v>11</v>
      </c>
      <c r="C72">
        <v>86.781750000000002</v>
      </c>
      <c r="D72">
        <v>69.611319327956949</v>
      </c>
      <c r="E72">
        <f t="shared" si="4"/>
        <v>0.361590625</v>
      </c>
      <c r="F72">
        <f t="shared" si="5"/>
        <v>0.29004716386648727</v>
      </c>
      <c r="G72">
        <f t="shared" si="6"/>
        <v>5</v>
      </c>
      <c r="H72">
        <f t="shared" si="7"/>
        <v>4.3390874999999998</v>
      </c>
    </row>
    <row r="73" spans="1:8" x14ac:dyDescent="0.25">
      <c r="A73">
        <v>1005</v>
      </c>
      <c r="B73">
        <v>12</v>
      </c>
      <c r="C73">
        <v>93.508340000000004</v>
      </c>
      <c r="D73">
        <v>75.552580842293892</v>
      </c>
      <c r="E73">
        <f t="shared" si="4"/>
        <v>0.38961808333333336</v>
      </c>
      <c r="F73">
        <f t="shared" si="5"/>
        <v>0.31480242017622456</v>
      </c>
      <c r="G73">
        <f t="shared" si="6"/>
        <v>5</v>
      </c>
      <c r="H73">
        <f t="shared" si="7"/>
        <v>4.6754170000000004</v>
      </c>
    </row>
    <row r="74" spans="1:8" x14ac:dyDescent="0.25">
      <c r="A74">
        <v>1006</v>
      </c>
      <c r="B74">
        <v>1</v>
      </c>
      <c r="C74">
        <v>74</v>
      </c>
      <c r="D74">
        <v>56.5625</v>
      </c>
      <c r="E74">
        <f t="shared" si="4"/>
        <v>0.30833333333333335</v>
      </c>
      <c r="F74">
        <f t="shared" si="5"/>
        <v>0.23567708333333334</v>
      </c>
      <c r="G74">
        <f t="shared" si="6"/>
        <v>4</v>
      </c>
      <c r="H74">
        <f t="shared" si="7"/>
        <v>3.7</v>
      </c>
    </row>
    <row r="75" spans="1:8" x14ac:dyDescent="0.25">
      <c r="A75">
        <v>1006</v>
      </c>
      <c r="B75">
        <v>2</v>
      </c>
      <c r="C75">
        <v>106.01419638888891</v>
      </c>
      <c r="D75">
        <v>73.06979089646444</v>
      </c>
      <c r="E75">
        <f t="shared" si="4"/>
        <v>0.44172581828703711</v>
      </c>
      <c r="F75">
        <f t="shared" si="5"/>
        <v>0.30445746206860186</v>
      </c>
      <c r="G75">
        <f t="shared" si="6"/>
        <v>6</v>
      </c>
      <c r="H75">
        <f t="shared" si="7"/>
        <v>5.3007098194444451</v>
      </c>
    </row>
    <row r="76" spans="1:8" x14ac:dyDescent="0.25">
      <c r="A76">
        <v>1006</v>
      </c>
      <c r="B76">
        <v>3</v>
      </c>
      <c r="C76">
        <v>74.219118611111114</v>
      </c>
      <c r="D76">
        <v>58.556148430555552</v>
      </c>
      <c r="E76">
        <f t="shared" si="4"/>
        <v>0.30924632754629627</v>
      </c>
      <c r="F76">
        <f t="shared" si="5"/>
        <v>0.24398395179398147</v>
      </c>
      <c r="G76">
        <f t="shared" si="6"/>
        <v>4</v>
      </c>
      <c r="H76">
        <f t="shared" si="7"/>
        <v>3.7109559305555555</v>
      </c>
    </row>
    <row r="77" spans="1:8" x14ac:dyDescent="0.25">
      <c r="A77">
        <v>1006</v>
      </c>
      <c r="B77">
        <v>4</v>
      </c>
      <c r="C77">
        <v>71.924699722222229</v>
      </c>
      <c r="D77">
        <v>54.774653637566111</v>
      </c>
      <c r="E77">
        <f t="shared" si="4"/>
        <v>0.2996862488425926</v>
      </c>
      <c r="F77">
        <f t="shared" si="5"/>
        <v>0.22822772348985879</v>
      </c>
      <c r="G77">
        <f t="shared" si="6"/>
        <v>4</v>
      </c>
      <c r="H77">
        <f t="shared" si="7"/>
        <v>3.5962349861111109</v>
      </c>
    </row>
    <row r="78" spans="1:8" x14ac:dyDescent="0.25">
      <c r="A78">
        <v>1006</v>
      </c>
      <c r="B78">
        <v>5</v>
      </c>
      <c r="C78">
        <v>67.863470555555551</v>
      </c>
      <c r="D78">
        <v>56.083705375000001</v>
      </c>
      <c r="E78">
        <f t="shared" si="4"/>
        <v>0.28276446064814814</v>
      </c>
      <c r="F78">
        <f t="shared" si="5"/>
        <v>0.23368210572916667</v>
      </c>
      <c r="G78">
        <f t="shared" si="6"/>
        <v>4</v>
      </c>
      <c r="H78">
        <f t="shared" si="7"/>
        <v>3.3931735277777779</v>
      </c>
    </row>
    <row r="79" spans="1:8" x14ac:dyDescent="0.25">
      <c r="A79">
        <v>1006</v>
      </c>
      <c r="B79">
        <v>6</v>
      </c>
      <c r="C79">
        <v>75.072519722222225</v>
      </c>
      <c r="D79">
        <v>55.765710236111111</v>
      </c>
      <c r="E79">
        <f t="shared" si="4"/>
        <v>0.31280216550925927</v>
      </c>
      <c r="F79">
        <f t="shared" si="5"/>
        <v>0.23235712598379629</v>
      </c>
      <c r="G79">
        <f t="shared" si="6"/>
        <v>4</v>
      </c>
      <c r="H79">
        <f t="shared" si="7"/>
        <v>3.7536259861111114</v>
      </c>
    </row>
    <row r="80" spans="1:8" x14ac:dyDescent="0.25">
      <c r="A80">
        <v>1006</v>
      </c>
      <c r="B80">
        <v>7</v>
      </c>
      <c r="C80">
        <v>81.756393333333335</v>
      </c>
      <c r="D80">
        <v>55.447100119047498</v>
      </c>
      <c r="E80">
        <f t="shared" si="4"/>
        <v>0.34065163888888889</v>
      </c>
      <c r="F80">
        <f t="shared" si="5"/>
        <v>0.23102958382936456</v>
      </c>
      <c r="G80">
        <f t="shared" si="6"/>
        <v>5</v>
      </c>
      <c r="H80">
        <f t="shared" si="7"/>
        <v>4.0878196666666664</v>
      </c>
    </row>
    <row r="81" spans="1:8" x14ac:dyDescent="0.25">
      <c r="A81">
        <v>1006</v>
      </c>
      <c r="B81">
        <v>8</v>
      </c>
      <c r="C81">
        <v>92.814525833333335</v>
      </c>
      <c r="D81">
        <v>69.993378804347785</v>
      </c>
      <c r="E81">
        <f t="shared" si="4"/>
        <v>0.38672719097222225</v>
      </c>
      <c r="F81">
        <f t="shared" si="5"/>
        <v>0.29163907835144909</v>
      </c>
      <c r="G81">
        <f t="shared" si="6"/>
        <v>5</v>
      </c>
      <c r="H81">
        <f t="shared" si="7"/>
        <v>4.6407262916666667</v>
      </c>
    </row>
    <row r="82" spans="1:8" x14ac:dyDescent="0.25">
      <c r="A82">
        <v>1006</v>
      </c>
      <c r="B82">
        <v>9</v>
      </c>
      <c r="C82">
        <v>86.109239166666669</v>
      </c>
      <c r="D82">
        <v>62.08107001388889</v>
      </c>
      <c r="E82">
        <f t="shared" si="4"/>
        <v>0.35878849652777783</v>
      </c>
      <c r="F82">
        <f t="shared" si="5"/>
        <v>0.25867112505787038</v>
      </c>
      <c r="G82">
        <f t="shared" si="6"/>
        <v>5</v>
      </c>
      <c r="H82">
        <f t="shared" si="7"/>
        <v>4.3054619583333338</v>
      </c>
    </row>
    <row r="83" spans="1:8" x14ac:dyDescent="0.25">
      <c r="A83">
        <v>1006</v>
      </c>
      <c r="B83">
        <v>10</v>
      </c>
      <c r="C83">
        <v>75.905441944444448</v>
      </c>
      <c r="D83">
        <v>64.763883737373618</v>
      </c>
      <c r="E83">
        <f t="shared" si="4"/>
        <v>0.31627267476851856</v>
      </c>
      <c r="F83">
        <f t="shared" si="5"/>
        <v>0.26984951557239006</v>
      </c>
      <c r="G83">
        <f t="shared" si="6"/>
        <v>4</v>
      </c>
      <c r="H83">
        <f t="shared" si="7"/>
        <v>3.7952720972222229</v>
      </c>
    </row>
    <row r="84" spans="1:8" x14ac:dyDescent="0.25">
      <c r="A84">
        <v>1006</v>
      </c>
      <c r="B84">
        <v>11</v>
      </c>
      <c r="C84">
        <v>80.35402666666667</v>
      </c>
      <c r="D84">
        <v>65.193443106060556</v>
      </c>
      <c r="E84">
        <f t="shared" si="4"/>
        <v>0.33480844444444441</v>
      </c>
      <c r="F84">
        <f t="shared" si="5"/>
        <v>0.27163934627525232</v>
      </c>
      <c r="G84">
        <f t="shared" si="6"/>
        <v>5</v>
      </c>
      <c r="H84">
        <f t="shared" si="7"/>
        <v>4.0177013333333331</v>
      </c>
    </row>
    <row r="85" spans="1:8" x14ac:dyDescent="0.25">
      <c r="A85">
        <v>1006</v>
      </c>
      <c r="B85">
        <v>12</v>
      </c>
      <c r="C85">
        <v>75.96504916666666</v>
      </c>
      <c r="D85">
        <v>63.020432592592499</v>
      </c>
      <c r="E85">
        <f t="shared" si="4"/>
        <v>0.31652103819444438</v>
      </c>
      <c r="F85">
        <f t="shared" si="5"/>
        <v>0.26258513580246873</v>
      </c>
      <c r="G85">
        <f t="shared" si="6"/>
        <v>4</v>
      </c>
      <c r="H85">
        <f t="shared" si="7"/>
        <v>3.7982524583333328</v>
      </c>
    </row>
    <row r="86" spans="1:8" x14ac:dyDescent="0.25">
      <c r="A86">
        <v>1007</v>
      </c>
      <c r="B86">
        <v>1</v>
      </c>
      <c r="C86">
        <v>71.719444444444449</v>
      </c>
      <c r="D86">
        <v>43.018888888888888</v>
      </c>
      <c r="E86">
        <f t="shared" si="4"/>
        <v>0.29883101851851851</v>
      </c>
      <c r="F86">
        <f t="shared" si="5"/>
        <v>0.17924537037037036</v>
      </c>
      <c r="G86">
        <f t="shared" si="6"/>
        <v>4</v>
      </c>
      <c r="H86">
        <f t="shared" si="7"/>
        <v>3.5859722222222219</v>
      </c>
    </row>
    <row r="87" spans="1:8" x14ac:dyDescent="0.25">
      <c r="A87">
        <v>1007</v>
      </c>
      <c r="B87">
        <v>2</v>
      </c>
      <c r="C87">
        <v>73.859053611111108</v>
      </c>
      <c r="D87">
        <v>38.810488295454448</v>
      </c>
      <c r="E87">
        <f t="shared" si="4"/>
        <v>0.30774605671296296</v>
      </c>
      <c r="F87">
        <f t="shared" si="5"/>
        <v>0.16171036789772686</v>
      </c>
      <c r="G87">
        <f t="shared" si="6"/>
        <v>4</v>
      </c>
      <c r="H87">
        <f t="shared" si="7"/>
        <v>3.6929526805555555</v>
      </c>
    </row>
    <row r="88" spans="1:8" x14ac:dyDescent="0.25">
      <c r="A88">
        <v>1007</v>
      </c>
      <c r="B88">
        <v>3</v>
      </c>
      <c r="C88">
        <v>77.861268055555556</v>
      </c>
      <c r="D88">
        <v>36.705737638888891</v>
      </c>
      <c r="E88">
        <f t="shared" si="4"/>
        <v>0.32442195023148152</v>
      </c>
      <c r="F88">
        <f t="shared" si="5"/>
        <v>0.15294057349537038</v>
      </c>
      <c r="G88">
        <f t="shared" si="6"/>
        <v>4</v>
      </c>
      <c r="H88">
        <f t="shared" si="7"/>
        <v>3.893063402777778</v>
      </c>
    </row>
    <row r="89" spans="1:8" x14ac:dyDescent="0.25">
      <c r="A89">
        <v>1007</v>
      </c>
      <c r="B89">
        <v>4</v>
      </c>
      <c r="C89">
        <v>77.984767500000004</v>
      </c>
      <c r="D89">
        <v>54.564669841269719</v>
      </c>
      <c r="E89">
        <f t="shared" si="4"/>
        <v>0.32493653125000005</v>
      </c>
      <c r="F89">
        <f t="shared" si="5"/>
        <v>0.22735279100529049</v>
      </c>
      <c r="G89">
        <f t="shared" si="6"/>
        <v>4</v>
      </c>
      <c r="H89">
        <f t="shared" si="7"/>
        <v>3.8992383750000004</v>
      </c>
    </row>
    <row r="90" spans="1:8" x14ac:dyDescent="0.25">
      <c r="A90">
        <v>1007</v>
      </c>
      <c r="B90">
        <v>5</v>
      </c>
      <c r="C90">
        <v>78.120606111111115</v>
      </c>
      <c r="D90">
        <v>47.622126819444453</v>
      </c>
      <c r="E90">
        <f t="shared" si="4"/>
        <v>0.32550252546296299</v>
      </c>
      <c r="F90">
        <f t="shared" si="5"/>
        <v>0.1984255284143519</v>
      </c>
      <c r="G90">
        <f t="shared" si="6"/>
        <v>4</v>
      </c>
      <c r="H90">
        <f t="shared" si="7"/>
        <v>3.9060303055555559</v>
      </c>
    </row>
    <row r="91" spans="1:8" x14ac:dyDescent="0.25">
      <c r="A91">
        <v>1007</v>
      </c>
      <c r="B91">
        <v>6</v>
      </c>
      <c r="C91">
        <v>77.894376388888887</v>
      </c>
      <c r="D91">
        <v>38.599063666666673</v>
      </c>
      <c r="E91">
        <f t="shared" si="4"/>
        <v>0.32455990162037035</v>
      </c>
      <c r="F91">
        <f t="shared" si="5"/>
        <v>0.16082943194444446</v>
      </c>
      <c r="G91">
        <f t="shared" si="6"/>
        <v>4</v>
      </c>
      <c r="H91">
        <f t="shared" si="7"/>
        <v>3.894718819444444</v>
      </c>
    </row>
    <row r="92" spans="1:8" x14ac:dyDescent="0.25">
      <c r="A92">
        <v>1007</v>
      </c>
      <c r="B92">
        <v>7</v>
      </c>
      <c r="C92">
        <v>78.154497222222219</v>
      </c>
      <c r="D92">
        <v>49.341021970899448</v>
      </c>
      <c r="E92">
        <f t="shared" si="4"/>
        <v>0.32564373842592592</v>
      </c>
      <c r="F92">
        <f t="shared" si="5"/>
        <v>0.20558759154541437</v>
      </c>
      <c r="G92">
        <f t="shared" si="6"/>
        <v>4</v>
      </c>
      <c r="H92">
        <f t="shared" si="7"/>
        <v>3.9077248611111113</v>
      </c>
    </row>
    <row r="93" spans="1:8" x14ac:dyDescent="0.25">
      <c r="A93">
        <v>1007</v>
      </c>
      <c r="B93">
        <v>8</v>
      </c>
      <c r="C93">
        <v>78.359783055555553</v>
      </c>
      <c r="D93">
        <v>50.066204480676113</v>
      </c>
      <c r="E93">
        <f t="shared" si="4"/>
        <v>0.32649909606481481</v>
      </c>
      <c r="F93">
        <f t="shared" si="5"/>
        <v>0.20860918533615047</v>
      </c>
      <c r="G93">
        <f t="shared" si="6"/>
        <v>4</v>
      </c>
      <c r="H93">
        <f t="shared" si="7"/>
        <v>3.9179891527777775</v>
      </c>
    </row>
    <row r="94" spans="1:8" x14ac:dyDescent="0.25">
      <c r="A94">
        <v>1007</v>
      </c>
      <c r="B94">
        <v>9</v>
      </c>
      <c r="C94">
        <v>80.075509722222222</v>
      </c>
      <c r="D94">
        <v>50.776702402777779</v>
      </c>
      <c r="E94">
        <f t="shared" si="4"/>
        <v>0.33364795717592594</v>
      </c>
      <c r="F94">
        <f t="shared" si="5"/>
        <v>0.21156959334490741</v>
      </c>
      <c r="G94">
        <f t="shared" si="6"/>
        <v>5</v>
      </c>
      <c r="H94">
        <f t="shared" si="7"/>
        <v>4.0037754861111114</v>
      </c>
    </row>
    <row r="95" spans="1:8" x14ac:dyDescent="0.25">
      <c r="A95">
        <v>1007</v>
      </c>
      <c r="B95">
        <v>10</v>
      </c>
      <c r="C95">
        <v>78.703641111111111</v>
      </c>
      <c r="D95">
        <v>42.766714633838333</v>
      </c>
      <c r="E95">
        <f t="shared" si="4"/>
        <v>0.32793183796296294</v>
      </c>
      <c r="F95">
        <f t="shared" si="5"/>
        <v>0.17819464430765972</v>
      </c>
      <c r="G95">
        <f t="shared" si="6"/>
        <v>4</v>
      </c>
      <c r="H95">
        <f t="shared" si="7"/>
        <v>3.935182055555555</v>
      </c>
    </row>
    <row r="96" spans="1:8" x14ac:dyDescent="0.25">
      <c r="A96">
        <v>1007</v>
      </c>
      <c r="B96">
        <v>11</v>
      </c>
      <c r="C96">
        <v>81.267107222222222</v>
      </c>
      <c r="D96">
        <v>53.244878749999998</v>
      </c>
      <c r="E96">
        <f t="shared" si="4"/>
        <v>0.33861294675925929</v>
      </c>
      <c r="F96">
        <f t="shared" si="5"/>
        <v>0.22185366145833332</v>
      </c>
      <c r="G96">
        <f t="shared" si="6"/>
        <v>5</v>
      </c>
      <c r="H96">
        <f t="shared" si="7"/>
        <v>4.0633553611111113</v>
      </c>
    </row>
    <row r="97" spans="1:8" x14ac:dyDescent="0.25">
      <c r="A97">
        <v>1007</v>
      </c>
      <c r="B97">
        <v>12</v>
      </c>
      <c r="C97">
        <v>78.35205805555556</v>
      </c>
      <c r="D97">
        <v>53.728770687830547</v>
      </c>
      <c r="E97">
        <f t="shared" si="4"/>
        <v>0.32646690856481481</v>
      </c>
      <c r="F97">
        <f t="shared" si="5"/>
        <v>0.2238698778659606</v>
      </c>
      <c r="G97">
        <f t="shared" si="6"/>
        <v>4</v>
      </c>
      <c r="H97">
        <f t="shared" si="7"/>
        <v>3.9176029027777775</v>
      </c>
    </row>
    <row r="98" spans="1:8" x14ac:dyDescent="0.25">
      <c r="A98">
        <v>1008</v>
      </c>
      <c r="B98">
        <v>1</v>
      </c>
      <c r="C98">
        <v>67.727777777777774</v>
      </c>
      <c r="D98">
        <v>62.539166666666667</v>
      </c>
      <c r="E98">
        <f t="shared" si="4"/>
        <v>0.28219907407407407</v>
      </c>
      <c r="F98">
        <f t="shared" si="5"/>
        <v>0.26057986111111114</v>
      </c>
      <c r="G98">
        <f t="shared" si="6"/>
        <v>4</v>
      </c>
      <c r="H98">
        <f t="shared" si="7"/>
        <v>3.3863888888888889</v>
      </c>
    </row>
    <row r="99" spans="1:8" x14ac:dyDescent="0.25">
      <c r="A99">
        <v>1008</v>
      </c>
      <c r="B99">
        <v>2</v>
      </c>
      <c r="C99">
        <v>52.196644722222217</v>
      </c>
      <c r="D99">
        <v>47.698393585858327</v>
      </c>
      <c r="E99">
        <f t="shared" si="4"/>
        <v>0.21748601967592593</v>
      </c>
      <c r="F99">
        <f t="shared" si="5"/>
        <v>0.198743306607743</v>
      </c>
      <c r="G99">
        <f t="shared" si="6"/>
        <v>3</v>
      </c>
      <c r="H99">
        <f t="shared" si="7"/>
        <v>2.609832236111111</v>
      </c>
    </row>
    <row r="100" spans="1:8" x14ac:dyDescent="0.25">
      <c r="A100">
        <v>1008</v>
      </c>
      <c r="B100">
        <v>3</v>
      </c>
      <c r="C100">
        <v>74.722402222222229</v>
      </c>
      <c r="D100">
        <v>52.391836736111109</v>
      </c>
      <c r="E100">
        <f t="shared" si="4"/>
        <v>0.31134334259259261</v>
      </c>
      <c r="F100">
        <f t="shared" si="5"/>
        <v>0.21829931973379627</v>
      </c>
      <c r="G100">
        <f t="shared" si="6"/>
        <v>4</v>
      </c>
      <c r="H100">
        <f t="shared" si="7"/>
        <v>3.7361201111111111</v>
      </c>
    </row>
    <row r="101" spans="1:8" x14ac:dyDescent="0.25">
      <c r="A101">
        <v>1008</v>
      </c>
      <c r="B101">
        <v>4</v>
      </c>
      <c r="C101">
        <v>74.748474722222227</v>
      </c>
      <c r="D101">
        <v>71.799876177248606</v>
      </c>
      <c r="E101">
        <f t="shared" si="4"/>
        <v>0.31145197800925928</v>
      </c>
      <c r="F101">
        <f t="shared" si="5"/>
        <v>0.29916615073853586</v>
      </c>
      <c r="G101">
        <f t="shared" si="6"/>
        <v>4</v>
      </c>
      <c r="H101">
        <f t="shared" si="7"/>
        <v>3.7374237361111113</v>
      </c>
    </row>
    <row r="102" spans="1:8" x14ac:dyDescent="0.25">
      <c r="A102">
        <v>1008</v>
      </c>
      <c r="B102">
        <v>5</v>
      </c>
      <c r="C102">
        <v>76.265236944444439</v>
      </c>
      <c r="D102">
        <v>74.260420499999995</v>
      </c>
      <c r="E102">
        <f t="shared" si="4"/>
        <v>0.31777182060185183</v>
      </c>
      <c r="F102">
        <f t="shared" si="5"/>
        <v>0.30941841874999998</v>
      </c>
      <c r="G102">
        <f t="shared" si="6"/>
        <v>4</v>
      </c>
      <c r="H102">
        <f t="shared" si="7"/>
        <v>3.8132618472222219</v>
      </c>
    </row>
    <row r="103" spans="1:8" x14ac:dyDescent="0.25">
      <c r="A103">
        <v>1008</v>
      </c>
      <c r="B103">
        <v>6</v>
      </c>
      <c r="C103">
        <v>74.727109166666665</v>
      </c>
      <c r="D103">
        <v>71.986747152777781</v>
      </c>
      <c r="E103">
        <f t="shared" si="4"/>
        <v>0.3113629548611111</v>
      </c>
      <c r="F103">
        <f t="shared" si="5"/>
        <v>0.29994477980324075</v>
      </c>
      <c r="G103">
        <f t="shared" si="6"/>
        <v>4</v>
      </c>
      <c r="H103">
        <f t="shared" si="7"/>
        <v>3.7363554583333332</v>
      </c>
    </row>
    <row r="104" spans="1:8" x14ac:dyDescent="0.25">
      <c r="A104">
        <v>1008</v>
      </c>
      <c r="B104">
        <v>7</v>
      </c>
      <c r="C104">
        <v>77.13457861111111</v>
      </c>
      <c r="D104">
        <v>70.84306568783056</v>
      </c>
      <c r="E104">
        <f t="shared" si="4"/>
        <v>0.32139407754629629</v>
      </c>
      <c r="F104">
        <f t="shared" si="5"/>
        <v>0.29517944036596067</v>
      </c>
      <c r="G104">
        <f t="shared" si="6"/>
        <v>4</v>
      </c>
      <c r="H104">
        <f t="shared" si="7"/>
        <v>3.8567289305555557</v>
      </c>
    </row>
    <row r="105" spans="1:8" x14ac:dyDescent="0.25">
      <c r="A105">
        <v>1008</v>
      </c>
      <c r="B105">
        <v>8</v>
      </c>
      <c r="C105">
        <v>74.823826944444448</v>
      </c>
      <c r="D105">
        <v>65.073076847825831</v>
      </c>
      <c r="E105">
        <f t="shared" si="4"/>
        <v>0.31176594560185183</v>
      </c>
      <c r="F105">
        <f t="shared" si="5"/>
        <v>0.27113782019927429</v>
      </c>
      <c r="G105">
        <f t="shared" si="6"/>
        <v>4</v>
      </c>
      <c r="H105">
        <f t="shared" si="7"/>
        <v>3.7411913472222222</v>
      </c>
    </row>
    <row r="106" spans="1:8" x14ac:dyDescent="0.25">
      <c r="A106">
        <v>1008</v>
      </c>
      <c r="B106">
        <v>9</v>
      </c>
      <c r="C106">
        <v>76.95531861111111</v>
      </c>
      <c r="D106">
        <v>73.566270777777774</v>
      </c>
      <c r="E106">
        <f t="shared" si="4"/>
        <v>0.32064716087962963</v>
      </c>
      <c r="F106">
        <f t="shared" si="5"/>
        <v>0.30652612824074071</v>
      </c>
      <c r="G106">
        <f t="shared" si="6"/>
        <v>4</v>
      </c>
      <c r="H106">
        <f t="shared" si="7"/>
        <v>3.8477659305555556</v>
      </c>
    </row>
    <row r="107" spans="1:8" x14ac:dyDescent="0.25">
      <c r="A107">
        <v>1008</v>
      </c>
      <c r="B107">
        <v>10</v>
      </c>
      <c r="C107">
        <v>77.091165555555563</v>
      </c>
      <c r="D107">
        <v>75.044400353535281</v>
      </c>
      <c r="E107">
        <f t="shared" si="4"/>
        <v>0.32121318981481484</v>
      </c>
      <c r="F107">
        <f t="shared" si="5"/>
        <v>0.31268500147306366</v>
      </c>
      <c r="G107">
        <f t="shared" si="6"/>
        <v>4</v>
      </c>
      <c r="H107">
        <f t="shared" si="7"/>
        <v>3.854558277777778</v>
      </c>
    </row>
    <row r="108" spans="1:8" x14ac:dyDescent="0.25">
      <c r="A108">
        <v>1008</v>
      </c>
      <c r="B108">
        <v>11</v>
      </c>
      <c r="C108">
        <v>76.972320833333328</v>
      </c>
      <c r="D108">
        <v>73.837371982323049</v>
      </c>
      <c r="E108">
        <f t="shared" si="4"/>
        <v>0.32071800347222218</v>
      </c>
      <c r="F108">
        <f t="shared" si="5"/>
        <v>0.30765571659301272</v>
      </c>
      <c r="G108">
        <f t="shared" si="6"/>
        <v>4</v>
      </c>
      <c r="H108">
        <f t="shared" si="7"/>
        <v>3.8486160416666664</v>
      </c>
    </row>
    <row r="109" spans="1:8" x14ac:dyDescent="0.25">
      <c r="A109">
        <v>1008</v>
      </c>
      <c r="B109">
        <v>12</v>
      </c>
      <c r="C109">
        <v>77.093859444444448</v>
      </c>
      <c r="D109">
        <v>73.966729259259168</v>
      </c>
      <c r="E109">
        <f t="shared" si="4"/>
        <v>0.32122441435185184</v>
      </c>
      <c r="F109">
        <f t="shared" si="5"/>
        <v>0.30819470524691323</v>
      </c>
      <c r="G109">
        <f t="shared" si="6"/>
        <v>4</v>
      </c>
      <c r="H109">
        <f t="shared" si="7"/>
        <v>3.8546929722222218</v>
      </c>
    </row>
    <row r="110" spans="1:8" x14ac:dyDescent="0.25">
      <c r="A110">
        <v>1009</v>
      </c>
      <c r="B110">
        <v>1</v>
      </c>
      <c r="C110">
        <v>64.530833333333334</v>
      </c>
      <c r="D110">
        <v>62.020833333333336</v>
      </c>
      <c r="E110">
        <f t="shared" si="4"/>
        <v>0.26887847222222222</v>
      </c>
      <c r="F110">
        <f t="shared" si="5"/>
        <v>0.25842013888888887</v>
      </c>
      <c r="G110">
        <f t="shared" si="6"/>
        <v>4</v>
      </c>
      <c r="H110">
        <f t="shared" si="7"/>
        <v>3.2265416666666669</v>
      </c>
    </row>
    <row r="111" spans="1:8" x14ac:dyDescent="0.25">
      <c r="A111">
        <v>1009</v>
      </c>
      <c r="B111">
        <v>2</v>
      </c>
      <c r="C111">
        <v>74.04947833333334</v>
      </c>
      <c r="D111">
        <v>73.234726351009996</v>
      </c>
      <c r="E111">
        <f t="shared" si="4"/>
        <v>0.30853949305555556</v>
      </c>
      <c r="F111">
        <f t="shared" si="5"/>
        <v>0.30514469312920833</v>
      </c>
      <c r="G111">
        <f t="shared" si="6"/>
        <v>4</v>
      </c>
      <c r="H111">
        <f t="shared" si="7"/>
        <v>3.7024739166666665</v>
      </c>
    </row>
    <row r="112" spans="1:8" x14ac:dyDescent="0.25">
      <c r="A112">
        <v>1009</v>
      </c>
      <c r="B112">
        <v>3</v>
      </c>
      <c r="C112">
        <v>74.366877500000001</v>
      </c>
      <c r="D112">
        <v>72.525067250000006</v>
      </c>
      <c r="E112">
        <f t="shared" si="4"/>
        <v>0.30986198958333333</v>
      </c>
      <c r="F112">
        <f t="shared" si="5"/>
        <v>0.30218778020833337</v>
      </c>
      <c r="G112">
        <f t="shared" si="6"/>
        <v>4</v>
      </c>
      <c r="H112">
        <f t="shared" si="7"/>
        <v>3.718343875</v>
      </c>
    </row>
    <row r="113" spans="1:8" x14ac:dyDescent="0.25">
      <c r="A113">
        <v>1009</v>
      </c>
      <c r="B113">
        <v>4</v>
      </c>
      <c r="C113">
        <v>73.943981388888886</v>
      </c>
      <c r="D113">
        <v>73.634685714285553</v>
      </c>
      <c r="E113">
        <f t="shared" si="4"/>
        <v>0.30809992245370371</v>
      </c>
      <c r="F113">
        <f t="shared" si="5"/>
        <v>0.30681119047618982</v>
      </c>
      <c r="G113">
        <f t="shared" si="6"/>
        <v>4</v>
      </c>
      <c r="H113">
        <f t="shared" si="7"/>
        <v>3.6971990694444443</v>
      </c>
    </row>
    <row r="114" spans="1:8" x14ac:dyDescent="0.25">
      <c r="A114">
        <v>1009</v>
      </c>
      <c r="B114">
        <v>5</v>
      </c>
      <c r="C114">
        <v>73.749863888888882</v>
      </c>
      <c r="D114">
        <v>72.817544416666664</v>
      </c>
      <c r="E114">
        <f t="shared" si="4"/>
        <v>0.30729109953703698</v>
      </c>
      <c r="F114">
        <f t="shared" si="5"/>
        <v>0.30340643506944442</v>
      </c>
      <c r="G114">
        <f t="shared" si="6"/>
        <v>4</v>
      </c>
      <c r="H114">
        <f t="shared" si="7"/>
        <v>3.6874931944444436</v>
      </c>
    </row>
    <row r="115" spans="1:8" x14ac:dyDescent="0.25">
      <c r="A115">
        <v>1009</v>
      </c>
      <c r="B115">
        <v>6</v>
      </c>
      <c r="C115">
        <v>75.272288611111108</v>
      </c>
      <c r="D115">
        <v>71.366954222222219</v>
      </c>
      <c r="E115">
        <f t="shared" si="4"/>
        <v>0.31363453587962958</v>
      </c>
      <c r="F115">
        <f t="shared" si="5"/>
        <v>0.29736230925925927</v>
      </c>
      <c r="G115">
        <f t="shared" si="6"/>
        <v>4</v>
      </c>
      <c r="H115">
        <f t="shared" si="7"/>
        <v>3.7636144305555552</v>
      </c>
    </row>
    <row r="116" spans="1:8" x14ac:dyDescent="0.25">
      <c r="A116">
        <v>1009</v>
      </c>
      <c r="B116">
        <v>7</v>
      </c>
      <c r="C116">
        <v>73.566736944444443</v>
      </c>
      <c r="D116">
        <v>69.592795476190275</v>
      </c>
      <c r="E116">
        <f t="shared" si="4"/>
        <v>0.30652807060185183</v>
      </c>
      <c r="F116">
        <f t="shared" si="5"/>
        <v>0.28996998115079281</v>
      </c>
      <c r="G116">
        <f t="shared" si="6"/>
        <v>4</v>
      </c>
      <c r="H116">
        <f t="shared" si="7"/>
        <v>3.678336847222222</v>
      </c>
    </row>
    <row r="117" spans="1:8" x14ac:dyDescent="0.25">
      <c r="A117">
        <v>1009</v>
      </c>
      <c r="B117">
        <v>8</v>
      </c>
      <c r="C117">
        <v>73.794088055555562</v>
      </c>
      <c r="D117">
        <v>72.927800326086938</v>
      </c>
      <c r="E117">
        <f t="shared" si="4"/>
        <v>0.30747536689814819</v>
      </c>
      <c r="F117">
        <f t="shared" si="5"/>
        <v>0.30386583469202894</v>
      </c>
      <c r="G117">
        <f t="shared" si="6"/>
        <v>4</v>
      </c>
      <c r="H117">
        <f t="shared" si="7"/>
        <v>3.6897044027777781</v>
      </c>
    </row>
    <row r="118" spans="1:8" x14ac:dyDescent="0.25">
      <c r="A118">
        <v>1009</v>
      </c>
      <c r="B118">
        <v>9</v>
      </c>
      <c r="C118">
        <v>36.587829722222217</v>
      </c>
      <c r="D118">
        <v>35.608584333333333</v>
      </c>
      <c r="E118">
        <f t="shared" si="4"/>
        <v>0.15244929050925923</v>
      </c>
      <c r="F118">
        <f t="shared" si="5"/>
        <v>0.1483691013888889</v>
      </c>
      <c r="G118">
        <f t="shared" si="6"/>
        <v>2</v>
      </c>
      <c r="H118">
        <f t="shared" si="7"/>
        <v>1.8293914861111107</v>
      </c>
    </row>
    <row r="119" spans="1:8" x14ac:dyDescent="0.25">
      <c r="A119">
        <v>1009</v>
      </c>
      <c r="B119">
        <v>10</v>
      </c>
      <c r="C119">
        <v>73.024026944444444</v>
      </c>
      <c r="D119">
        <v>72.775319457070552</v>
      </c>
      <c r="E119">
        <f t="shared" si="4"/>
        <v>0.30426677893518517</v>
      </c>
      <c r="F119">
        <f t="shared" si="5"/>
        <v>0.30323049773779398</v>
      </c>
      <c r="G119">
        <f t="shared" si="6"/>
        <v>4</v>
      </c>
      <c r="H119">
        <f t="shared" si="7"/>
        <v>3.651201347222222</v>
      </c>
    </row>
    <row r="120" spans="1:8" x14ac:dyDescent="0.25">
      <c r="A120">
        <v>1009</v>
      </c>
      <c r="B120">
        <v>11</v>
      </c>
      <c r="C120">
        <v>72.939110555555558</v>
      </c>
      <c r="D120">
        <v>57.576365151514999</v>
      </c>
      <c r="E120">
        <f t="shared" si="4"/>
        <v>0.30391296064814816</v>
      </c>
      <c r="F120">
        <f t="shared" si="5"/>
        <v>0.23990152146464583</v>
      </c>
      <c r="G120">
        <f t="shared" si="6"/>
        <v>4</v>
      </c>
      <c r="H120">
        <f t="shared" si="7"/>
        <v>3.6469555277777781</v>
      </c>
    </row>
    <row r="121" spans="1:8" x14ac:dyDescent="0.25">
      <c r="A121">
        <v>1009</v>
      </c>
      <c r="B121">
        <v>12</v>
      </c>
      <c r="C121">
        <v>73.073526666666666</v>
      </c>
      <c r="D121">
        <v>72.189957539682496</v>
      </c>
      <c r="E121">
        <f t="shared" si="4"/>
        <v>0.30447302777777779</v>
      </c>
      <c r="F121">
        <f t="shared" si="5"/>
        <v>0.30079148974867703</v>
      </c>
      <c r="G121">
        <f t="shared" si="6"/>
        <v>4</v>
      </c>
      <c r="H121">
        <f t="shared" si="7"/>
        <v>3.6536763333333333</v>
      </c>
    </row>
    <row r="122" spans="1:8" x14ac:dyDescent="0.25">
      <c r="A122">
        <v>1010</v>
      </c>
      <c r="B122">
        <v>1</v>
      </c>
      <c r="C122">
        <v>76.875</v>
      </c>
      <c r="D122">
        <v>34.748888888888892</v>
      </c>
      <c r="E122">
        <f t="shared" si="4"/>
        <v>0.3203125</v>
      </c>
      <c r="F122">
        <f t="shared" si="5"/>
        <v>0.14478703703703705</v>
      </c>
      <c r="G122">
        <f t="shared" si="6"/>
        <v>4</v>
      </c>
      <c r="H122">
        <f t="shared" si="7"/>
        <v>3.84375</v>
      </c>
    </row>
    <row r="123" spans="1:8" x14ac:dyDescent="0.25">
      <c r="A123">
        <v>1010</v>
      </c>
      <c r="B123">
        <v>2</v>
      </c>
      <c r="C123">
        <v>89.767742222222225</v>
      </c>
      <c r="D123">
        <v>36.339549065656392</v>
      </c>
      <c r="E123">
        <f t="shared" si="4"/>
        <v>0.37403225925925926</v>
      </c>
      <c r="F123">
        <f t="shared" si="5"/>
        <v>0.15141478777356829</v>
      </c>
      <c r="G123">
        <f t="shared" si="6"/>
        <v>5</v>
      </c>
      <c r="H123">
        <f t="shared" si="7"/>
        <v>4.4883871111111109</v>
      </c>
    </row>
    <row r="124" spans="1:8" x14ac:dyDescent="0.25">
      <c r="A124">
        <v>1010</v>
      </c>
      <c r="B124">
        <v>3</v>
      </c>
      <c r="C124">
        <v>103.13664</v>
      </c>
      <c r="D124">
        <v>40.827277319444441</v>
      </c>
      <c r="E124">
        <f t="shared" si="4"/>
        <v>0.42973599999999995</v>
      </c>
      <c r="F124">
        <f t="shared" si="5"/>
        <v>0.17011365549768517</v>
      </c>
      <c r="G124">
        <f t="shared" si="6"/>
        <v>6</v>
      </c>
      <c r="H124">
        <f t="shared" si="7"/>
        <v>5.1568319999999996</v>
      </c>
    </row>
    <row r="125" spans="1:8" x14ac:dyDescent="0.25">
      <c r="A125">
        <v>1010</v>
      </c>
      <c r="B125">
        <v>4</v>
      </c>
      <c r="C125">
        <v>105.3802205555556</v>
      </c>
      <c r="D125">
        <v>44.492949828042221</v>
      </c>
      <c r="E125">
        <f t="shared" si="4"/>
        <v>0.43908425231481502</v>
      </c>
      <c r="F125">
        <f t="shared" si="5"/>
        <v>0.18538729095017592</v>
      </c>
      <c r="G125">
        <f t="shared" si="6"/>
        <v>6</v>
      </c>
      <c r="H125">
        <f t="shared" si="7"/>
        <v>5.26901102777778</v>
      </c>
    </row>
    <row r="126" spans="1:8" x14ac:dyDescent="0.25">
      <c r="A126">
        <v>1010</v>
      </c>
      <c r="B126">
        <v>5</v>
      </c>
      <c r="C126">
        <v>101.4724466666667</v>
      </c>
      <c r="D126">
        <v>50.012309013888888</v>
      </c>
      <c r="E126">
        <f t="shared" si="4"/>
        <v>0.42280186111111123</v>
      </c>
      <c r="F126">
        <f t="shared" si="5"/>
        <v>0.20838462089120369</v>
      </c>
      <c r="G126">
        <f t="shared" si="6"/>
        <v>6</v>
      </c>
      <c r="H126">
        <f t="shared" si="7"/>
        <v>5.0736223333333346</v>
      </c>
    </row>
    <row r="127" spans="1:8" x14ac:dyDescent="0.25">
      <c r="A127">
        <v>1010</v>
      </c>
      <c r="B127">
        <v>6</v>
      </c>
      <c r="C127">
        <v>121.75512999999999</v>
      </c>
      <c r="D127">
        <v>60.803558111111109</v>
      </c>
      <c r="E127">
        <f t="shared" si="4"/>
        <v>0.50731304166666658</v>
      </c>
      <c r="F127">
        <f t="shared" si="5"/>
        <v>0.2533481587962963</v>
      </c>
      <c r="G127">
        <f t="shared" si="6"/>
        <v>7</v>
      </c>
      <c r="H127">
        <f t="shared" si="7"/>
        <v>6.0877564999999993</v>
      </c>
    </row>
    <row r="128" spans="1:8" x14ac:dyDescent="0.25">
      <c r="A128">
        <v>1010</v>
      </c>
      <c r="B128">
        <v>7</v>
      </c>
      <c r="C128">
        <v>86.954111944444449</v>
      </c>
      <c r="D128">
        <v>40.260553847222219</v>
      </c>
      <c r="E128">
        <f t="shared" si="4"/>
        <v>0.36230879976851854</v>
      </c>
      <c r="F128">
        <f t="shared" si="5"/>
        <v>0.16775230769675922</v>
      </c>
      <c r="G128">
        <f t="shared" si="6"/>
        <v>5</v>
      </c>
      <c r="H128">
        <f t="shared" si="7"/>
        <v>4.3477055972222223</v>
      </c>
    </row>
    <row r="129" spans="1:8" x14ac:dyDescent="0.25">
      <c r="A129">
        <v>1010</v>
      </c>
      <c r="B129">
        <v>8</v>
      </c>
      <c r="C129">
        <v>53.752969444444453</v>
      </c>
      <c r="D129">
        <v>26.581022983091671</v>
      </c>
      <c r="E129">
        <f t="shared" si="4"/>
        <v>0.22397070601851854</v>
      </c>
      <c r="F129">
        <f t="shared" si="5"/>
        <v>0.11075426242954862</v>
      </c>
      <c r="G129">
        <f t="shared" si="6"/>
        <v>3</v>
      </c>
      <c r="H129">
        <f t="shared" si="7"/>
        <v>2.6876484722222225</v>
      </c>
    </row>
    <row r="130" spans="1:8" x14ac:dyDescent="0.25">
      <c r="A130">
        <v>1010</v>
      </c>
      <c r="B130">
        <v>10</v>
      </c>
      <c r="C130">
        <v>19.608747777777779</v>
      </c>
      <c r="D130">
        <v>4.5990921825394446</v>
      </c>
      <c r="E130">
        <f t="shared" ref="E130:E193" si="8">+C130/20/12</f>
        <v>8.1703115740740753E-2</v>
      </c>
      <c r="F130">
        <f t="shared" ref="F130:F193" si="9">+D130/20/12</f>
        <v>1.9162884093914354E-2</v>
      </c>
      <c r="G130">
        <f t="shared" ref="G130:G193" si="10">+ROUNDUP(E130*12,0)</f>
        <v>1</v>
      </c>
      <c r="H130">
        <f t="shared" ref="H130:H193" si="11">+E130*12</f>
        <v>0.98043738888888909</v>
      </c>
    </row>
    <row r="131" spans="1:8" x14ac:dyDescent="0.25">
      <c r="A131">
        <v>1010</v>
      </c>
      <c r="B131">
        <v>12</v>
      </c>
      <c r="C131">
        <v>86.91979388888889</v>
      </c>
      <c r="D131">
        <v>43.571278452380831</v>
      </c>
      <c r="E131">
        <f t="shared" si="8"/>
        <v>0.36216580787037039</v>
      </c>
      <c r="F131">
        <f t="shared" si="9"/>
        <v>0.18154699355158679</v>
      </c>
      <c r="G131">
        <f t="shared" si="10"/>
        <v>5</v>
      </c>
      <c r="H131">
        <f t="shared" si="11"/>
        <v>4.3459896944444445</v>
      </c>
    </row>
    <row r="132" spans="1:8" x14ac:dyDescent="0.25">
      <c r="A132">
        <v>1011</v>
      </c>
      <c r="B132">
        <v>1</v>
      </c>
      <c r="C132">
        <v>63.029722222222219</v>
      </c>
      <c r="D132">
        <v>58.071111111111115</v>
      </c>
      <c r="E132">
        <f t="shared" si="8"/>
        <v>0.26262384259259258</v>
      </c>
      <c r="F132">
        <f t="shared" si="9"/>
        <v>0.24196296296296296</v>
      </c>
      <c r="G132">
        <f t="shared" si="10"/>
        <v>4</v>
      </c>
      <c r="H132">
        <f t="shared" si="11"/>
        <v>3.1514861111111108</v>
      </c>
    </row>
    <row r="133" spans="1:8" x14ac:dyDescent="0.25">
      <c r="A133">
        <v>1011</v>
      </c>
      <c r="B133">
        <v>2</v>
      </c>
      <c r="C133">
        <v>36.188634722222233</v>
      </c>
      <c r="D133">
        <v>32.772934633838332</v>
      </c>
      <c r="E133">
        <f t="shared" si="8"/>
        <v>0.1507859780092593</v>
      </c>
      <c r="F133">
        <f t="shared" si="9"/>
        <v>0.13655389430765971</v>
      </c>
      <c r="G133">
        <f t="shared" si="10"/>
        <v>2</v>
      </c>
      <c r="H133">
        <f t="shared" si="11"/>
        <v>1.8094317361111116</v>
      </c>
    </row>
    <row r="134" spans="1:8" x14ac:dyDescent="0.25">
      <c r="A134">
        <v>1011</v>
      </c>
      <c r="B134">
        <v>3</v>
      </c>
      <c r="C134">
        <v>35.642509444444443</v>
      </c>
      <c r="D134">
        <v>33.134930958333342</v>
      </c>
      <c r="E134">
        <f t="shared" si="8"/>
        <v>0.14851045601851851</v>
      </c>
      <c r="F134">
        <f t="shared" si="9"/>
        <v>0.13806221232638893</v>
      </c>
      <c r="G134">
        <f t="shared" si="10"/>
        <v>2</v>
      </c>
      <c r="H134">
        <f t="shared" si="11"/>
        <v>1.782125472222222</v>
      </c>
    </row>
    <row r="135" spans="1:8" x14ac:dyDescent="0.25">
      <c r="A135">
        <v>1011</v>
      </c>
      <c r="B135">
        <v>4</v>
      </c>
      <c r="C135">
        <v>35.79333611111111</v>
      </c>
      <c r="D135">
        <v>32.171209232804173</v>
      </c>
      <c r="E135">
        <f t="shared" si="8"/>
        <v>0.14913890046296296</v>
      </c>
      <c r="F135">
        <f t="shared" si="9"/>
        <v>0.13404670513668407</v>
      </c>
      <c r="G135">
        <f t="shared" si="10"/>
        <v>2</v>
      </c>
      <c r="H135">
        <f t="shared" si="11"/>
        <v>1.7896668055555556</v>
      </c>
    </row>
    <row r="136" spans="1:8" x14ac:dyDescent="0.25">
      <c r="A136">
        <v>1011</v>
      </c>
      <c r="B136">
        <v>5</v>
      </c>
      <c r="C136">
        <v>35.870734166666672</v>
      </c>
      <c r="D136">
        <v>33.963523986111113</v>
      </c>
      <c r="E136">
        <f t="shared" si="8"/>
        <v>0.14946139236111114</v>
      </c>
      <c r="F136">
        <f t="shared" si="9"/>
        <v>0.14151468327546299</v>
      </c>
      <c r="G136">
        <f t="shared" si="10"/>
        <v>2</v>
      </c>
      <c r="H136">
        <f t="shared" si="11"/>
        <v>1.7935367083333338</v>
      </c>
    </row>
    <row r="137" spans="1:8" x14ac:dyDescent="0.25">
      <c r="A137">
        <v>1011</v>
      </c>
      <c r="B137">
        <v>6</v>
      </c>
      <c r="C137">
        <v>35.872640833333342</v>
      </c>
      <c r="D137">
        <v>32.127202569444442</v>
      </c>
      <c r="E137">
        <f t="shared" si="8"/>
        <v>0.1494693368055556</v>
      </c>
      <c r="F137">
        <f t="shared" si="9"/>
        <v>0.13386334403935185</v>
      </c>
      <c r="G137">
        <f t="shared" si="10"/>
        <v>2</v>
      </c>
      <c r="H137">
        <f t="shared" si="11"/>
        <v>1.7936320416666671</v>
      </c>
    </row>
    <row r="138" spans="1:8" x14ac:dyDescent="0.25">
      <c r="A138">
        <v>1011</v>
      </c>
      <c r="B138">
        <v>7</v>
      </c>
      <c r="C138">
        <v>75.196510555555562</v>
      </c>
      <c r="D138">
        <v>48.674716917989173</v>
      </c>
      <c r="E138">
        <f t="shared" si="8"/>
        <v>0.31331879398148149</v>
      </c>
      <c r="F138">
        <f t="shared" si="9"/>
        <v>0.20281132049162154</v>
      </c>
      <c r="G138">
        <f t="shared" si="10"/>
        <v>4</v>
      </c>
      <c r="H138">
        <f t="shared" si="11"/>
        <v>3.7598255277777781</v>
      </c>
    </row>
    <row r="139" spans="1:8" x14ac:dyDescent="0.25">
      <c r="A139">
        <v>1011</v>
      </c>
      <c r="B139">
        <v>8</v>
      </c>
      <c r="C139">
        <v>104.0531252777778</v>
      </c>
      <c r="D139">
        <v>97.109988417874163</v>
      </c>
      <c r="E139">
        <f t="shared" si="8"/>
        <v>0.43355468865740748</v>
      </c>
      <c r="F139">
        <f t="shared" si="9"/>
        <v>0.40462495174114238</v>
      </c>
      <c r="G139">
        <f t="shared" si="10"/>
        <v>6</v>
      </c>
      <c r="H139">
        <f t="shared" si="11"/>
        <v>5.2026562638888896</v>
      </c>
    </row>
    <row r="140" spans="1:8" x14ac:dyDescent="0.25">
      <c r="A140">
        <v>1011</v>
      </c>
      <c r="B140">
        <v>9</v>
      </c>
      <c r="C140">
        <v>99.191473888888893</v>
      </c>
      <c r="D140">
        <v>97.025251999999995</v>
      </c>
      <c r="E140">
        <f t="shared" si="8"/>
        <v>0.4132978078703704</v>
      </c>
      <c r="F140">
        <f t="shared" si="9"/>
        <v>0.40427188333333336</v>
      </c>
      <c r="G140">
        <f t="shared" si="10"/>
        <v>5</v>
      </c>
      <c r="H140">
        <f t="shared" si="11"/>
        <v>4.9595736944444448</v>
      </c>
    </row>
    <row r="141" spans="1:8" x14ac:dyDescent="0.25">
      <c r="A141">
        <v>1011</v>
      </c>
      <c r="B141">
        <v>10</v>
      </c>
      <c r="C141">
        <v>99.977512777777775</v>
      </c>
      <c r="D141">
        <v>96.8515538762625</v>
      </c>
      <c r="E141">
        <f t="shared" si="8"/>
        <v>0.41657296990740739</v>
      </c>
      <c r="F141">
        <f t="shared" si="9"/>
        <v>0.40354814115109372</v>
      </c>
      <c r="G141">
        <f t="shared" si="10"/>
        <v>5</v>
      </c>
      <c r="H141">
        <f t="shared" si="11"/>
        <v>4.9988756388888884</v>
      </c>
    </row>
    <row r="142" spans="1:8" x14ac:dyDescent="0.25">
      <c r="A142">
        <v>1011</v>
      </c>
      <c r="B142">
        <v>11</v>
      </c>
      <c r="C142">
        <v>99.244028333333333</v>
      </c>
      <c r="D142">
        <v>96.579971780302785</v>
      </c>
      <c r="E142">
        <f t="shared" si="8"/>
        <v>0.41351678472222225</v>
      </c>
      <c r="F142">
        <f t="shared" si="9"/>
        <v>0.40241654908459495</v>
      </c>
      <c r="G142">
        <f t="shared" si="10"/>
        <v>5</v>
      </c>
      <c r="H142">
        <f t="shared" si="11"/>
        <v>4.9622014166666668</v>
      </c>
    </row>
    <row r="143" spans="1:8" x14ac:dyDescent="0.25">
      <c r="A143">
        <v>1011</v>
      </c>
      <c r="B143">
        <v>12</v>
      </c>
      <c r="C143">
        <v>99.325539722222217</v>
      </c>
      <c r="D143">
        <v>96.441293835978612</v>
      </c>
      <c r="E143">
        <f t="shared" si="8"/>
        <v>0.41385641550925922</v>
      </c>
      <c r="F143">
        <f t="shared" si="9"/>
        <v>0.40183872431657752</v>
      </c>
      <c r="G143">
        <f t="shared" si="10"/>
        <v>5</v>
      </c>
      <c r="H143">
        <f t="shared" si="11"/>
        <v>4.9662769861111107</v>
      </c>
    </row>
    <row r="144" spans="1:8" x14ac:dyDescent="0.25">
      <c r="A144">
        <v>1012</v>
      </c>
      <c r="B144">
        <v>1</v>
      </c>
      <c r="C144">
        <v>59.862499999999997</v>
      </c>
      <c r="D144">
        <v>45.845833333333331</v>
      </c>
      <c r="E144">
        <f t="shared" si="8"/>
        <v>0.24942708333333333</v>
      </c>
      <c r="F144">
        <f t="shared" si="9"/>
        <v>0.19102430555555552</v>
      </c>
      <c r="G144">
        <f t="shared" si="10"/>
        <v>3</v>
      </c>
      <c r="H144">
        <f t="shared" si="11"/>
        <v>2.993125</v>
      </c>
    </row>
    <row r="145" spans="1:8" x14ac:dyDescent="0.25">
      <c r="A145">
        <v>1012</v>
      </c>
      <c r="B145">
        <v>2</v>
      </c>
      <c r="C145">
        <v>40.002407499999997</v>
      </c>
      <c r="D145">
        <v>37.583974785353327</v>
      </c>
      <c r="E145">
        <f t="shared" si="8"/>
        <v>0.16667669791666664</v>
      </c>
      <c r="F145">
        <f t="shared" si="9"/>
        <v>0.1565998949389722</v>
      </c>
      <c r="G145">
        <f t="shared" si="10"/>
        <v>3</v>
      </c>
      <c r="H145">
        <f t="shared" si="11"/>
        <v>2.0001203749999998</v>
      </c>
    </row>
    <row r="146" spans="1:8" x14ac:dyDescent="0.25">
      <c r="A146">
        <v>1012</v>
      </c>
      <c r="B146">
        <v>3</v>
      </c>
      <c r="C146">
        <v>40.661899166666657</v>
      </c>
      <c r="D146">
        <v>35.337045814814722</v>
      </c>
      <c r="E146">
        <f t="shared" si="8"/>
        <v>0.16942457986111106</v>
      </c>
      <c r="F146">
        <f t="shared" si="9"/>
        <v>0.14723769089506134</v>
      </c>
      <c r="G146">
        <f t="shared" si="10"/>
        <v>3</v>
      </c>
      <c r="H146">
        <f t="shared" si="11"/>
        <v>2.0330949583333329</v>
      </c>
    </row>
    <row r="147" spans="1:8" x14ac:dyDescent="0.25">
      <c r="A147">
        <v>1012</v>
      </c>
      <c r="B147">
        <v>4</v>
      </c>
      <c r="C147">
        <v>40.821617500000002</v>
      </c>
      <c r="D147">
        <v>37.365841243386107</v>
      </c>
      <c r="E147">
        <f t="shared" si="8"/>
        <v>0.17009007291666667</v>
      </c>
      <c r="F147">
        <f t="shared" si="9"/>
        <v>0.15569100518077544</v>
      </c>
      <c r="G147">
        <f t="shared" si="10"/>
        <v>3</v>
      </c>
      <c r="H147">
        <f t="shared" si="11"/>
        <v>2.041080875</v>
      </c>
    </row>
    <row r="148" spans="1:8" x14ac:dyDescent="0.25">
      <c r="A148">
        <v>1012</v>
      </c>
      <c r="B148">
        <v>5</v>
      </c>
      <c r="C148">
        <v>40.621624166666663</v>
      </c>
      <c r="D148">
        <v>36.212668111111107</v>
      </c>
      <c r="E148">
        <f t="shared" si="8"/>
        <v>0.16925676736111109</v>
      </c>
      <c r="F148">
        <f t="shared" si="9"/>
        <v>0.1508861171296296</v>
      </c>
      <c r="G148">
        <f t="shared" si="10"/>
        <v>3</v>
      </c>
      <c r="H148">
        <f t="shared" si="11"/>
        <v>2.0310812083333332</v>
      </c>
    </row>
    <row r="149" spans="1:8" x14ac:dyDescent="0.25">
      <c r="A149">
        <v>1012</v>
      </c>
      <c r="B149">
        <v>6</v>
      </c>
      <c r="C149">
        <v>40.477013333333332</v>
      </c>
      <c r="D149">
        <v>27.163125611111109</v>
      </c>
      <c r="E149">
        <f t="shared" si="8"/>
        <v>0.16865422222222223</v>
      </c>
      <c r="F149">
        <f t="shared" si="9"/>
        <v>0.11317969004629629</v>
      </c>
      <c r="G149">
        <f t="shared" si="10"/>
        <v>3</v>
      </c>
      <c r="H149">
        <f t="shared" si="11"/>
        <v>2.0238506666666667</v>
      </c>
    </row>
    <row r="150" spans="1:8" x14ac:dyDescent="0.25">
      <c r="A150">
        <v>1012</v>
      </c>
      <c r="B150">
        <v>7</v>
      </c>
      <c r="C150">
        <v>81.463948888888893</v>
      </c>
      <c r="D150">
        <v>57.720755952380827</v>
      </c>
      <c r="E150">
        <f t="shared" si="8"/>
        <v>0.33943312037037038</v>
      </c>
      <c r="F150">
        <f t="shared" si="9"/>
        <v>0.2405031498015868</v>
      </c>
      <c r="G150">
        <f t="shared" si="10"/>
        <v>5</v>
      </c>
      <c r="H150">
        <f t="shared" si="11"/>
        <v>4.0731974444444443</v>
      </c>
    </row>
    <row r="151" spans="1:8" x14ac:dyDescent="0.25">
      <c r="A151">
        <v>1012</v>
      </c>
      <c r="B151">
        <v>8</v>
      </c>
      <c r="C151">
        <v>81.93911138888889</v>
      </c>
      <c r="D151">
        <v>62.110772342994998</v>
      </c>
      <c r="E151">
        <f t="shared" si="8"/>
        <v>0.34141296412037042</v>
      </c>
      <c r="F151">
        <f t="shared" si="9"/>
        <v>0.25879488476247919</v>
      </c>
      <c r="G151">
        <f t="shared" si="10"/>
        <v>5</v>
      </c>
      <c r="H151">
        <f t="shared" si="11"/>
        <v>4.0969555694444448</v>
      </c>
    </row>
    <row r="152" spans="1:8" x14ac:dyDescent="0.25">
      <c r="A152">
        <v>1012</v>
      </c>
      <c r="B152">
        <v>10</v>
      </c>
      <c r="C152">
        <v>101.83727055555561</v>
      </c>
      <c r="D152">
        <v>64.938066553030282</v>
      </c>
      <c r="E152">
        <f t="shared" si="8"/>
        <v>0.42432196064814837</v>
      </c>
      <c r="F152">
        <f t="shared" si="9"/>
        <v>0.27057527730429282</v>
      </c>
      <c r="G152">
        <f t="shared" si="10"/>
        <v>6</v>
      </c>
      <c r="H152">
        <f t="shared" si="11"/>
        <v>5.0918635277777806</v>
      </c>
    </row>
    <row r="153" spans="1:8" x14ac:dyDescent="0.25">
      <c r="A153">
        <v>1012</v>
      </c>
      <c r="B153">
        <v>11</v>
      </c>
      <c r="C153">
        <v>82.030845833333331</v>
      </c>
      <c r="D153">
        <v>65.828545701058061</v>
      </c>
      <c r="E153">
        <f t="shared" si="8"/>
        <v>0.34179519097222216</v>
      </c>
      <c r="F153">
        <f t="shared" si="9"/>
        <v>0.27428560708774191</v>
      </c>
      <c r="G153">
        <f t="shared" si="10"/>
        <v>5</v>
      </c>
      <c r="H153">
        <f t="shared" si="11"/>
        <v>4.1015422916666662</v>
      </c>
    </row>
    <row r="154" spans="1:8" x14ac:dyDescent="0.25">
      <c r="A154">
        <v>1012</v>
      </c>
      <c r="B154">
        <v>12</v>
      </c>
      <c r="C154">
        <v>108.6303030555556</v>
      </c>
      <c r="D154">
        <v>80.042063465608337</v>
      </c>
      <c r="E154">
        <f t="shared" si="8"/>
        <v>0.45262626273148165</v>
      </c>
      <c r="F154">
        <f t="shared" si="9"/>
        <v>0.33350859777336805</v>
      </c>
      <c r="G154">
        <f t="shared" si="10"/>
        <v>6</v>
      </c>
      <c r="H154">
        <f t="shared" si="11"/>
        <v>5.4315151527777799</v>
      </c>
    </row>
    <row r="155" spans="1:8" x14ac:dyDescent="0.25">
      <c r="A155">
        <v>1013</v>
      </c>
      <c r="B155">
        <v>1</v>
      </c>
      <c r="C155">
        <v>54.433055555555555</v>
      </c>
      <c r="D155">
        <v>47.393055555555556</v>
      </c>
      <c r="E155">
        <f t="shared" si="8"/>
        <v>0.22680439814814815</v>
      </c>
      <c r="F155">
        <f t="shared" si="9"/>
        <v>0.1974710648148148</v>
      </c>
      <c r="G155">
        <f t="shared" si="10"/>
        <v>3</v>
      </c>
      <c r="H155">
        <f t="shared" si="11"/>
        <v>2.7216527777777779</v>
      </c>
    </row>
    <row r="156" spans="1:8" x14ac:dyDescent="0.25">
      <c r="A156">
        <v>1013</v>
      </c>
      <c r="B156">
        <v>2</v>
      </c>
      <c r="C156">
        <v>39.015078055555563</v>
      </c>
      <c r="D156">
        <v>26.65105054292917</v>
      </c>
      <c r="E156">
        <f t="shared" si="8"/>
        <v>0.16256282523148149</v>
      </c>
      <c r="F156">
        <f t="shared" si="9"/>
        <v>0.11104604392887153</v>
      </c>
      <c r="G156">
        <f t="shared" si="10"/>
        <v>2</v>
      </c>
      <c r="H156">
        <f t="shared" si="11"/>
        <v>1.950753902777778</v>
      </c>
    </row>
    <row r="157" spans="1:8" x14ac:dyDescent="0.25">
      <c r="A157">
        <v>1013</v>
      </c>
      <c r="B157">
        <v>3</v>
      </c>
      <c r="C157">
        <v>34.442335833333331</v>
      </c>
      <c r="D157">
        <v>19.12867005555556</v>
      </c>
      <c r="E157">
        <f t="shared" si="8"/>
        <v>0.14350973263888889</v>
      </c>
      <c r="F157">
        <f t="shared" si="9"/>
        <v>7.9702791898148162E-2</v>
      </c>
      <c r="G157">
        <f t="shared" si="10"/>
        <v>2</v>
      </c>
      <c r="H157">
        <f t="shared" si="11"/>
        <v>1.7221167916666666</v>
      </c>
    </row>
    <row r="158" spans="1:8" x14ac:dyDescent="0.25">
      <c r="A158">
        <v>1013</v>
      </c>
      <c r="B158">
        <v>4</v>
      </c>
      <c r="C158">
        <v>54.232177777777778</v>
      </c>
      <c r="D158">
        <v>35.337412182539452</v>
      </c>
      <c r="E158">
        <f t="shared" si="8"/>
        <v>0.22596740740740739</v>
      </c>
      <c r="F158">
        <f t="shared" si="9"/>
        <v>0.14723921742724771</v>
      </c>
      <c r="G158">
        <f t="shared" si="10"/>
        <v>3</v>
      </c>
      <c r="H158">
        <f t="shared" si="11"/>
        <v>2.7116088888888887</v>
      </c>
    </row>
    <row r="159" spans="1:8" x14ac:dyDescent="0.25">
      <c r="A159">
        <v>1013</v>
      </c>
      <c r="B159">
        <v>5</v>
      </c>
      <c r="C159">
        <v>58.586298055555552</v>
      </c>
      <c r="D159">
        <v>56.231455638888889</v>
      </c>
      <c r="E159">
        <f t="shared" si="8"/>
        <v>0.24410957523148147</v>
      </c>
      <c r="F159">
        <f t="shared" si="9"/>
        <v>0.2342977318287037</v>
      </c>
      <c r="G159">
        <f t="shared" si="10"/>
        <v>3</v>
      </c>
      <c r="H159">
        <f t="shared" si="11"/>
        <v>2.9293149027777776</v>
      </c>
    </row>
    <row r="160" spans="1:8" x14ac:dyDescent="0.25">
      <c r="A160">
        <v>1013</v>
      </c>
      <c r="B160">
        <v>6</v>
      </c>
      <c r="C160">
        <v>57.546518611111111</v>
      </c>
      <c r="D160">
        <v>56.147109499999999</v>
      </c>
      <c r="E160">
        <f t="shared" si="8"/>
        <v>0.23977716087962964</v>
      </c>
      <c r="F160">
        <f t="shared" si="9"/>
        <v>0.23394628958333333</v>
      </c>
      <c r="G160">
        <f t="shared" si="10"/>
        <v>3</v>
      </c>
      <c r="H160">
        <f t="shared" si="11"/>
        <v>2.8773259305555556</v>
      </c>
    </row>
    <row r="161" spans="1:8" x14ac:dyDescent="0.25">
      <c r="A161">
        <v>1013</v>
      </c>
      <c r="B161">
        <v>7</v>
      </c>
      <c r="C161">
        <v>58.275823611111107</v>
      </c>
      <c r="D161">
        <v>56.344614069444447</v>
      </c>
      <c r="E161">
        <f t="shared" si="8"/>
        <v>0.24281593171296292</v>
      </c>
      <c r="F161">
        <f t="shared" si="9"/>
        <v>0.23476922528935185</v>
      </c>
      <c r="G161">
        <f t="shared" si="10"/>
        <v>3</v>
      </c>
      <c r="H161">
        <f t="shared" si="11"/>
        <v>2.9137911805555552</v>
      </c>
    </row>
    <row r="162" spans="1:8" x14ac:dyDescent="0.25">
      <c r="A162">
        <v>1013</v>
      </c>
      <c r="B162">
        <v>8</v>
      </c>
      <c r="C162">
        <v>58.183954444444453</v>
      </c>
      <c r="D162">
        <v>56.465456630434723</v>
      </c>
      <c r="E162">
        <f t="shared" si="8"/>
        <v>0.24243314351851855</v>
      </c>
      <c r="F162">
        <f t="shared" si="9"/>
        <v>0.23527273596014467</v>
      </c>
      <c r="G162">
        <f t="shared" si="10"/>
        <v>3</v>
      </c>
      <c r="H162">
        <f t="shared" si="11"/>
        <v>2.9091977222222227</v>
      </c>
    </row>
    <row r="163" spans="1:8" x14ac:dyDescent="0.25">
      <c r="A163">
        <v>1013</v>
      </c>
      <c r="B163">
        <v>9</v>
      </c>
      <c r="C163">
        <v>74.516986111111109</v>
      </c>
      <c r="D163">
        <v>69.93678808333334</v>
      </c>
      <c r="E163">
        <f t="shared" si="8"/>
        <v>0.31048744212962959</v>
      </c>
      <c r="F163">
        <f t="shared" si="9"/>
        <v>0.29140328368055557</v>
      </c>
      <c r="G163">
        <f t="shared" si="10"/>
        <v>4</v>
      </c>
      <c r="H163">
        <f t="shared" si="11"/>
        <v>3.7258493055555553</v>
      </c>
    </row>
    <row r="164" spans="1:8" x14ac:dyDescent="0.25">
      <c r="A164">
        <v>1013</v>
      </c>
      <c r="B164">
        <v>10</v>
      </c>
      <c r="C164">
        <v>79.430764722222222</v>
      </c>
      <c r="D164">
        <v>58.883036464646388</v>
      </c>
      <c r="E164">
        <f t="shared" si="8"/>
        <v>0.33096151967592591</v>
      </c>
      <c r="F164">
        <f t="shared" si="9"/>
        <v>0.24534598526935994</v>
      </c>
      <c r="G164">
        <f t="shared" si="10"/>
        <v>4</v>
      </c>
      <c r="H164">
        <f t="shared" si="11"/>
        <v>3.9715382361111109</v>
      </c>
    </row>
    <row r="165" spans="1:8" x14ac:dyDescent="0.25">
      <c r="A165">
        <v>1013</v>
      </c>
      <c r="B165">
        <v>11</v>
      </c>
      <c r="C165">
        <v>80.79214972222222</v>
      </c>
      <c r="D165">
        <v>77.367302335858327</v>
      </c>
      <c r="E165">
        <f t="shared" si="8"/>
        <v>0.33663395717592587</v>
      </c>
      <c r="F165">
        <f t="shared" si="9"/>
        <v>0.32236375973274306</v>
      </c>
      <c r="G165">
        <f t="shared" si="10"/>
        <v>5</v>
      </c>
      <c r="H165">
        <f t="shared" si="11"/>
        <v>4.0396074861111106</v>
      </c>
    </row>
    <row r="166" spans="1:8" x14ac:dyDescent="0.25">
      <c r="A166">
        <v>1013</v>
      </c>
      <c r="B166">
        <v>12</v>
      </c>
      <c r="C166">
        <v>58.172609444444447</v>
      </c>
      <c r="D166">
        <v>56.222450291005281</v>
      </c>
      <c r="E166">
        <f t="shared" si="8"/>
        <v>0.24238587268518519</v>
      </c>
      <c r="F166">
        <f t="shared" si="9"/>
        <v>0.23426020954585533</v>
      </c>
      <c r="G166">
        <f t="shared" si="10"/>
        <v>3</v>
      </c>
      <c r="H166">
        <f t="shared" si="11"/>
        <v>2.9086304722222223</v>
      </c>
    </row>
    <row r="167" spans="1:8" x14ac:dyDescent="0.25">
      <c r="A167">
        <v>1014</v>
      </c>
      <c r="B167">
        <v>1</v>
      </c>
      <c r="C167">
        <v>53.670555555555552</v>
      </c>
      <c r="D167">
        <v>38.978055555555557</v>
      </c>
      <c r="E167">
        <f t="shared" si="8"/>
        <v>0.22362731481481479</v>
      </c>
      <c r="F167">
        <f t="shared" si="9"/>
        <v>0.16240856481481483</v>
      </c>
      <c r="G167">
        <f t="shared" si="10"/>
        <v>3</v>
      </c>
      <c r="H167">
        <f t="shared" si="11"/>
        <v>2.6835277777777775</v>
      </c>
    </row>
    <row r="168" spans="1:8" x14ac:dyDescent="0.25">
      <c r="A168">
        <v>1014</v>
      </c>
      <c r="B168">
        <v>2</v>
      </c>
      <c r="C168">
        <v>70.021980277777772</v>
      </c>
      <c r="D168">
        <v>43.028260861111107</v>
      </c>
      <c r="E168">
        <f t="shared" si="8"/>
        <v>0.29175825115740739</v>
      </c>
      <c r="F168">
        <f t="shared" si="9"/>
        <v>0.17928442025462962</v>
      </c>
      <c r="G168">
        <f t="shared" si="10"/>
        <v>4</v>
      </c>
      <c r="H168">
        <f t="shared" si="11"/>
        <v>3.5010990138888887</v>
      </c>
    </row>
    <row r="169" spans="1:8" x14ac:dyDescent="0.25">
      <c r="A169">
        <v>1014</v>
      </c>
      <c r="B169">
        <v>3</v>
      </c>
      <c r="C169">
        <v>42.377189722222219</v>
      </c>
      <c r="D169">
        <v>34.933065569444437</v>
      </c>
      <c r="E169">
        <f t="shared" si="8"/>
        <v>0.17657162384259259</v>
      </c>
      <c r="F169">
        <f t="shared" si="9"/>
        <v>0.14555443987268515</v>
      </c>
      <c r="G169">
        <f t="shared" si="10"/>
        <v>3</v>
      </c>
      <c r="H169">
        <f t="shared" si="11"/>
        <v>2.118859486111111</v>
      </c>
    </row>
    <row r="170" spans="1:8" x14ac:dyDescent="0.25">
      <c r="A170">
        <v>1014</v>
      </c>
      <c r="B170">
        <v>4</v>
      </c>
      <c r="C170">
        <v>41.376823333333327</v>
      </c>
      <c r="D170">
        <v>29.840016812169171</v>
      </c>
      <c r="E170">
        <f t="shared" si="8"/>
        <v>0.17240343055555551</v>
      </c>
      <c r="F170">
        <f t="shared" si="9"/>
        <v>0.12433340338403821</v>
      </c>
      <c r="G170">
        <f t="shared" si="10"/>
        <v>3</v>
      </c>
      <c r="H170">
        <f t="shared" si="11"/>
        <v>2.0688411666666662</v>
      </c>
    </row>
    <row r="171" spans="1:8" x14ac:dyDescent="0.25">
      <c r="A171">
        <v>1014</v>
      </c>
      <c r="B171">
        <v>5</v>
      </c>
      <c r="C171">
        <v>33.265562222222222</v>
      </c>
      <c r="D171">
        <v>22.30401480555556</v>
      </c>
      <c r="E171">
        <f t="shared" si="8"/>
        <v>0.13860650925925924</v>
      </c>
      <c r="F171">
        <f t="shared" si="9"/>
        <v>9.2933395023148166E-2</v>
      </c>
      <c r="G171">
        <f t="shared" si="10"/>
        <v>2</v>
      </c>
      <c r="H171">
        <f t="shared" si="11"/>
        <v>1.663278111111111</v>
      </c>
    </row>
    <row r="172" spans="1:8" x14ac:dyDescent="0.25">
      <c r="A172">
        <v>1014</v>
      </c>
      <c r="B172">
        <v>6</v>
      </c>
      <c r="C172">
        <v>31.873962500000001</v>
      </c>
      <c r="D172">
        <v>22.959315930555551</v>
      </c>
      <c r="E172">
        <f t="shared" si="8"/>
        <v>0.13280817708333334</v>
      </c>
      <c r="F172">
        <f t="shared" si="9"/>
        <v>9.5663816377314803E-2</v>
      </c>
      <c r="G172">
        <f t="shared" si="10"/>
        <v>2</v>
      </c>
      <c r="H172">
        <f t="shared" si="11"/>
        <v>1.593698125</v>
      </c>
    </row>
    <row r="173" spans="1:8" x14ac:dyDescent="0.25">
      <c r="A173">
        <v>1014</v>
      </c>
      <c r="B173">
        <v>7</v>
      </c>
      <c r="C173">
        <v>41.65904472222222</v>
      </c>
      <c r="D173">
        <v>30.162465648148061</v>
      </c>
      <c r="E173">
        <f t="shared" si="8"/>
        <v>0.17357935300925922</v>
      </c>
      <c r="F173">
        <f t="shared" si="9"/>
        <v>0.12567694020061693</v>
      </c>
      <c r="G173">
        <f t="shared" si="10"/>
        <v>3</v>
      </c>
      <c r="H173">
        <f t="shared" si="11"/>
        <v>2.0829522361111108</v>
      </c>
    </row>
    <row r="174" spans="1:8" x14ac:dyDescent="0.25">
      <c r="A174">
        <v>1014</v>
      </c>
      <c r="B174">
        <v>8</v>
      </c>
      <c r="C174">
        <v>41.493658611111108</v>
      </c>
      <c r="D174">
        <v>31.069393466183332</v>
      </c>
      <c r="E174">
        <f t="shared" si="8"/>
        <v>0.17289024421296295</v>
      </c>
      <c r="F174">
        <f t="shared" si="9"/>
        <v>0.12945580610909721</v>
      </c>
      <c r="G174">
        <f t="shared" si="10"/>
        <v>3</v>
      </c>
      <c r="H174">
        <f t="shared" si="11"/>
        <v>2.0746829305555554</v>
      </c>
    </row>
    <row r="175" spans="1:8" x14ac:dyDescent="0.25">
      <c r="A175">
        <v>1014</v>
      </c>
      <c r="B175">
        <v>9</v>
      </c>
      <c r="C175">
        <v>173.30866138888891</v>
      </c>
      <c r="D175">
        <v>134.71064274305559</v>
      </c>
      <c r="E175">
        <f t="shared" si="8"/>
        <v>0.72211942245370375</v>
      </c>
      <c r="F175">
        <f t="shared" si="9"/>
        <v>0.56129434476273155</v>
      </c>
      <c r="G175">
        <f t="shared" si="10"/>
        <v>9</v>
      </c>
      <c r="H175">
        <f t="shared" si="11"/>
        <v>8.665433069444445</v>
      </c>
    </row>
    <row r="176" spans="1:8" x14ac:dyDescent="0.25">
      <c r="A176">
        <v>1014</v>
      </c>
      <c r="B176">
        <v>10</v>
      </c>
      <c r="C176">
        <v>43.044552777777781</v>
      </c>
      <c r="D176">
        <v>41.06294751262611</v>
      </c>
      <c r="E176">
        <f t="shared" si="8"/>
        <v>0.17935230324074078</v>
      </c>
      <c r="F176">
        <f t="shared" si="9"/>
        <v>0.17109561463594214</v>
      </c>
      <c r="G176">
        <f t="shared" si="10"/>
        <v>3</v>
      </c>
      <c r="H176">
        <f t="shared" si="11"/>
        <v>2.1522276388888892</v>
      </c>
    </row>
    <row r="177" spans="1:8" x14ac:dyDescent="0.25">
      <c r="A177">
        <v>1014</v>
      </c>
      <c r="B177">
        <v>11</v>
      </c>
      <c r="C177">
        <v>83.925570833333339</v>
      </c>
      <c r="D177">
        <v>41.076941755050278</v>
      </c>
      <c r="E177">
        <f t="shared" si="8"/>
        <v>0.34968987847222222</v>
      </c>
      <c r="F177">
        <f t="shared" si="9"/>
        <v>0.17115392397937615</v>
      </c>
      <c r="G177">
        <f t="shared" si="10"/>
        <v>5</v>
      </c>
      <c r="H177">
        <f t="shared" si="11"/>
        <v>4.1962785416666666</v>
      </c>
    </row>
    <row r="178" spans="1:8" x14ac:dyDescent="0.25">
      <c r="A178">
        <v>1014</v>
      </c>
      <c r="B178">
        <v>12</v>
      </c>
      <c r="C178">
        <v>41.698929166666673</v>
      </c>
      <c r="D178">
        <v>36.58780392857139</v>
      </c>
      <c r="E178">
        <f t="shared" si="8"/>
        <v>0.17374553819444447</v>
      </c>
      <c r="F178">
        <f t="shared" si="9"/>
        <v>0.15244918303571411</v>
      </c>
      <c r="G178">
        <f t="shared" si="10"/>
        <v>3</v>
      </c>
      <c r="H178">
        <f t="shared" si="11"/>
        <v>2.0849464583333335</v>
      </c>
    </row>
    <row r="179" spans="1:8" x14ac:dyDescent="0.25">
      <c r="A179">
        <v>1015</v>
      </c>
      <c r="B179">
        <v>1</v>
      </c>
      <c r="C179">
        <v>53.544999999999995</v>
      </c>
      <c r="D179">
        <v>37.584166666666668</v>
      </c>
      <c r="E179">
        <f t="shared" si="8"/>
        <v>0.22310416666666666</v>
      </c>
      <c r="F179">
        <f t="shared" si="9"/>
        <v>0.15660069444444444</v>
      </c>
      <c r="G179">
        <f t="shared" si="10"/>
        <v>3</v>
      </c>
      <c r="H179">
        <f t="shared" si="11"/>
        <v>2.6772499999999999</v>
      </c>
    </row>
    <row r="180" spans="1:8" x14ac:dyDescent="0.25">
      <c r="A180">
        <v>1015</v>
      </c>
      <c r="B180">
        <v>2</v>
      </c>
      <c r="C180">
        <v>59.151770277777779</v>
      </c>
      <c r="D180">
        <v>45.712546830808058</v>
      </c>
      <c r="E180">
        <f t="shared" si="8"/>
        <v>0.24646570949074076</v>
      </c>
      <c r="F180">
        <f t="shared" si="9"/>
        <v>0.1904689451283669</v>
      </c>
      <c r="G180">
        <f t="shared" si="10"/>
        <v>3</v>
      </c>
      <c r="H180">
        <f t="shared" si="11"/>
        <v>2.9575885138888891</v>
      </c>
    </row>
    <row r="181" spans="1:8" x14ac:dyDescent="0.25">
      <c r="A181">
        <v>1015</v>
      </c>
      <c r="B181">
        <v>3</v>
      </c>
      <c r="C181">
        <v>58.284448055555558</v>
      </c>
      <c r="D181">
        <v>37.04309172979778</v>
      </c>
      <c r="E181">
        <f t="shared" si="8"/>
        <v>0.24285186689814817</v>
      </c>
      <c r="F181">
        <f t="shared" si="9"/>
        <v>0.15434621554082409</v>
      </c>
      <c r="G181">
        <f t="shared" si="10"/>
        <v>3</v>
      </c>
      <c r="H181">
        <f t="shared" si="11"/>
        <v>2.9142224027777779</v>
      </c>
    </row>
    <row r="182" spans="1:8" x14ac:dyDescent="0.25">
      <c r="A182">
        <v>1015</v>
      </c>
      <c r="B182">
        <v>4</v>
      </c>
      <c r="C182">
        <v>58.310546666666667</v>
      </c>
      <c r="D182">
        <v>42.42903145502639</v>
      </c>
      <c r="E182">
        <f t="shared" si="8"/>
        <v>0.24296061111111111</v>
      </c>
      <c r="F182">
        <f t="shared" si="9"/>
        <v>0.17678763106260997</v>
      </c>
      <c r="G182">
        <f t="shared" si="10"/>
        <v>3</v>
      </c>
      <c r="H182">
        <f t="shared" si="11"/>
        <v>2.9155273333333334</v>
      </c>
    </row>
    <row r="183" spans="1:8" x14ac:dyDescent="0.25">
      <c r="A183">
        <v>1015</v>
      </c>
      <c r="B183">
        <v>5</v>
      </c>
      <c r="C183">
        <v>58.121072222222217</v>
      </c>
      <c r="D183">
        <v>40.567899305555557</v>
      </c>
      <c r="E183">
        <f t="shared" si="8"/>
        <v>0.24217113425925926</v>
      </c>
      <c r="F183">
        <f t="shared" si="9"/>
        <v>0.16903291377314814</v>
      </c>
      <c r="G183">
        <f t="shared" si="10"/>
        <v>3</v>
      </c>
      <c r="H183">
        <f t="shared" si="11"/>
        <v>2.906053611111111</v>
      </c>
    </row>
    <row r="184" spans="1:8" x14ac:dyDescent="0.25">
      <c r="A184">
        <v>1015</v>
      </c>
      <c r="B184">
        <v>6</v>
      </c>
      <c r="C184">
        <v>58.487339166666658</v>
      </c>
      <c r="D184">
        <v>38.6365913257575</v>
      </c>
      <c r="E184">
        <f t="shared" si="8"/>
        <v>0.24369724652777772</v>
      </c>
      <c r="F184">
        <f t="shared" si="9"/>
        <v>0.16098579719065625</v>
      </c>
      <c r="G184">
        <f t="shared" si="10"/>
        <v>3</v>
      </c>
      <c r="H184">
        <f t="shared" si="11"/>
        <v>2.9243669583333327</v>
      </c>
    </row>
    <row r="185" spans="1:8" x14ac:dyDescent="0.25">
      <c r="A185">
        <v>1015</v>
      </c>
      <c r="B185">
        <v>7</v>
      </c>
      <c r="C185">
        <v>58.251403888888888</v>
      </c>
      <c r="D185">
        <v>42.051169947089733</v>
      </c>
      <c r="E185">
        <f t="shared" si="8"/>
        <v>0.24271418287037036</v>
      </c>
      <c r="F185">
        <f t="shared" si="9"/>
        <v>0.17521320811287389</v>
      </c>
      <c r="G185">
        <f t="shared" si="10"/>
        <v>3</v>
      </c>
      <c r="H185">
        <f t="shared" si="11"/>
        <v>2.9125701944444442</v>
      </c>
    </row>
    <row r="186" spans="1:8" x14ac:dyDescent="0.25">
      <c r="A186">
        <v>1015</v>
      </c>
      <c r="B186">
        <v>8</v>
      </c>
      <c r="C186">
        <v>58.211616666666657</v>
      </c>
      <c r="D186">
        <v>40.925363285023892</v>
      </c>
      <c r="E186">
        <f t="shared" si="8"/>
        <v>0.24254840277777776</v>
      </c>
      <c r="F186">
        <f t="shared" si="9"/>
        <v>0.17052234702093286</v>
      </c>
      <c r="G186">
        <f t="shared" si="10"/>
        <v>3</v>
      </c>
      <c r="H186">
        <f t="shared" si="11"/>
        <v>2.910580833333333</v>
      </c>
    </row>
    <row r="187" spans="1:8" x14ac:dyDescent="0.25">
      <c r="A187">
        <v>1015</v>
      </c>
      <c r="B187">
        <v>9</v>
      </c>
      <c r="C187">
        <v>58.581470277777782</v>
      </c>
      <c r="D187">
        <v>41.32196434722222</v>
      </c>
      <c r="E187">
        <f t="shared" si="8"/>
        <v>0.24408945949074076</v>
      </c>
      <c r="F187">
        <f t="shared" si="9"/>
        <v>0.17217485144675926</v>
      </c>
      <c r="G187">
        <f t="shared" si="10"/>
        <v>3</v>
      </c>
      <c r="H187">
        <f t="shared" si="11"/>
        <v>2.929073513888889</v>
      </c>
    </row>
    <row r="188" spans="1:8" x14ac:dyDescent="0.25">
      <c r="A188">
        <v>1015</v>
      </c>
      <c r="B188">
        <v>10</v>
      </c>
      <c r="C188">
        <v>58.378142500000003</v>
      </c>
      <c r="D188">
        <v>41.940958484848331</v>
      </c>
      <c r="E188">
        <f t="shared" si="8"/>
        <v>0.24324226041666666</v>
      </c>
      <c r="F188">
        <f t="shared" si="9"/>
        <v>0.17475399368686806</v>
      </c>
      <c r="G188">
        <f t="shared" si="10"/>
        <v>3</v>
      </c>
      <c r="H188">
        <f t="shared" si="11"/>
        <v>2.918907125</v>
      </c>
    </row>
    <row r="189" spans="1:8" x14ac:dyDescent="0.25">
      <c r="A189">
        <v>1015</v>
      </c>
      <c r="B189">
        <v>11</v>
      </c>
      <c r="C189">
        <v>58.384717222222221</v>
      </c>
      <c r="D189">
        <v>39.776474637681112</v>
      </c>
      <c r="E189">
        <f t="shared" si="8"/>
        <v>0.24326965509259257</v>
      </c>
      <c r="F189">
        <f t="shared" si="9"/>
        <v>0.16573531099033798</v>
      </c>
      <c r="G189">
        <f t="shared" si="10"/>
        <v>3</v>
      </c>
      <c r="H189">
        <f t="shared" si="11"/>
        <v>2.9192358611111109</v>
      </c>
    </row>
    <row r="190" spans="1:8" x14ac:dyDescent="0.25">
      <c r="A190">
        <v>1015</v>
      </c>
      <c r="B190">
        <v>12</v>
      </c>
      <c r="C190">
        <v>58.375913055555557</v>
      </c>
      <c r="D190">
        <v>40.602625449735278</v>
      </c>
      <c r="E190">
        <f t="shared" si="8"/>
        <v>0.24323297106481481</v>
      </c>
      <c r="F190">
        <f t="shared" si="9"/>
        <v>0.16917760604056364</v>
      </c>
      <c r="G190">
        <f t="shared" si="10"/>
        <v>3</v>
      </c>
      <c r="H190">
        <f t="shared" si="11"/>
        <v>2.9187956527777779</v>
      </c>
    </row>
    <row r="191" spans="1:8" x14ac:dyDescent="0.25">
      <c r="A191">
        <v>1016</v>
      </c>
      <c r="B191">
        <v>1</v>
      </c>
      <c r="C191">
        <v>50.777222222222221</v>
      </c>
      <c r="D191">
        <v>50.296388888888892</v>
      </c>
      <c r="E191">
        <f t="shared" si="8"/>
        <v>0.21157175925925928</v>
      </c>
      <c r="F191">
        <f t="shared" si="9"/>
        <v>0.20956828703703703</v>
      </c>
      <c r="G191">
        <f t="shared" si="10"/>
        <v>3</v>
      </c>
      <c r="H191">
        <f t="shared" si="11"/>
        <v>2.5388611111111112</v>
      </c>
    </row>
    <row r="192" spans="1:8" x14ac:dyDescent="0.25">
      <c r="A192">
        <v>1016</v>
      </c>
      <c r="B192">
        <v>2</v>
      </c>
      <c r="C192">
        <v>55.395222777777782</v>
      </c>
      <c r="D192">
        <v>55.172670025252501</v>
      </c>
      <c r="E192">
        <f t="shared" si="8"/>
        <v>0.23081342824074078</v>
      </c>
      <c r="F192">
        <f t="shared" si="9"/>
        <v>0.22988612510521875</v>
      </c>
      <c r="G192">
        <f t="shared" si="10"/>
        <v>3</v>
      </c>
      <c r="H192">
        <f t="shared" si="11"/>
        <v>2.7697611388888892</v>
      </c>
    </row>
    <row r="193" spans="1:8" x14ac:dyDescent="0.25">
      <c r="A193">
        <v>1016</v>
      </c>
      <c r="B193">
        <v>3</v>
      </c>
      <c r="C193">
        <v>55.340200833333327</v>
      </c>
      <c r="D193">
        <v>55.220658527777779</v>
      </c>
      <c r="E193">
        <f t="shared" si="8"/>
        <v>0.23058417013888888</v>
      </c>
      <c r="F193">
        <f t="shared" si="9"/>
        <v>0.23008607719907406</v>
      </c>
      <c r="G193">
        <f t="shared" si="10"/>
        <v>3</v>
      </c>
      <c r="H193">
        <f t="shared" si="11"/>
        <v>2.7670100416666665</v>
      </c>
    </row>
    <row r="194" spans="1:8" x14ac:dyDescent="0.25">
      <c r="A194">
        <v>1016</v>
      </c>
      <c r="B194">
        <v>4</v>
      </c>
      <c r="C194">
        <v>55.323778333333337</v>
      </c>
      <c r="D194">
        <v>55.182553941798894</v>
      </c>
      <c r="E194">
        <f t="shared" ref="E194:E257" si="12">+C194/20/12</f>
        <v>0.23051574305555556</v>
      </c>
      <c r="F194">
        <f t="shared" ref="F194:F257" si="13">+D194/20/12</f>
        <v>0.22992730809082873</v>
      </c>
      <c r="G194">
        <f t="shared" ref="G194:G257" si="14">+ROUNDUP(E194*12,0)</f>
        <v>3</v>
      </c>
      <c r="H194">
        <f t="shared" ref="H194:H257" si="15">+E194*12</f>
        <v>2.7661889166666667</v>
      </c>
    </row>
    <row r="195" spans="1:8" x14ac:dyDescent="0.25">
      <c r="A195">
        <v>1016</v>
      </c>
      <c r="B195">
        <v>5</v>
      </c>
      <c r="C195">
        <v>55.314829722222221</v>
      </c>
      <c r="D195">
        <v>53.88499065277778</v>
      </c>
      <c r="E195">
        <f t="shared" si="12"/>
        <v>0.23047845717592594</v>
      </c>
      <c r="F195">
        <f t="shared" si="13"/>
        <v>0.2245207943865741</v>
      </c>
      <c r="G195">
        <f t="shared" si="14"/>
        <v>3</v>
      </c>
      <c r="H195">
        <f t="shared" si="15"/>
        <v>2.7657414861111111</v>
      </c>
    </row>
    <row r="196" spans="1:8" x14ac:dyDescent="0.25">
      <c r="A196">
        <v>1016</v>
      </c>
      <c r="B196">
        <v>6</v>
      </c>
      <c r="C196">
        <v>55.475513611111111</v>
      </c>
      <c r="D196">
        <v>55.200725111111112</v>
      </c>
      <c r="E196">
        <f t="shared" si="12"/>
        <v>0.23114797337962964</v>
      </c>
      <c r="F196">
        <f t="shared" si="13"/>
        <v>0.23000302129629632</v>
      </c>
      <c r="G196">
        <f t="shared" si="14"/>
        <v>3</v>
      </c>
      <c r="H196">
        <f t="shared" si="15"/>
        <v>2.7737756805555556</v>
      </c>
    </row>
    <row r="197" spans="1:8" x14ac:dyDescent="0.25">
      <c r="A197">
        <v>1016</v>
      </c>
      <c r="B197">
        <v>7</v>
      </c>
      <c r="C197">
        <v>55.483274999999999</v>
      </c>
      <c r="D197">
        <v>52.864437486772218</v>
      </c>
      <c r="E197">
        <f t="shared" si="12"/>
        <v>0.23118031250000001</v>
      </c>
      <c r="F197">
        <f t="shared" si="13"/>
        <v>0.22026848952821756</v>
      </c>
      <c r="G197">
        <f t="shared" si="14"/>
        <v>3</v>
      </c>
      <c r="H197">
        <f t="shared" si="15"/>
        <v>2.77416375</v>
      </c>
    </row>
    <row r="198" spans="1:8" x14ac:dyDescent="0.25">
      <c r="A198">
        <v>1016</v>
      </c>
      <c r="B198">
        <v>8</v>
      </c>
      <c r="C198">
        <v>55.445090833333332</v>
      </c>
      <c r="D198">
        <v>55.372771316425002</v>
      </c>
      <c r="E198">
        <f t="shared" si="12"/>
        <v>0.23102121180555554</v>
      </c>
      <c r="F198">
        <f t="shared" si="13"/>
        <v>0.23071988048510417</v>
      </c>
      <c r="G198">
        <f t="shared" si="14"/>
        <v>3</v>
      </c>
      <c r="H198">
        <f t="shared" si="15"/>
        <v>2.7722545416666664</v>
      </c>
    </row>
    <row r="199" spans="1:8" x14ac:dyDescent="0.25">
      <c r="A199">
        <v>1016</v>
      </c>
      <c r="B199">
        <v>9</v>
      </c>
      <c r="C199">
        <v>55.385424166666667</v>
      </c>
      <c r="D199">
        <v>55.236557249999997</v>
      </c>
      <c r="E199">
        <f t="shared" si="12"/>
        <v>0.23077260069444447</v>
      </c>
      <c r="F199">
        <f t="shared" si="13"/>
        <v>0.23015232187499998</v>
      </c>
      <c r="G199">
        <f t="shared" si="14"/>
        <v>3</v>
      </c>
      <c r="H199">
        <f t="shared" si="15"/>
        <v>2.7692712083333335</v>
      </c>
    </row>
    <row r="200" spans="1:8" x14ac:dyDescent="0.25">
      <c r="A200">
        <v>1016</v>
      </c>
      <c r="B200">
        <v>10</v>
      </c>
      <c r="C200">
        <v>55.369650277777779</v>
      </c>
      <c r="D200">
        <v>55.249389507575557</v>
      </c>
      <c r="E200">
        <f t="shared" si="12"/>
        <v>0.2307068761574074</v>
      </c>
      <c r="F200">
        <f t="shared" si="13"/>
        <v>0.23020578961489815</v>
      </c>
      <c r="G200">
        <f t="shared" si="14"/>
        <v>3</v>
      </c>
      <c r="H200">
        <f t="shared" si="15"/>
        <v>2.7684825138888889</v>
      </c>
    </row>
    <row r="201" spans="1:8" x14ac:dyDescent="0.25">
      <c r="A201">
        <v>1016</v>
      </c>
      <c r="B201">
        <v>11</v>
      </c>
      <c r="C201">
        <v>55.392805277777782</v>
      </c>
      <c r="D201">
        <v>54.883913838383613</v>
      </c>
      <c r="E201">
        <f t="shared" si="12"/>
        <v>0.23080335532407412</v>
      </c>
      <c r="F201">
        <f t="shared" si="13"/>
        <v>0.22868297432659837</v>
      </c>
      <c r="G201">
        <f t="shared" si="14"/>
        <v>3</v>
      </c>
      <c r="H201">
        <f t="shared" si="15"/>
        <v>2.7696402638888893</v>
      </c>
    </row>
    <row r="202" spans="1:8" x14ac:dyDescent="0.25">
      <c r="A202">
        <v>1016</v>
      </c>
      <c r="B202">
        <v>12</v>
      </c>
      <c r="C202">
        <v>55.399816388888887</v>
      </c>
      <c r="D202">
        <v>55.286852010581953</v>
      </c>
      <c r="E202">
        <f t="shared" si="12"/>
        <v>0.23083256828703702</v>
      </c>
      <c r="F202">
        <f t="shared" si="13"/>
        <v>0.2303618833774248</v>
      </c>
      <c r="G202">
        <f t="shared" si="14"/>
        <v>3</v>
      </c>
      <c r="H202">
        <f t="shared" si="15"/>
        <v>2.7699908194444443</v>
      </c>
    </row>
    <row r="203" spans="1:8" x14ac:dyDescent="0.25">
      <c r="A203">
        <v>1017</v>
      </c>
      <c r="B203">
        <v>1</v>
      </c>
      <c r="C203">
        <v>49.330555555555556</v>
      </c>
      <c r="D203">
        <v>32.954999999999998</v>
      </c>
      <c r="E203">
        <f t="shared" si="12"/>
        <v>0.20554398148148148</v>
      </c>
      <c r="F203">
        <f t="shared" si="13"/>
        <v>0.13731249999999998</v>
      </c>
      <c r="G203">
        <f t="shared" si="14"/>
        <v>3</v>
      </c>
      <c r="H203">
        <f t="shared" si="15"/>
        <v>2.4665277777777779</v>
      </c>
    </row>
    <row r="204" spans="1:8" x14ac:dyDescent="0.25">
      <c r="A204">
        <v>1017</v>
      </c>
      <c r="B204">
        <v>2</v>
      </c>
      <c r="C204">
        <v>129.123965</v>
      </c>
      <c r="D204">
        <v>75.955080265151395</v>
      </c>
      <c r="E204">
        <f t="shared" si="12"/>
        <v>0.53801652083333329</v>
      </c>
      <c r="F204">
        <f t="shared" si="13"/>
        <v>0.31647950110479744</v>
      </c>
      <c r="G204">
        <f t="shared" si="14"/>
        <v>7</v>
      </c>
      <c r="H204">
        <f t="shared" si="15"/>
        <v>6.4561982499999999</v>
      </c>
    </row>
    <row r="205" spans="1:8" x14ac:dyDescent="0.25">
      <c r="A205">
        <v>1017</v>
      </c>
      <c r="B205">
        <v>3</v>
      </c>
      <c r="C205">
        <v>70.627466111111104</v>
      </c>
      <c r="D205">
        <v>41.762704666666657</v>
      </c>
      <c r="E205">
        <f t="shared" si="12"/>
        <v>0.29428110879629626</v>
      </c>
      <c r="F205">
        <f t="shared" si="13"/>
        <v>0.17401126944444442</v>
      </c>
      <c r="G205">
        <f t="shared" si="14"/>
        <v>4</v>
      </c>
      <c r="H205">
        <f t="shared" si="15"/>
        <v>3.5313733055555554</v>
      </c>
    </row>
    <row r="206" spans="1:8" x14ac:dyDescent="0.25">
      <c r="A206">
        <v>1017</v>
      </c>
      <c r="B206">
        <v>4</v>
      </c>
      <c r="C206">
        <v>76.821850277777784</v>
      </c>
      <c r="D206">
        <v>50.663637738094998</v>
      </c>
      <c r="E206">
        <f t="shared" si="12"/>
        <v>0.32009104282407413</v>
      </c>
      <c r="F206">
        <f t="shared" si="13"/>
        <v>0.21109849057539584</v>
      </c>
      <c r="G206">
        <f t="shared" si="14"/>
        <v>4</v>
      </c>
      <c r="H206">
        <f t="shared" si="15"/>
        <v>3.8410925138888894</v>
      </c>
    </row>
    <row r="207" spans="1:8" x14ac:dyDescent="0.25">
      <c r="A207">
        <v>1017</v>
      </c>
      <c r="B207">
        <v>5</v>
      </c>
      <c r="C207">
        <v>35.003466388888889</v>
      </c>
      <c r="D207">
        <v>27.557838972222221</v>
      </c>
      <c r="E207">
        <f t="shared" si="12"/>
        <v>0.14584777662037038</v>
      </c>
      <c r="F207">
        <f t="shared" si="13"/>
        <v>0.11482432905092592</v>
      </c>
      <c r="G207">
        <f t="shared" si="14"/>
        <v>2</v>
      </c>
      <c r="H207">
        <f t="shared" si="15"/>
        <v>1.7501733194444444</v>
      </c>
    </row>
    <row r="208" spans="1:8" x14ac:dyDescent="0.25">
      <c r="A208">
        <v>1017</v>
      </c>
      <c r="B208">
        <v>6</v>
      </c>
      <c r="C208">
        <v>45.011857499999998</v>
      </c>
      <c r="D208">
        <v>29.187371333333331</v>
      </c>
      <c r="E208">
        <f t="shared" si="12"/>
        <v>0.18754940624999997</v>
      </c>
      <c r="F208">
        <f t="shared" si="13"/>
        <v>0.1216140472222222</v>
      </c>
      <c r="G208">
        <f t="shared" si="14"/>
        <v>3</v>
      </c>
      <c r="H208">
        <f t="shared" si="15"/>
        <v>2.2505928749999997</v>
      </c>
    </row>
    <row r="209" spans="1:8" x14ac:dyDescent="0.25">
      <c r="A209">
        <v>1017</v>
      </c>
      <c r="B209">
        <v>7</v>
      </c>
      <c r="C209">
        <v>41.377958055555553</v>
      </c>
      <c r="D209">
        <v>32.330761361111108</v>
      </c>
      <c r="E209">
        <f t="shared" si="12"/>
        <v>0.17240815856481481</v>
      </c>
      <c r="F209">
        <f t="shared" si="13"/>
        <v>0.13471150567129628</v>
      </c>
      <c r="G209">
        <f t="shared" si="14"/>
        <v>3</v>
      </c>
      <c r="H209">
        <f t="shared" si="15"/>
        <v>2.0688979027777776</v>
      </c>
    </row>
    <row r="210" spans="1:8" x14ac:dyDescent="0.25">
      <c r="A210">
        <v>1017</v>
      </c>
      <c r="B210">
        <v>8</v>
      </c>
      <c r="C210">
        <v>65.272211666666664</v>
      </c>
      <c r="D210">
        <v>48.78477291062778</v>
      </c>
      <c r="E210">
        <f t="shared" si="12"/>
        <v>0.27196754861111111</v>
      </c>
      <c r="F210">
        <f t="shared" si="13"/>
        <v>0.20326988712761573</v>
      </c>
      <c r="G210">
        <f t="shared" si="14"/>
        <v>4</v>
      </c>
      <c r="H210">
        <f t="shared" si="15"/>
        <v>3.2636105833333335</v>
      </c>
    </row>
    <row r="211" spans="1:8" x14ac:dyDescent="0.25">
      <c r="A211">
        <v>1017</v>
      </c>
      <c r="B211">
        <v>9</v>
      </c>
      <c r="C211">
        <v>7.5822874999999996</v>
      </c>
      <c r="D211">
        <v>2.5823758564813888</v>
      </c>
      <c r="E211">
        <f t="shared" si="12"/>
        <v>3.1592864583333331E-2</v>
      </c>
      <c r="F211">
        <f t="shared" si="13"/>
        <v>1.0759899402005786E-2</v>
      </c>
      <c r="G211">
        <f t="shared" si="14"/>
        <v>1</v>
      </c>
      <c r="H211">
        <f t="shared" si="15"/>
        <v>0.379114375</v>
      </c>
    </row>
    <row r="212" spans="1:8" x14ac:dyDescent="0.25">
      <c r="A212">
        <v>1017</v>
      </c>
      <c r="B212">
        <v>10</v>
      </c>
      <c r="C212">
        <v>37.806818888888891</v>
      </c>
      <c r="D212">
        <v>26.538280176767501</v>
      </c>
      <c r="E212">
        <f t="shared" si="12"/>
        <v>0.15752841203703705</v>
      </c>
      <c r="F212">
        <f t="shared" si="13"/>
        <v>0.11057616740319792</v>
      </c>
      <c r="G212">
        <f t="shared" si="14"/>
        <v>2</v>
      </c>
      <c r="H212">
        <f t="shared" si="15"/>
        <v>1.8903409444444446</v>
      </c>
    </row>
    <row r="213" spans="1:8" x14ac:dyDescent="0.25">
      <c r="A213">
        <v>1017</v>
      </c>
      <c r="B213">
        <v>11</v>
      </c>
      <c r="C213">
        <v>17.575677222222222</v>
      </c>
      <c r="D213">
        <v>12.270625921716951</v>
      </c>
      <c r="E213">
        <f t="shared" si="12"/>
        <v>7.3231988425925917E-2</v>
      </c>
      <c r="F213">
        <f t="shared" si="13"/>
        <v>5.1127608007153963E-2</v>
      </c>
      <c r="G213">
        <f t="shared" si="14"/>
        <v>1</v>
      </c>
      <c r="H213">
        <f t="shared" si="15"/>
        <v>0.87878386111111095</v>
      </c>
    </row>
    <row r="214" spans="1:8" x14ac:dyDescent="0.25">
      <c r="A214">
        <v>1017</v>
      </c>
      <c r="B214">
        <v>12</v>
      </c>
      <c r="C214">
        <v>65.763087499999997</v>
      </c>
      <c r="D214">
        <v>47.825794973544717</v>
      </c>
      <c r="E214">
        <f t="shared" si="12"/>
        <v>0.27401286458333335</v>
      </c>
      <c r="F214">
        <f t="shared" si="13"/>
        <v>0.19927414572310298</v>
      </c>
      <c r="G214">
        <f t="shared" si="14"/>
        <v>4</v>
      </c>
      <c r="H214">
        <f t="shared" si="15"/>
        <v>3.2881543750000004</v>
      </c>
    </row>
    <row r="215" spans="1:8" x14ac:dyDescent="0.25">
      <c r="A215">
        <v>1018</v>
      </c>
      <c r="B215">
        <v>1</v>
      </c>
      <c r="C215">
        <v>47.851388888888891</v>
      </c>
      <c r="D215">
        <v>41.12361111111111</v>
      </c>
      <c r="E215">
        <f t="shared" si="12"/>
        <v>0.19938078703703707</v>
      </c>
      <c r="F215">
        <f t="shared" si="13"/>
        <v>0.17134837962962965</v>
      </c>
      <c r="G215">
        <f t="shared" si="14"/>
        <v>3</v>
      </c>
      <c r="H215">
        <f t="shared" si="15"/>
        <v>2.3925694444444447</v>
      </c>
    </row>
    <row r="216" spans="1:8" x14ac:dyDescent="0.25">
      <c r="A216">
        <v>1018</v>
      </c>
      <c r="B216">
        <v>2</v>
      </c>
      <c r="C216">
        <v>143.42861555555561</v>
      </c>
      <c r="D216">
        <v>122.4111454292928</v>
      </c>
      <c r="E216">
        <f t="shared" si="12"/>
        <v>0.59761923148148177</v>
      </c>
      <c r="F216">
        <f t="shared" si="13"/>
        <v>0.51004643928871995</v>
      </c>
      <c r="G216">
        <f t="shared" si="14"/>
        <v>8</v>
      </c>
      <c r="H216">
        <f t="shared" si="15"/>
        <v>7.1714307777777808</v>
      </c>
    </row>
    <row r="217" spans="1:8" x14ac:dyDescent="0.25">
      <c r="A217">
        <v>1018</v>
      </c>
      <c r="B217">
        <v>3</v>
      </c>
      <c r="C217">
        <v>86.099924999999999</v>
      </c>
      <c r="D217">
        <v>80.172308888888892</v>
      </c>
      <c r="E217">
        <f t="shared" si="12"/>
        <v>0.35874968750000003</v>
      </c>
      <c r="F217">
        <f t="shared" si="13"/>
        <v>0.33405128703703707</v>
      </c>
      <c r="G217">
        <f t="shared" si="14"/>
        <v>5</v>
      </c>
      <c r="H217">
        <f t="shared" si="15"/>
        <v>4.3049962500000003</v>
      </c>
    </row>
    <row r="218" spans="1:8" x14ac:dyDescent="0.25">
      <c r="A218">
        <v>1018</v>
      </c>
      <c r="B218">
        <v>4</v>
      </c>
      <c r="C218">
        <v>63.04136861111111</v>
      </c>
      <c r="D218">
        <v>47.062939814814719</v>
      </c>
      <c r="E218">
        <f t="shared" si="12"/>
        <v>0.26267236921296294</v>
      </c>
      <c r="F218">
        <f t="shared" si="13"/>
        <v>0.19609558256172799</v>
      </c>
      <c r="G218">
        <f t="shared" si="14"/>
        <v>4</v>
      </c>
      <c r="H218">
        <f t="shared" si="15"/>
        <v>3.1520684305555555</v>
      </c>
    </row>
    <row r="219" spans="1:8" x14ac:dyDescent="0.25">
      <c r="A219">
        <v>1018</v>
      </c>
      <c r="B219">
        <v>5</v>
      </c>
      <c r="C219">
        <v>48.14333222222222</v>
      </c>
      <c r="D219">
        <v>28.045368819444441</v>
      </c>
      <c r="E219">
        <f t="shared" si="12"/>
        <v>0.20059721759259261</v>
      </c>
      <c r="F219">
        <f t="shared" si="13"/>
        <v>0.11685570341435185</v>
      </c>
      <c r="G219">
        <f t="shared" si="14"/>
        <v>3</v>
      </c>
      <c r="H219">
        <f t="shared" si="15"/>
        <v>2.4071666111111112</v>
      </c>
    </row>
    <row r="220" spans="1:8" x14ac:dyDescent="0.25">
      <c r="A220">
        <v>1018</v>
      </c>
      <c r="B220">
        <v>6</v>
      </c>
      <c r="C220">
        <v>29.859763611111109</v>
      </c>
      <c r="D220">
        <v>27.72361168055556</v>
      </c>
      <c r="E220">
        <f t="shared" si="12"/>
        <v>0.12441568171296295</v>
      </c>
      <c r="F220">
        <f t="shared" si="13"/>
        <v>0.1155150486689815</v>
      </c>
      <c r="G220">
        <f t="shared" si="14"/>
        <v>2</v>
      </c>
      <c r="H220">
        <f t="shared" si="15"/>
        <v>1.4929881805555554</v>
      </c>
    </row>
    <row r="221" spans="1:8" x14ac:dyDescent="0.25">
      <c r="A221">
        <v>1018</v>
      </c>
      <c r="B221">
        <v>7</v>
      </c>
      <c r="C221">
        <v>28.69801416666667</v>
      </c>
      <c r="D221">
        <v>23.565794986111111</v>
      </c>
      <c r="E221">
        <f t="shared" si="12"/>
        <v>0.11957505902777781</v>
      </c>
      <c r="F221">
        <f t="shared" si="13"/>
        <v>9.8190812442129627E-2</v>
      </c>
      <c r="G221">
        <f t="shared" si="14"/>
        <v>2</v>
      </c>
      <c r="H221">
        <f t="shared" si="15"/>
        <v>1.4349007083333336</v>
      </c>
    </row>
    <row r="222" spans="1:8" x14ac:dyDescent="0.25">
      <c r="A222">
        <v>1018</v>
      </c>
      <c r="B222">
        <v>8</v>
      </c>
      <c r="C222">
        <v>28.499101666666672</v>
      </c>
      <c r="D222">
        <v>28.058728164251111</v>
      </c>
      <c r="E222">
        <f t="shared" si="12"/>
        <v>0.11874625694444446</v>
      </c>
      <c r="F222">
        <f t="shared" si="13"/>
        <v>0.11691136735104629</v>
      </c>
      <c r="G222">
        <f t="shared" si="14"/>
        <v>2</v>
      </c>
      <c r="H222">
        <f t="shared" si="15"/>
        <v>1.4249550833333335</v>
      </c>
    </row>
    <row r="223" spans="1:8" x14ac:dyDescent="0.25">
      <c r="A223">
        <v>1018</v>
      </c>
      <c r="B223">
        <v>9</v>
      </c>
      <c r="C223">
        <v>59.418163888888891</v>
      </c>
      <c r="D223">
        <v>55.326591791666672</v>
      </c>
      <c r="E223">
        <f t="shared" si="12"/>
        <v>0.24757568287037038</v>
      </c>
      <c r="F223">
        <f t="shared" si="13"/>
        <v>0.23052746579861114</v>
      </c>
      <c r="G223">
        <f t="shared" si="14"/>
        <v>3</v>
      </c>
      <c r="H223">
        <f t="shared" si="15"/>
        <v>2.9709081944444446</v>
      </c>
    </row>
    <row r="224" spans="1:8" x14ac:dyDescent="0.25">
      <c r="A224">
        <v>1018</v>
      </c>
      <c r="B224">
        <v>10</v>
      </c>
      <c r="C224">
        <v>28.999936111111111</v>
      </c>
      <c r="D224">
        <v>27.79534761363611</v>
      </c>
      <c r="E224">
        <f t="shared" si="12"/>
        <v>0.12083306712962964</v>
      </c>
      <c r="F224">
        <f t="shared" si="13"/>
        <v>0.11581394839015047</v>
      </c>
      <c r="G224">
        <f t="shared" si="14"/>
        <v>2</v>
      </c>
      <c r="H224">
        <f t="shared" si="15"/>
        <v>1.4499968055555557</v>
      </c>
    </row>
    <row r="225" spans="1:8" x14ac:dyDescent="0.25">
      <c r="A225">
        <v>1018</v>
      </c>
      <c r="B225">
        <v>11</v>
      </c>
      <c r="C225">
        <v>29.227207499999999</v>
      </c>
      <c r="D225">
        <v>27.201703232323059</v>
      </c>
      <c r="E225">
        <f t="shared" si="12"/>
        <v>0.12178003124999999</v>
      </c>
      <c r="F225">
        <f t="shared" si="13"/>
        <v>0.11334043013467941</v>
      </c>
      <c r="G225">
        <f t="shared" si="14"/>
        <v>2</v>
      </c>
      <c r="H225">
        <f t="shared" si="15"/>
        <v>1.4613603749999999</v>
      </c>
    </row>
    <row r="226" spans="1:8" x14ac:dyDescent="0.25">
      <c r="A226">
        <v>1018</v>
      </c>
      <c r="B226">
        <v>12</v>
      </c>
      <c r="C226">
        <v>28.800254444444441</v>
      </c>
      <c r="D226">
        <v>26.119767169311949</v>
      </c>
      <c r="E226">
        <f t="shared" si="12"/>
        <v>0.12000106018518518</v>
      </c>
      <c r="F226">
        <f t="shared" si="13"/>
        <v>0.10883236320546645</v>
      </c>
      <c r="G226">
        <f t="shared" si="14"/>
        <v>2</v>
      </c>
      <c r="H226">
        <f t="shared" si="15"/>
        <v>1.4400127222222221</v>
      </c>
    </row>
    <row r="227" spans="1:8" x14ac:dyDescent="0.25">
      <c r="A227">
        <v>1019</v>
      </c>
      <c r="B227">
        <v>1</v>
      </c>
      <c r="C227">
        <v>45.829444444444448</v>
      </c>
      <c r="D227">
        <v>35.639722222222218</v>
      </c>
      <c r="E227">
        <f t="shared" si="12"/>
        <v>0.19095601851851854</v>
      </c>
      <c r="F227">
        <f t="shared" si="13"/>
        <v>0.14849884259259258</v>
      </c>
      <c r="G227">
        <f t="shared" si="14"/>
        <v>3</v>
      </c>
      <c r="H227">
        <f t="shared" si="15"/>
        <v>2.2914722222222226</v>
      </c>
    </row>
    <row r="228" spans="1:8" x14ac:dyDescent="0.25">
      <c r="A228">
        <v>1019</v>
      </c>
      <c r="B228">
        <v>2</v>
      </c>
      <c r="C228">
        <v>56.254299166666669</v>
      </c>
      <c r="D228">
        <v>32.951610429292778</v>
      </c>
      <c r="E228">
        <f t="shared" si="12"/>
        <v>0.23439291319444444</v>
      </c>
      <c r="F228">
        <f t="shared" si="13"/>
        <v>0.13729837678871989</v>
      </c>
      <c r="G228">
        <f t="shared" si="14"/>
        <v>3</v>
      </c>
      <c r="H228">
        <f t="shared" si="15"/>
        <v>2.8127149583333333</v>
      </c>
    </row>
    <row r="229" spans="1:8" x14ac:dyDescent="0.25">
      <c r="A229">
        <v>1019</v>
      </c>
      <c r="B229">
        <v>3</v>
      </c>
      <c r="C229">
        <v>56.128704166666672</v>
      </c>
      <c r="D229">
        <v>48.405522041666657</v>
      </c>
      <c r="E229">
        <f t="shared" si="12"/>
        <v>0.23386960069444448</v>
      </c>
      <c r="F229">
        <f t="shared" si="13"/>
        <v>0.20168967517361105</v>
      </c>
      <c r="G229">
        <f t="shared" si="14"/>
        <v>3</v>
      </c>
      <c r="H229">
        <f t="shared" si="15"/>
        <v>2.8064352083333337</v>
      </c>
    </row>
    <row r="230" spans="1:8" x14ac:dyDescent="0.25">
      <c r="A230">
        <v>1019</v>
      </c>
      <c r="B230">
        <v>4</v>
      </c>
      <c r="C230">
        <v>52.944316388888893</v>
      </c>
      <c r="D230">
        <v>44.343533611111113</v>
      </c>
      <c r="E230">
        <f t="shared" si="12"/>
        <v>0.22060131828703708</v>
      </c>
      <c r="F230">
        <f t="shared" si="13"/>
        <v>0.18476472337962965</v>
      </c>
      <c r="G230">
        <f t="shared" si="14"/>
        <v>3</v>
      </c>
      <c r="H230">
        <f t="shared" si="15"/>
        <v>2.6472158194444448</v>
      </c>
    </row>
    <row r="231" spans="1:8" x14ac:dyDescent="0.25">
      <c r="A231">
        <v>1019</v>
      </c>
      <c r="B231">
        <v>5</v>
      </c>
      <c r="C231">
        <v>52.849555277777768</v>
      </c>
      <c r="D231">
        <v>44.209201194444447</v>
      </c>
      <c r="E231">
        <f t="shared" si="12"/>
        <v>0.22020648032407406</v>
      </c>
      <c r="F231">
        <f t="shared" si="13"/>
        <v>0.18420500497685185</v>
      </c>
      <c r="G231">
        <f t="shared" si="14"/>
        <v>3</v>
      </c>
      <c r="H231">
        <f t="shared" si="15"/>
        <v>2.6424777638888886</v>
      </c>
    </row>
    <row r="232" spans="1:8" x14ac:dyDescent="0.25">
      <c r="A232">
        <v>1019</v>
      </c>
      <c r="B232">
        <v>6</v>
      </c>
      <c r="C232">
        <v>53.749341666666673</v>
      </c>
      <c r="D232">
        <v>46.46950152777778</v>
      </c>
      <c r="E232">
        <f t="shared" si="12"/>
        <v>0.22395559027777781</v>
      </c>
      <c r="F232">
        <f t="shared" si="13"/>
        <v>0.19362292303240744</v>
      </c>
      <c r="G232">
        <f t="shared" si="14"/>
        <v>3</v>
      </c>
      <c r="H232">
        <f t="shared" si="15"/>
        <v>2.6874670833333338</v>
      </c>
    </row>
    <row r="233" spans="1:8" x14ac:dyDescent="0.25">
      <c r="A233">
        <v>1019</v>
      </c>
      <c r="B233">
        <v>7</v>
      </c>
      <c r="C233">
        <v>79.058335555555558</v>
      </c>
      <c r="D233">
        <v>58.577775132275001</v>
      </c>
      <c r="E233">
        <f t="shared" si="12"/>
        <v>0.3294097314814815</v>
      </c>
      <c r="F233">
        <f t="shared" si="13"/>
        <v>0.24407406305114585</v>
      </c>
      <c r="G233">
        <f t="shared" si="14"/>
        <v>4</v>
      </c>
      <c r="H233">
        <f t="shared" si="15"/>
        <v>3.9529167777777783</v>
      </c>
    </row>
    <row r="234" spans="1:8" x14ac:dyDescent="0.25">
      <c r="A234">
        <v>1019</v>
      </c>
      <c r="B234">
        <v>8</v>
      </c>
      <c r="C234">
        <v>54.467335833333337</v>
      </c>
      <c r="D234">
        <v>44.515780676328333</v>
      </c>
      <c r="E234">
        <f t="shared" si="12"/>
        <v>0.22694723263888891</v>
      </c>
      <c r="F234">
        <f t="shared" si="13"/>
        <v>0.18548241948470137</v>
      </c>
      <c r="G234">
        <f t="shared" si="14"/>
        <v>3</v>
      </c>
      <c r="H234">
        <f t="shared" si="15"/>
        <v>2.7233667916666668</v>
      </c>
    </row>
    <row r="235" spans="1:8" x14ac:dyDescent="0.25">
      <c r="A235">
        <v>1019</v>
      </c>
      <c r="B235">
        <v>9</v>
      </c>
      <c r="C235">
        <v>14.44306027777778</v>
      </c>
      <c r="D235">
        <v>4.4355191805555556</v>
      </c>
      <c r="E235">
        <f t="shared" si="12"/>
        <v>6.0179417824074079E-2</v>
      </c>
      <c r="F235">
        <f t="shared" si="13"/>
        <v>1.8481329918981482E-2</v>
      </c>
      <c r="G235">
        <f t="shared" si="14"/>
        <v>1</v>
      </c>
      <c r="H235">
        <f t="shared" si="15"/>
        <v>0.72215301388888897</v>
      </c>
    </row>
    <row r="236" spans="1:8" x14ac:dyDescent="0.25">
      <c r="A236">
        <v>1019</v>
      </c>
      <c r="B236">
        <v>10</v>
      </c>
      <c r="C236">
        <v>51.877474999999997</v>
      </c>
      <c r="D236">
        <v>41.915018282828058</v>
      </c>
      <c r="E236">
        <f t="shared" si="12"/>
        <v>0.21615614583333331</v>
      </c>
      <c r="F236">
        <f t="shared" si="13"/>
        <v>0.17464590951178358</v>
      </c>
      <c r="G236">
        <f t="shared" si="14"/>
        <v>3</v>
      </c>
      <c r="H236">
        <f t="shared" si="15"/>
        <v>2.5938737499999998</v>
      </c>
    </row>
    <row r="237" spans="1:8" x14ac:dyDescent="0.25">
      <c r="A237">
        <v>1019</v>
      </c>
      <c r="B237">
        <v>11</v>
      </c>
      <c r="C237">
        <v>25.42317222222222</v>
      </c>
      <c r="D237">
        <v>16.51646837121195</v>
      </c>
      <c r="E237">
        <f t="shared" si="12"/>
        <v>0.10592988425925925</v>
      </c>
      <c r="F237">
        <f t="shared" si="13"/>
        <v>6.8818618213383129E-2</v>
      </c>
      <c r="G237">
        <f t="shared" si="14"/>
        <v>2</v>
      </c>
      <c r="H237">
        <f t="shared" si="15"/>
        <v>1.2711586111111111</v>
      </c>
    </row>
    <row r="238" spans="1:8" x14ac:dyDescent="0.25">
      <c r="A238">
        <v>1019</v>
      </c>
      <c r="B238">
        <v>12</v>
      </c>
      <c r="C238">
        <v>52.757669444444453</v>
      </c>
      <c r="D238">
        <v>45.333790939153332</v>
      </c>
      <c r="E238">
        <f t="shared" si="12"/>
        <v>0.21982362268518521</v>
      </c>
      <c r="F238">
        <f t="shared" si="13"/>
        <v>0.18889079557980556</v>
      </c>
      <c r="G238">
        <f t="shared" si="14"/>
        <v>3</v>
      </c>
      <c r="H238">
        <f t="shared" si="15"/>
        <v>2.6378834722222226</v>
      </c>
    </row>
    <row r="239" spans="1:8" x14ac:dyDescent="0.25">
      <c r="A239">
        <v>1020</v>
      </c>
      <c r="B239">
        <v>1</v>
      </c>
      <c r="C239">
        <v>43.615833333333327</v>
      </c>
      <c r="D239">
        <v>22.074166666666667</v>
      </c>
      <c r="E239">
        <f t="shared" si="12"/>
        <v>0.18173263888888888</v>
      </c>
      <c r="F239">
        <f t="shared" si="13"/>
        <v>9.1975694444444436E-2</v>
      </c>
      <c r="G239">
        <f t="shared" si="14"/>
        <v>3</v>
      </c>
      <c r="H239">
        <f t="shared" si="15"/>
        <v>2.1807916666666665</v>
      </c>
    </row>
    <row r="240" spans="1:8" x14ac:dyDescent="0.25">
      <c r="A240">
        <v>1020</v>
      </c>
      <c r="B240">
        <v>2</v>
      </c>
      <c r="C240">
        <v>32.064911944444447</v>
      </c>
      <c r="D240">
        <v>23.55586542929278</v>
      </c>
      <c r="E240">
        <f t="shared" si="12"/>
        <v>0.13360379976851852</v>
      </c>
      <c r="F240">
        <f t="shared" si="13"/>
        <v>9.8149439288719928E-2</v>
      </c>
      <c r="G240">
        <f t="shared" si="14"/>
        <v>2</v>
      </c>
      <c r="H240">
        <f t="shared" si="15"/>
        <v>1.6032455972222222</v>
      </c>
    </row>
    <row r="241" spans="1:8" x14ac:dyDescent="0.25">
      <c r="A241">
        <v>1020</v>
      </c>
      <c r="B241">
        <v>3</v>
      </c>
      <c r="C241">
        <v>45.548751388888888</v>
      </c>
      <c r="D241">
        <v>22.74079740277778</v>
      </c>
      <c r="E241">
        <f t="shared" si="12"/>
        <v>0.18978646412037037</v>
      </c>
      <c r="F241">
        <f t="shared" si="13"/>
        <v>9.475332251157409E-2</v>
      </c>
      <c r="G241">
        <f t="shared" si="14"/>
        <v>3</v>
      </c>
      <c r="H241">
        <f t="shared" si="15"/>
        <v>2.2774375694444444</v>
      </c>
    </row>
    <row r="242" spans="1:8" x14ac:dyDescent="0.25">
      <c r="A242">
        <v>1020</v>
      </c>
      <c r="B242">
        <v>4</v>
      </c>
      <c r="C242">
        <v>30.498373611111109</v>
      </c>
      <c r="D242">
        <v>21.932849880952219</v>
      </c>
      <c r="E242">
        <f t="shared" si="12"/>
        <v>0.12707655671296295</v>
      </c>
      <c r="F242">
        <f t="shared" si="13"/>
        <v>9.1386874503967583E-2</v>
      </c>
      <c r="G242">
        <f t="shared" si="14"/>
        <v>2</v>
      </c>
      <c r="H242">
        <f t="shared" si="15"/>
        <v>1.5249186805555555</v>
      </c>
    </row>
    <row r="243" spans="1:8" x14ac:dyDescent="0.25">
      <c r="A243">
        <v>1020</v>
      </c>
      <c r="B243">
        <v>5</v>
      </c>
      <c r="C243">
        <v>29.184560277777781</v>
      </c>
      <c r="D243">
        <v>22.073510083333328</v>
      </c>
      <c r="E243">
        <f t="shared" si="12"/>
        <v>0.12160233449074076</v>
      </c>
      <c r="F243">
        <f t="shared" si="13"/>
        <v>9.1972958680555536E-2</v>
      </c>
      <c r="G243">
        <f t="shared" si="14"/>
        <v>2</v>
      </c>
      <c r="H243">
        <f t="shared" si="15"/>
        <v>1.4592280138888891</v>
      </c>
    </row>
    <row r="244" spans="1:8" x14ac:dyDescent="0.25">
      <c r="A244">
        <v>1020</v>
      </c>
      <c r="B244">
        <v>6</v>
      </c>
      <c r="C244">
        <v>89.251703611111111</v>
      </c>
      <c r="D244">
        <v>33.809392527777767</v>
      </c>
      <c r="E244">
        <f t="shared" si="12"/>
        <v>0.3718820983796296</v>
      </c>
      <c r="F244">
        <f t="shared" si="13"/>
        <v>0.1408724688657407</v>
      </c>
      <c r="G244">
        <f t="shared" si="14"/>
        <v>5</v>
      </c>
      <c r="H244">
        <f t="shared" si="15"/>
        <v>4.4625851805555552</v>
      </c>
    </row>
    <row r="245" spans="1:8" x14ac:dyDescent="0.25">
      <c r="A245">
        <v>1020</v>
      </c>
      <c r="B245">
        <v>7</v>
      </c>
      <c r="C245">
        <v>84.524846388888889</v>
      </c>
      <c r="D245">
        <v>31.836473027777782</v>
      </c>
      <c r="E245">
        <f t="shared" si="12"/>
        <v>0.35218685995370369</v>
      </c>
      <c r="F245">
        <f t="shared" si="13"/>
        <v>0.13265197094907408</v>
      </c>
      <c r="G245">
        <f t="shared" si="14"/>
        <v>5</v>
      </c>
      <c r="H245">
        <f t="shared" si="15"/>
        <v>4.2262423194444443</v>
      </c>
    </row>
    <row r="246" spans="1:8" x14ac:dyDescent="0.25">
      <c r="A246">
        <v>1020</v>
      </c>
      <c r="B246">
        <v>8</v>
      </c>
      <c r="C246">
        <v>52.777614166666673</v>
      </c>
      <c r="D246">
        <v>27.948624855072222</v>
      </c>
      <c r="E246">
        <f t="shared" si="12"/>
        <v>0.21990672569444447</v>
      </c>
      <c r="F246">
        <f t="shared" si="13"/>
        <v>0.11645260356280092</v>
      </c>
      <c r="G246">
        <f t="shared" si="14"/>
        <v>3</v>
      </c>
      <c r="H246">
        <f t="shared" si="15"/>
        <v>2.6388807083333337</v>
      </c>
    </row>
    <row r="247" spans="1:8" x14ac:dyDescent="0.25">
      <c r="A247">
        <v>1020</v>
      </c>
      <c r="B247">
        <v>9</v>
      </c>
      <c r="C247">
        <v>23.577105277777779</v>
      </c>
      <c r="D247">
        <v>16.551511180555551</v>
      </c>
      <c r="E247">
        <f t="shared" si="12"/>
        <v>9.8237938657407417E-2</v>
      </c>
      <c r="F247">
        <f t="shared" si="13"/>
        <v>6.896462991898146E-2</v>
      </c>
      <c r="G247">
        <f t="shared" si="14"/>
        <v>2</v>
      </c>
      <c r="H247">
        <f t="shared" si="15"/>
        <v>1.1788552638888889</v>
      </c>
    </row>
    <row r="248" spans="1:8" x14ac:dyDescent="0.25">
      <c r="A248">
        <v>1020</v>
      </c>
      <c r="B248">
        <v>10</v>
      </c>
      <c r="C248">
        <v>88.056686944444451</v>
      </c>
      <c r="D248">
        <v>27.48796210858583</v>
      </c>
      <c r="E248">
        <f t="shared" si="12"/>
        <v>0.36690286226851859</v>
      </c>
      <c r="F248">
        <f t="shared" si="13"/>
        <v>0.11453317545244096</v>
      </c>
      <c r="G248">
        <f t="shared" si="14"/>
        <v>5</v>
      </c>
      <c r="H248">
        <f t="shared" si="15"/>
        <v>4.4028343472222229</v>
      </c>
    </row>
    <row r="249" spans="1:8" x14ac:dyDescent="0.25">
      <c r="A249">
        <v>1020</v>
      </c>
      <c r="B249">
        <v>11</v>
      </c>
      <c r="C249">
        <v>17.96917361111111</v>
      </c>
      <c r="D249">
        <v>14.880101565656391</v>
      </c>
      <c r="E249">
        <f t="shared" si="12"/>
        <v>7.4871556712962958E-2</v>
      </c>
      <c r="F249">
        <f t="shared" si="13"/>
        <v>6.2000423190234966E-2</v>
      </c>
      <c r="G249">
        <f t="shared" si="14"/>
        <v>1</v>
      </c>
      <c r="H249">
        <f t="shared" si="15"/>
        <v>0.89845868055555544</v>
      </c>
    </row>
    <row r="250" spans="1:8" x14ac:dyDescent="0.25">
      <c r="A250">
        <v>1020</v>
      </c>
      <c r="B250">
        <v>12</v>
      </c>
      <c r="C250">
        <v>29.934133611111111</v>
      </c>
      <c r="D250">
        <v>22.072584550264441</v>
      </c>
      <c r="E250">
        <f t="shared" si="12"/>
        <v>0.12472555671296297</v>
      </c>
      <c r="F250">
        <f t="shared" si="13"/>
        <v>9.1969102292768501E-2</v>
      </c>
      <c r="G250">
        <f t="shared" si="14"/>
        <v>2</v>
      </c>
      <c r="H250">
        <f t="shared" si="15"/>
        <v>1.4967066805555556</v>
      </c>
    </row>
    <row r="251" spans="1:8" x14ac:dyDescent="0.25">
      <c r="A251">
        <v>1021</v>
      </c>
      <c r="B251">
        <v>1</v>
      </c>
      <c r="C251">
        <v>43.262500000000003</v>
      </c>
      <c r="D251">
        <v>31.349166666666669</v>
      </c>
      <c r="E251">
        <f t="shared" si="12"/>
        <v>0.18026041666666667</v>
      </c>
      <c r="F251">
        <f t="shared" si="13"/>
        <v>0.13062152777777777</v>
      </c>
      <c r="G251">
        <f t="shared" si="14"/>
        <v>3</v>
      </c>
      <c r="H251">
        <f t="shared" si="15"/>
        <v>2.163125</v>
      </c>
    </row>
    <row r="252" spans="1:8" x14ac:dyDescent="0.25">
      <c r="A252">
        <v>1021</v>
      </c>
      <c r="B252">
        <v>2</v>
      </c>
      <c r="C252">
        <v>43.651248055555563</v>
      </c>
      <c r="D252">
        <v>36.964633977272499</v>
      </c>
      <c r="E252">
        <f t="shared" si="12"/>
        <v>0.18188020023148152</v>
      </c>
      <c r="F252">
        <f t="shared" si="13"/>
        <v>0.15401930823863541</v>
      </c>
      <c r="G252">
        <f t="shared" si="14"/>
        <v>3</v>
      </c>
      <c r="H252">
        <f t="shared" si="15"/>
        <v>2.1825624027777781</v>
      </c>
    </row>
    <row r="253" spans="1:8" x14ac:dyDescent="0.25">
      <c r="A253">
        <v>1021</v>
      </c>
      <c r="B253">
        <v>3</v>
      </c>
      <c r="C253">
        <v>59.371605833333327</v>
      </c>
      <c r="D253">
        <v>37.553809958333332</v>
      </c>
      <c r="E253">
        <f t="shared" si="12"/>
        <v>0.24738169097222218</v>
      </c>
      <c r="F253">
        <f t="shared" si="13"/>
        <v>0.15647420815972221</v>
      </c>
      <c r="G253">
        <f t="shared" si="14"/>
        <v>3</v>
      </c>
      <c r="H253">
        <f t="shared" si="15"/>
        <v>2.9685802916666661</v>
      </c>
    </row>
    <row r="254" spans="1:8" x14ac:dyDescent="0.25">
      <c r="A254">
        <v>1021</v>
      </c>
      <c r="B254">
        <v>4</v>
      </c>
      <c r="C254">
        <v>43.709391388888889</v>
      </c>
      <c r="D254">
        <v>36.382944589946938</v>
      </c>
      <c r="E254">
        <f t="shared" si="12"/>
        <v>0.18212246412037036</v>
      </c>
      <c r="F254">
        <f t="shared" si="13"/>
        <v>0.15159560245811224</v>
      </c>
      <c r="G254">
        <f t="shared" si="14"/>
        <v>3</v>
      </c>
      <c r="H254">
        <f t="shared" si="15"/>
        <v>2.1854695694444444</v>
      </c>
    </row>
    <row r="255" spans="1:8" x14ac:dyDescent="0.25">
      <c r="A255">
        <v>1021</v>
      </c>
      <c r="B255">
        <v>5</v>
      </c>
      <c r="C255">
        <v>41.443756944444438</v>
      </c>
      <c r="D255">
        <v>35.088099972222217</v>
      </c>
      <c r="E255">
        <f t="shared" si="12"/>
        <v>0.17268232060185182</v>
      </c>
      <c r="F255">
        <f t="shared" si="13"/>
        <v>0.14620041655092589</v>
      </c>
      <c r="G255">
        <f t="shared" si="14"/>
        <v>3</v>
      </c>
      <c r="H255">
        <f t="shared" si="15"/>
        <v>2.0721878472222217</v>
      </c>
    </row>
    <row r="256" spans="1:8" x14ac:dyDescent="0.25">
      <c r="A256">
        <v>1021</v>
      </c>
      <c r="B256">
        <v>6</v>
      </c>
      <c r="C256">
        <v>38.667784444444443</v>
      </c>
      <c r="D256">
        <v>29.922865171957501</v>
      </c>
      <c r="E256">
        <f t="shared" si="12"/>
        <v>0.16111576851851853</v>
      </c>
      <c r="F256">
        <f t="shared" si="13"/>
        <v>0.12467860488315625</v>
      </c>
      <c r="G256">
        <f t="shared" si="14"/>
        <v>2</v>
      </c>
      <c r="H256">
        <f t="shared" si="15"/>
        <v>1.9333892222222224</v>
      </c>
    </row>
    <row r="257" spans="1:8" x14ac:dyDescent="0.25">
      <c r="A257">
        <v>1021</v>
      </c>
      <c r="B257">
        <v>7</v>
      </c>
      <c r="C257">
        <v>61.922874722222232</v>
      </c>
      <c r="D257">
        <v>22.19758953703694</v>
      </c>
      <c r="E257">
        <f t="shared" si="12"/>
        <v>0.25801197800925929</v>
      </c>
      <c r="F257">
        <f t="shared" si="13"/>
        <v>9.2489956404320575E-2</v>
      </c>
      <c r="G257">
        <f t="shared" si="14"/>
        <v>4</v>
      </c>
      <c r="H257">
        <f t="shared" si="15"/>
        <v>3.0961437361111113</v>
      </c>
    </row>
    <row r="258" spans="1:8" x14ac:dyDescent="0.25">
      <c r="A258">
        <v>1021</v>
      </c>
      <c r="B258">
        <v>8</v>
      </c>
      <c r="C258">
        <v>51.720098333333333</v>
      </c>
      <c r="D258">
        <v>33.664050253623053</v>
      </c>
      <c r="E258">
        <f t="shared" ref="E258:E321" si="16">+C258/20/12</f>
        <v>0.2155004097222222</v>
      </c>
      <c r="F258">
        <f t="shared" ref="F258:F321" si="17">+D258/20/12</f>
        <v>0.14026687605676272</v>
      </c>
      <c r="G258">
        <f t="shared" ref="G258:G321" si="18">+ROUNDUP(E258*12,0)</f>
        <v>3</v>
      </c>
      <c r="H258">
        <f t="shared" ref="H258:H321" si="19">+E258*12</f>
        <v>2.5860049166666665</v>
      </c>
    </row>
    <row r="259" spans="1:8" x14ac:dyDescent="0.25">
      <c r="A259">
        <v>1021</v>
      </c>
      <c r="B259">
        <v>9</v>
      </c>
      <c r="C259">
        <v>42.176087222222222</v>
      </c>
      <c r="D259">
        <v>33.026278013888891</v>
      </c>
      <c r="E259">
        <f t="shared" si="16"/>
        <v>0.17573369675925923</v>
      </c>
      <c r="F259">
        <f t="shared" si="17"/>
        <v>0.13760949172453704</v>
      </c>
      <c r="G259">
        <f t="shared" si="18"/>
        <v>3</v>
      </c>
      <c r="H259">
        <f t="shared" si="19"/>
        <v>2.1088043611111109</v>
      </c>
    </row>
    <row r="260" spans="1:8" x14ac:dyDescent="0.25">
      <c r="A260">
        <v>1021</v>
      </c>
      <c r="B260">
        <v>10</v>
      </c>
      <c r="C260">
        <v>49.544192222222222</v>
      </c>
      <c r="D260">
        <v>40.323497121211943</v>
      </c>
      <c r="E260">
        <f t="shared" si="16"/>
        <v>0.20643413425925927</v>
      </c>
      <c r="F260">
        <f t="shared" si="17"/>
        <v>0.16801457133838307</v>
      </c>
      <c r="G260">
        <f t="shared" si="18"/>
        <v>3</v>
      </c>
      <c r="H260">
        <f t="shared" si="19"/>
        <v>2.4772096111111113</v>
      </c>
    </row>
    <row r="261" spans="1:8" x14ac:dyDescent="0.25">
      <c r="A261">
        <v>1021</v>
      </c>
      <c r="B261">
        <v>11</v>
      </c>
      <c r="C261">
        <v>37.610316111111111</v>
      </c>
      <c r="D261">
        <v>32.39126760101</v>
      </c>
      <c r="E261">
        <f t="shared" si="16"/>
        <v>0.15670965046296295</v>
      </c>
      <c r="F261">
        <f t="shared" si="17"/>
        <v>0.13496361500420834</v>
      </c>
      <c r="G261">
        <f t="shared" si="18"/>
        <v>2</v>
      </c>
      <c r="H261">
        <f t="shared" si="19"/>
        <v>1.8805158055555555</v>
      </c>
    </row>
    <row r="262" spans="1:8" x14ac:dyDescent="0.25">
      <c r="A262">
        <v>1021</v>
      </c>
      <c r="B262">
        <v>12</v>
      </c>
      <c r="C262">
        <v>49.332326944444453</v>
      </c>
      <c r="D262">
        <v>38.67180771164</v>
      </c>
      <c r="E262">
        <f t="shared" si="16"/>
        <v>0.20555136226851856</v>
      </c>
      <c r="F262">
        <f t="shared" si="17"/>
        <v>0.16113253213183334</v>
      </c>
      <c r="G262">
        <f t="shared" si="18"/>
        <v>3</v>
      </c>
      <c r="H262">
        <f t="shared" si="19"/>
        <v>2.4666163472222227</v>
      </c>
    </row>
    <row r="263" spans="1:8" x14ac:dyDescent="0.25">
      <c r="A263">
        <v>1022</v>
      </c>
      <c r="B263">
        <v>1</v>
      </c>
      <c r="C263">
        <v>100.33194444444445</v>
      </c>
      <c r="D263">
        <v>17.007777777777779</v>
      </c>
      <c r="E263">
        <f t="shared" si="16"/>
        <v>0.41804976851851849</v>
      </c>
      <c r="F263">
        <f t="shared" si="17"/>
        <v>7.0865740740740743E-2</v>
      </c>
      <c r="G263">
        <f t="shared" si="18"/>
        <v>6</v>
      </c>
      <c r="H263">
        <f t="shared" si="19"/>
        <v>5.0165972222222219</v>
      </c>
    </row>
    <row r="264" spans="1:8" x14ac:dyDescent="0.25">
      <c r="A264">
        <v>1022</v>
      </c>
      <c r="B264">
        <v>2</v>
      </c>
      <c r="C264">
        <v>166.73625749999999</v>
      </c>
      <c r="D264">
        <v>13.551144027777781</v>
      </c>
      <c r="E264">
        <f t="shared" si="16"/>
        <v>0.69473440624999994</v>
      </c>
      <c r="F264">
        <f t="shared" si="17"/>
        <v>5.6463100115740759E-2</v>
      </c>
      <c r="G264">
        <f t="shared" si="18"/>
        <v>9</v>
      </c>
      <c r="H264">
        <f t="shared" si="19"/>
        <v>8.3368128749999997</v>
      </c>
    </row>
    <row r="265" spans="1:8" x14ac:dyDescent="0.25">
      <c r="A265">
        <v>1022</v>
      </c>
      <c r="B265">
        <v>3</v>
      </c>
      <c r="C265">
        <v>166.87624</v>
      </c>
      <c r="D265">
        <v>41.179539222222218</v>
      </c>
      <c r="E265">
        <f t="shared" si="16"/>
        <v>0.69531766666666661</v>
      </c>
      <c r="F265">
        <f t="shared" si="17"/>
        <v>0.17158141342592592</v>
      </c>
      <c r="G265">
        <f t="shared" si="18"/>
        <v>9</v>
      </c>
      <c r="H265">
        <f t="shared" si="19"/>
        <v>8.3438119999999998</v>
      </c>
    </row>
    <row r="266" spans="1:8" x14ac:dyDescent="0.25">
      <c r="A266">
        <v>1022</v>
      </c>
      <c r="B266">
        <v>4</v>
      </c>
      <c r="C266">
        <v>166.7335247222222</v>
      </c>
      <c r="D266">
        <v>29.00352338624333</v>
      </c>
      <c r="E266">
        <f t="shared" si="16"/>
        <v>0.69472301967592587</v>
      </c>
      <c r="F266">
        <f t="shared" si="17"/>
        <v>0.1208480141093472</v>
      </c>
      <c r="G266">
        <f t="shared" si="18"/>
        <v>9</v>
      </c>
      <c r="H266">
        <f t="shared" si="19"/>
        <v>8.33667623611111</v>
      </c>
    </row>
    <row r="267" spans="1:8" x14ac:dyDescent="0.25">
      <c r="A267">
        <v>1022</v>
      </c>
      <c r="B267">
        <v>5</v>
      </c>
      <c r="C267">
        <v>1.313488611111111</v>
      </c>
      <c r="D267">
        <v>1.3035480555555561</v>
      </c>
      <c r="E267">
        <f t="shared" si="16"/>
        <v>5.4728692129629624E-3</v>
      </c>
      <c r="F267">
        <f t="shared" si="17"/>
        <v>5.4314502314814841E-3</v>
      </c>
      <c r="G267">
        <f t="shared" si="18"/>
        <v>1</v>
      </c>
      <c r="H267">
        <f t="shared" si="19"/>
        <v>6.5674430555555552E-2</v>
      </c>
    </row>
    <row r="268" spans="1:8" x14ac:dyDescent="0.25">
      <c r="A268">
        <v>1023</v>
      </c>
      <c r="B268">
        <v>1</v>
      </c>
      <c r="C268">
        <v>38.423055555555557</v>
      </c>
      <c r="D268">
        <v>37.44361111111111</v>
      </c>
      <c r="E268">
        <f t="shared" si="16"/>
        <v>0.16009606481481484</v>
      </c>
      <c r="F268">
        <f t="shared" si="17"/>
        <v>0.15601504629629628</v>
      </c>
      <c r="G268">
        <f t="shared" si="18"/>
        <v>2</v>
      </c>
      <c r="H268">
        <f t="shared" si="19"/>
        <v>1.9211527777777779</v>
      </c>
    </row>
    <row r="269" spans="1:8" x14ac:dyDescent="0.25">
      <c r="A269">
        <v>1023</v>
      </c>
      <c r="B269">
        <v>2</v>
      </c>
      <c r="C269">
        <v>42.027236388888888</v>
      </c>
      <c r="D269">
        <v>41.785923093434157</v>
      </c>
      <c r="E269">
        <f t="shared" si="16"/>
        <v>0.17511348495370371</v>
      </c>
      <c r="F269">
        <f t="shared" si="17"/>
        <v>0.17410801288930899</v>
      </c>
      <c r="G269">
        <f t="shared" si="18"/>
        <v>3</v>
      </c>
      <c r="H269">
        <f t="shared" si="19"/>
        <v>2.1013618194444446</v>
      </c>
    </row>
    <row r="270" spans="1:8" x14ac:dyDescent="0.25">
      <c r="A270">
        <v>1023</v>
      </c>
      <c r="B270">
        <v>3</v>
      </c>
      <c r="C270">
        <v>42.078365555555557</v>
      </c>
      <c r="D270">
        <v>41.759166902777778</v>
      </c>
      <c r="E270">
        <f t="shared" si="16"/>
        <v>0.17532652314814814</v>
      </c>
      <c r="F270">
        <f t="shared" si="17"/>
        <v>0.17399652876157409</v>
      </c>
      <c r="G270">
        <f t="shared" si="18"/>
        <v>3</v>
      </c>
      <c r="H270">
        <f t="shared" si="19"/>
        <v>2.1039182777777778</v>
      </c>
    </row>
    <row r="271" spans="1:8" x14ac:dyDescent="0.25">
      <c r="A271">
        <v>1023</v>
      </c>
      <c r="B271">
        <v>4</v>
      </c>
      <c r="C271">
        <v>41.889098333333337</v>
      </c>
      <c r="D271">
        <v>41.718514087301394</v>
      </c>
      <c r="E271">
        <f t="shared" si="16"/>
        <v>0.17453790972222225</v>
      </c>
      <c r="F271">
        <f t="shared" si="17"/>
        <v>0.17382714203042249</v>
      </c>
      <c r="G271">
        <f t="shared" si="18"/>
        <v>3</v>
      </c>
      <c r="H271">
        <f t="shared" si="19"/>
        <v>2.0944549166666668</v>
      </c>
    </row>
    <row r="272" spans="1:8" x14ac:dyDescent="0.25">
      <c r="A272">
        <v>1023</v>
      </c>
      <c r="B272">
        <v>5</v>
      </c>
      <c r="C272">
        <v>41.951095555555547</v>
      </c>
      <c r="D272">
        <v>37.954582133838343</v>
      </c>
      <c r="E272">
        <f t="shared" si="16"/>
        <v>0.17479623148148146</v>
      </c>
      <c r="F272">
        <f t="shared" si="17"/>
        <v>0.15814409222432643</v>
      </c>
      <c r="G272">
        <f t="shared" si="18"/>
        <v>3</v>
      </c>
      <c r="H272">
        <f t="shared" si="19"/>
        <v>2.0975547777777774</v>
      </c>
    </row>
    <row r="273" spans="1:8" x14ac:dyDescent="0.25">
      <c r="A273">
        <v>1023</v>
      </c>
      <c r="B273">
        <v>6</v>
      </c>
      <c r="C273">
        <v>41.95102138888889</v>
      </c>
      <c r="D273">
        <v>37.960060858585827</v>
      </c>
      <c r="E273">
        <f t="shared" si="16"/>
        <v>0.17479592245370371</v>
      </c>
      <c r="F273">
        <f t="shared" si="17"/>
        <v>0.15816692024410761</v>
      </c>
      <c r="G273">
        <f t="shared" si="18"/>
        <v>3</v>
      </c>
      <c r="H273">
        <f t="shared" si="19"/>
        <v>2.0975510694444446</v>
      </c>
    </row>
    <row r="274" spans="1:8" x14ac:dyDescent="0.25">
      <c r="A274">
        <v>1023</v>
      </c>
      <c r="B274">
        <v>7</v>
      </c>
      <c r="C274">
        <v>41.898630555555563</v>
      </c>
      <c r="D274">
        <v>39.849331838624167</v>
      </c>
      <c r="E274">
        <f t="shared" si="16"/>
        <v>0.17457762731481485</v>
      </c>
      <c r="F274">
        <f t="shared" si="17"/>
        <v>0.16603888266093403</v>
      </c>
      <c r="G274">
        <f t="shared" si="18"/>
        <v>3</v>
      </c>
      <c r="H274">
        <f t="shared" si="19"/>
        <v>2.0949315277777782</v>
      </c>
    </row>
    <row r="275" spans="1:8" x14ac:dyDescent="0.25">
      <c r="A275">
        <v>1023</v>
      </c>
      <c r="B275">
        <v>8</v>
      </c>
      <c r="C275">
        <v>41.892814722222219</v>
      </c>
      <c r="D275">
        <v>41.755066642511942</v>
      </c>
      <c r="E275">
        <f t="shared" si="16"/>
        <v>0.1745533946759259</v>
      </c>
      <c r="F275">
        <f t="shared" si="17"/>
        <v>0.17397944434379975</v>
      </c>
      <c r="G275">
        <f t="shared" si="18"/>
        <v>3</v>
      </c>
      <c r="H275">
        <f t="shared" si="19"/>
        <v>2.0946407361111108</v>
      </c>
    </row>
    <row r="276" spans="1:8" x14ac:dyDescent="0.25">
      <c r="A276">
        <v>1023</v>
      </c>
      <c r="B276">
        <v>9</v>
      </c>
      <c r="C276">
        <v>41.857575833333343</v>
      </c>
      <c r="D276">
        <v>41.738325111111109</v>
      </c>
      <c r="E276">
        <f t="shared" si="16"/>
        <v>0.17440656597222226</v>
      </c>
      <c r="F276">
        <f t="shared" si="17"/>
        <v>0.17390968796296294</v>
      </c>
      <c r="G276">
        <f t="shared" si="18"/>
        <v>3</v>
      </c>
      <c r="H276">
        <f t="shared" si="19"/>
        <v>2.0928787916666671</v>
      </c>
    </row>
    <row r="277" spans="1:8" x14ac:dyDescent="0.25">
      <c r="A277">
        <v>1023</v>
      </c>
      <c r="B277">
        <v>10</v>
      </c>
      <c r="C277">
        <v>41.842744444444442</v>
      </c>
      <c r="D277">
        <v>41.739221085858333</v>
      </c>
      <c r="E277">
        <f t="shared" si="16"/>
        <v>0.17434476851851852</v>
      </c>
      <c r="F277">
        <f t="shared" si="17"/>
        <v>0.17391342119107636</v>
      </c>
      <c r="G277">
        <f t="shared" si="18"/>
        <v>3</v>
      </c>
      <c r="H277">
        <f t="shared" si="19"/>
        <v>2.0921372222222221</v>
      </c>
    </row>
    <row r="278" spans="1:8" x14ac:dyDescent="0.25">
      <c r="A278">
        <v>1023</v>
      </c>
      <c r="B278">
        <v>11</v>
      </c>
      <c r="C278">
        <v>41.830842500000003</v>
      </c>
      <c r="D278">
        <v>41.715730492424157</v>
      </c>
      <c r="E278">
        <f t="shared" si="16"/>
        <v>0.17429517708333334</v>
      </c>
      <c r="F278">
        <f t="shared" si="17"/>
        <v>0.173815543718434</v>
      </c>
      <c r="G278">
        <f t="shared" si="18"/>
        <v>3</v>
      </c>
      <c r="H278">
        <f t="shared" si="19"/>
        <v>2.0915421250000001</v>
      </c>
    </row>
    <row r="279" spans="1:8" x14ac:dyDescent="0.25">
      <c r="A279">
        <v>1023</v>
      </c>
      <c r="B279">
        <v>12</v>
      </c>
      <c r="C279">
        <v>41.855494999999998</v>
      </c>
      <c r="D279">
        <v>41.346698108465553</v>
      </c>
      <c r="E279">
        <f t="shared" si="16"/>
        <v>0.17439789583333332</v>
      </c>
      <c r="F279">
        <f t="shared" si="17"/>
        <v>0.17227790878527313</v>
      </c>
      <c r="G279">
        <f t="shared" si="18"/>
        <v>3</v>
      </c>
      <c r="H279">
        <f t="shared" si="19"/>
        <v>2.0927747499999998</v>
      </c>
    </row>
    <row r="280" spans="1:8" x14ac:dyDescent="0.25">
      <c r="A280">
        <v>1024</v>
      </c>
      <c r="B280">
        <v>1</v>
      </c>
      <c r="C280">
        <v>37.124722222222218</v>
      </c>
      <c r="D280">
        <v>35.899444444444448</v>
      </c>
      <c r="E280">
        <f t="shared" si="16"/>
        <v>0.15468634259259259</v>
      </c>
      <c r="F280">
        <f t="shared" si="17"/>
        <v>0.14958101851851854</v>
      </c>
      <c r="G280">
        <f t="shared" si="18"/>
        <v>2</v>
      </c>
      <c r="H280">
        <f t="shared" si="19"/>
        <v>1.856236111111111</v>
      </c>
    </row>
    <row r="281" spans="1:8" x14ac:dyDescent="0.25">
      <c r="A281">
        <v>1024</v>
      </c>
      <c r="B281">
        <v>2</v>
      </c>
      <c r="C281">
        <v>41.309582499999998</v>
      </c>
      <c r="D281">
        <v>39.961534204545281</v>
      </c>
      <c r="E281">
        <f t="shared" si="16"/>
        <v>0.17212326041666667</v>
      </c>
      <c r="F281">
        <f t="shared" si="17"/>
        <v>0.16650639251893867</v>
      </c>
      <c r="G281">
        <f t="shared" si="18"/>
        <v>3</v>
      </c>
      <c r="H281">
        <f t="shared" si="19"/>
        <v>2.065479125</v>
      </c>
    </row>
    <row r="282" spans="1:8" x14ac:dyDescent="0.25">
      <c r="A282">
        <v>1024</v>
      </c>
      <c r="B282">
        <v>3</v>
      </c>
      <c r="C282">
        <v>40.244539722222221</v>
      </c>
      <c r="D282">
        <v>39.903094777777781</v>
      </c>
      <c r="E282">
        <f t="shared" si="16"/>
        <v>0.16768558217592591</v>
      </c>
      <c r="F282">
        <f t="shared" si="17"/>
        <v>0.16626289490740742</v>
      </c>
      <c r="G282">
        <f t="shared" si="18"/>
        <v>3</v>
      </c>
      <c r="H282">
        <f t="shared" si="19"/>
        <v>2.0122269861111111</v>
      </c>
    </row>
    <row r="283" spans="1:8" x14ac:dyDescent="0.25">
      <c r="A283">
        <v>1024</v>
      </c>
      <c r="B283">
        <v>4</v>
      </c>
      <c r="C283">
        <v>40.253779444444447</v>
      </c>
      <c r="D283">
        <v>39.632259669311942</v>
      </c>
      <c r="E283">
        <f t="shared" si="16"/>
        <v>0.16772408101851854</v>
      </c>
      <c r="F283">
        <f t="shared" si="17"/>
        <v>0.16513441528879977</v>
      </c>
      <c r="G283">
        <f t="shared" si="18"/>
        <v>3</v>
      </c>
      <c r="H283">
        <f t="shared" si="19"/>
        <v>2.0126889722222225</v>
      </c>
    </row>
    <row r="284" spans="1:8" x14ac:dyDescent="0.25">
      <c r="A284">
        <v>1024</v>
      </c>
      <c r="B284">
        <v>5</v>
      </c>
      <c r="C284">
        <v>41.946336388888888</v>
      </c>
      <c r="D284">
        <v>40.096336430555553</v>
      </c>
      <c r="E284">
        <f t="shared" si="16"/>
        <v>0.17477640162037036</v>
      </c>
      <c r="F284">
        <f t="shared" si="17"/>
        <v>0.16706806846064814</v>
      </c>
      <c r="G284">
        <f t="shared" si="18"/>
        <v>3</v>
      </c>
      <c r="H284">
        <f t="shared" si="19"/>
        <v>2.0973168194444445</v>
      </c>
    </row>
    <row r="285" spans="1:8" x14ac:dyDescent="0.25">
      <c r="A285">
        <v>1024</v>
      </c>
      <c r="B285">
        <v>6</v>
      </c>
      <c r="C285">
        <v>40.204626111111111</v>
      </c>
      <c r="D285">
        <v>39.368229861111111</v>
      </c>
      <c r="E285">
        <f t="shared" si="16"/>
        <v>0.16751927546296297</v>
      </c>
      <c r="F285">
        <f t="shared" si="17"/>
        <v>0.16403429108796297</v>
      </c>
      <c r="G285">
        <f t="shared" si="18"/>
        <v>3</v>
      </c>
      <c r="H285">
        <f t="shared" si="19"/>
        <v>2.0102313055555556</v>
      </c>
    </row>
    <row r="286" spans="1:8" x14ac:dyDescent="0.25">
      <c r="A286">
        <v>1024</v>
      </c>
      <c r="B286">
        <v>7</v>
      </c>
      <c r="C286">
        <v>40.330813055555552</v>
      </c>
      <c r="D286">
        <v>38.337377777777768</v>
      </c>
      <c r="E286">
        <f t="shared" si="16"/>
        <v>0.16804505439814812</v>
      </c>
      <c r="F286">
        <f t="shared" si="17"/>
        <v>0.15973907407407403</v>
      </c>
      <c r="G286">
        <f t="shared" si="18"/>
        <v>3</v>
      </c>
      <c r="H286">
        <f t="shared" si="19"/>
        <v>2.0165406527777776</v>
      </c>
    </row>
    <row r="287" spans="1:8" x14ac:dyDescent="0.25">
      <c r="A287">
        <v>1024</v>
      </c>
      <c r="B287">
        <v>8</v>
      </c>
      <c r="C287">
        <v>40.711981666666667</v>
      </c>
      <c r="D287">
        <v>39.63702492753611</v>
      </c>
      <c r="E287">
        <f t="shared" si="16"/>
        <v>0.16963325694444445</v>
      </c>
      <c r="F287">
        <f t="shared" si="17"/>
        <v>0.16515427053140044</v>
      </c>
      <c r="G287">
        <f t="shared" si="18"/>
        <v>3</v>
      </c>
      <c r="H287">
        <f t="shared" si="19"/>
        <v>2.0355990833333335</v>
      </c>
    </row>
    <row r="288" spans="1:8" x14ac:dyDescent="0.25">
      <c r="A288">
        <v>1024</v>
      </c>
      <c r="B288">
        <v>9</v>
      </c>
      <c r="C288">
        <v>40.089596111111113</v>
      </c>
      <c r="D288">
        <v>39.323222027777781</v>
      </c>
      <c r="E288">
        <f t="shared" si="16"/>
        <v>0.16703998379629628</v>
      </c>
      <c r="F288">
        <f t="shared" si="17"/>
        <v>0.16384675844907409</v>
      </c>
      <c r="G288">
        <f t="shared" si="18"/>
        <v>3</v>
      </c>
      <c r="H288">
        <f t="shared" si="19"/>
        <v>2.0044798055555555</v>
      </c>
    </row>
    <row r="289" spans="1:8" x14ac:dyDescent="0.25">
      <c r="A289">
        <v>1024</v>
      </c>
      <c r="B289">
        <v>10</v>
      </c>
      <c r="C289">
        <v>40.180686111111108</v>
      </c>
      <c r="D289">
        <v>39.908163282828063</v>
      </c>
      <c r="E289">
        <f t="shared" si="16"/>
        <v>0.16741952546296293</v>
      </c>
      <c r="F289">
        <f t="shared" si="17"/>
        <v>0.16628401367845028</v>
      </c>
      <c r="G289">
        <f t="shared" si="18"/>
        <v>3</v>
      </c>
      <c r="H289">
        <f t="shared" si="19"/>
        <v>2.0090343055555553</v>
      </c>
    </row>
    <row r="290" spans="1:8" x14ac:dyDescent="0.25">
      <c r="A290">
        <v>1024</v>
      </c>
      <c r="B290">
        <v>11</v>
      </c>
      <c r="C290">
        <v>40.094141111111107</v>
      </c>
      <c r="D290">
        <v>35.101539191919173</v>
      </c>
      <c r="E290">
        <f t="shared" si="16"/>
        <v>0.16705892129629629</v>
      </c>
      <c r="F290">
        <f t="shared" si="17"/>
        <v>0.14625641329966321</v>
      </c>
      <c r="G290">
        <f t="shared" si="18"/>
        <v>3</v>
      </c>
      <c r="H290">
        <f t="shared" si="19"/>
        <v>2.0047070555555555</v>
      </c>
    </row>
    <row r="291" spans="1:8" x14ac:dyDescent="0.25">
      <c r="A291">
        <v>1024</v>
      </c>
      <c r="B291">
        <v>12</v>
      </c>
      <c r="C291">
        <v>40.128568611111113</v>
      </c>
      <c r="D291">
        <v>39.522962513227498</v>
      </c>
      <c r="E291">
        <f t="shared" si="16"/>
        <v>0.16720236921296297</v>
      </c>
      <c r="F291">
        <f t="shared" si="17"/>
        <v>0.16467901047178124</v>
      </c>
      <c r="G291">
        <f t="shared" si="18"/>
        <v>3</v>
      </c>
      <c r="H291">
        <f t="shared" si="19"/>
        <v>2.0064284305555558</v>
      </c>
    </row>
    <row r="292" spans="1:8" x14ac:dyDescent="0.25">
      <c r="A292">
        <v>1025</v>
      </c>
      <c r="B292">
        <v>1</v>
      </c>
      <c r="C292">
        <v>36.36472222222222</v>
      </c>
      <c r="D292">
        <v>21.819166666666668</v>
      </c>
      <c r="E292">
        <f t="shared" si="16"/>
        <v>0.15151967592592591</v>
      </c>
      <c r="F292">
        <f t="shared" si="17"/>
        <v>9.0913194444444456E-2</v>
      </c>
      <c r="G292">
        <f t="shared" si="18"/>
        <v>2</v>
      </c>
      <c r="H292">
        <f t="shared" si="19"/>
        <v>1.8182361111111109</v>
      </c>
    </row>
    <row r="293" spans="1:8" x14ac:dyDescent="0.25">
      <c r="A293">
        <v>1025</v>
      </c>
      <c r="B293">
        <v>2</v>
      </c>
      <c r="C293">
        <v>39.687806388888887</v>
      </c>
      <c r="D293">
        <v>22.44340026388889</v>
      </c>
      <c r="E293">
        <f t="shared" si="16"/>
        <v>0.1653658599537037</v>
      </c>
      <c r="F293">
        <f t="shared" si="17"/>
        <v>9.3514167766203707E-2</v>
      </c>
      <c r="G293">
        <f t="shared" si="18"/>
        <v>2</v>
      </c>
      <c r="H293">
        <f t="shared" si="19"/>
        <v>1.9843903194444446</v>
      </c>
    </row>
    <row r="294" spans="1:8" x14ac:dyDescent="0.25">
      <c r="A294">
        <v>1025</v>
      </c>
      <c r="B294">
        <v>3</v>
      </c>
      <c r="C294">
        <v>39.684218611111113</v>
      </c>
      <c r="D294">
        <v>24.238042513227501</v>
      </c>
      <c r="E294">
        <f t="shared" si="16"/>
        <v>0.16535091087962964</v>
      </c>
      <c r="F294">
        <f t="shared" si="17"/>
        <v>0.1009918438051146</v>
      </c>
      <c r="G294">
        <f t="shared" si="18"/>
        <v>2</v>
      </c>
      <c r="H294">
        <f t="shared" si="19"/>
        <v>1.9842109305555558</v>
      </c>
    </row>
    <row r="295" spans="1:8" x14ac:dyDescent="0.25">
      <c r="A295">
        <v>1025</v>
      </c>
      <c r="B295">
        <v>4</v>
      </c>
      <c r="C295">
        <v>39.699482500000002</v>
      </c>
      <c r="D295">
        <v>25.02466353535333</v>
      </c>
      <c r="E295">
        <f t="shared" si="16"/>
        <v>0.16541451041666669</v>
      </c>
      <c r="F295">
        <f t="shared" si="17"/>
        <v>0.10426943139730555</v>
      </c>
      <c r="G295">
        <f t="shared" si="18"/>
        <v>2</v>
      </c>
      <c r="H295">
        <f t="shared" si="19"/>
        <v>1.9849741250000004</v>
      </c>
    </row>
    <row r="296" spans="1:8" x14ac:dyDescent="0.25">
      <c r="A296">
        <v>1025</v>
      </c>
      <c r="B296">
        <v>5</v>
      </c>
      <c r="C296">
        <v>39.687896944444446</v>
      </c>
      <c r="D296">
        <v>20.866345497685</v>
      </c>
      <c r="E296">
        <f t="shared" si="16"/>
        <v>0.16536623726851854</v>
      </c>
      <c r="F296">
        <f t="shared" si="17"/>
        <v>8.6943106240354173E-2</v>
      </c>
      <c r="G296">
        <f t="shared" si="18"/>
        <v>2</v>
      </c>
      <c r="H296">
        <f t="shared" si="19"/>
        <v>1.9843948472222226</v>
      </c>
    </row>
    <row r="297" spans="1:8" x14ac:dyDescent="0.25">
      <c r="A297">
        <v>1025</v>
      </c>
      <c r="B297">
        <v>6</v>
      </c>
      <c r="C297">
        <v>39.689649166666669</v>
      </c>
      <c r="D297">
        <v>27.571403216374161</v>
      </c>
      <c r="E297">
        <f t="shared" si="16"/>
        <v>0.16537353819444445</v>
      </c>
      <c r="F297">
        <f t="shared" si="17"/>
        <v>0.11488084673489234</v>
      </c>
      <c r="G297">
        <f t="shared" si="18"/>
        <v>2</v>
      </c>
      <c r="H297">
        <f t="shared" si="19"/>
        <v>1.9844824583333334</v>
      </c>
    </row>
    <row r="298" spans="1:8" x14ac:dyDescent="0.25">
      <c r="A298">
        <v>1025</v>
      </c>
      <c r="B298">
        <v>7</v>
      </c>
      <c r="C298">
        <v>39.694141666666667</v>
      </c>
      <c r="D298">
        <v>24.256129684343328</v>
      </c>
      <c r="E298">
        <f t="shared" si="16"/>
        <v>0.16539225694444445</v>
      </c>
      <c r="F298">
        <f t="shared" si="17"/>
        <v>0.1010672070180972</v>
      </c>
      <c r="G298">
        <f t="shared" si="18"/>
        <v>2</v>
      </c>
      <c r="H298">
        <f t="shared" si="19"/>
        <v>1.9847070833333333</v>
      </c>
    </row>
    <row r="299" spans="1:8" x14ac:dyDescent="0.25">
      <c r="A299">
        <v>1025</v>
      </c>
      <c r="B299">
        <v>8</v>
      </c>
      <c r="C299">
        <v>39.689047500000001</v>
      </c>
      <c r="D299">
        <v>22.961571355555559</v>
      </c>
      <c r="E299">
        <f t="shared" si="16"/>
        <v>0.16537103124999999</v>
      </c>
      <c r="F299">
        <f t="shared" si="17"/>
        <v>9.56732139814815E-2</v>
      </c>
      <c r="G299">
        <f t="shared" si="18"/>
        <v>2</v>
      </c>
      <c r="H299">
        <f t="shared" si="19"/>
        <v>1.984452375</v>
      </c>
    </row>
    <row r="300" spans="1:8" x14ac:dyDescent="0.25">
      <c r="A300">
        <v>1025</v>
      </c>
      <c r="B300">
        <v>9</v>
      </c>
      <c r="C300">
        <v>39.621847222222222</v>
      </c>
      <c r="D300">
        <v>17.843809034391391</v>
      </c>
      <c r="E300">
        <f t="shared" si="16"/>
        <v>0.1650910300925926</v>
      </c>
      <c r="F300">
        <f t="shared" si="17"/>
        <v>7.4349204309964126E-2</v>
      </c>
      <c r="G300">
        <f t="shared" si="18"/>
        <v>2</v>
      </c>
      <c r="H300">
        <f t="shared" si="19"/>
        <v>1.9810923611111111</v>
      </c>
    </row>
    <row r="301" spans="1:8" x14ac:dyDescent="0.25">
      <c r="A301">
        <v>1025</v>
      </c>
      <c r="B301">
        <v>10</v>
      </c>
      <c r="C301">
        <v>39.637411388888893</v>
      </c>
      <c r="D301">
        <v>25.336802487922501</v>
      </c>
      <c r="E301">
        <f t="shared" si="16"/>
        <v>0.16515588078703705</v>
      </c>
      <c r="F301">
        <f t="shared" si="17"/>
        <v>0.10557001036634377</v>
      </c>
      <c r="G301">
        <f t="shared" si="18"/>
        <v>2</v>
      </c>
      <c r="H301">
        <f t="shared" si="19"/>
        <v>1.9818705694444447</v>
      </c>
    </row>
    <row r="302" spans="1:8" x14ac:dyDescent="0.25">
      <c r="A302">
        <v>1025</v>
      </c>
      <c r="B302">
        <v>11</v>
      </c>
      <c r="C302">
        <v>39.62341111111111</v>
      </c>
      <c r="D302">
        <v>25.27695065656556</v>
      </c>
      <c r="E302">
        <f t="shared" si="16"/>
        <v>0.16509754629629628</v>
      </c>
      <c r="F302">
        <f t="shared" si="17"/>
        <v>0.10532062773568984</v>
      </c>
      <c r="G302">
        <f t="shared" si="18"/>
        <v>2</v>
      </c>
      <c r="H302">
        <f t="shared" si="19"/>
        <v>1.9811705555555554</v>
      </c>
    </row>
    <row r="303" spans="1:8" x14ac:dyDescent="0.25">
      <c r="A303">
        <v>1025</v>
      </c>
      <c r="B303">
        <v>12</v>
      </c>
      <c r="C303">
        <v>39.659491666666668</v>
      </c>
      <c r="D303">
        <v>26.00986165343889</v>
      </c>
      <c r="E303">
        <f t="shared" si="16"/>
        <v>0.16524788194444445</v>
      </c>
      <c r="F303">
        <f t="shared" si="17"/>
        <v>0.10837442355599537</v>
      </c>
      <c r="G303">
        <f t="shared" si="18"/>
        <v>2</v>
      </c>
      <c r="H303">
        <f t="shared" si="19"/>
        <v>1.9829745833333334</v>
      </c>
    </row>
    <row r="304" spans="1:8" x14ac:dyDescent="0.25">
      <c r="A304">
        <v>1026</v>
      </c>
      <c r="B304">
        <v>1</v>
      </c>
      <c r="C304">
        <v>35.659722222222221</v>
      </c>
      <c r="D304">
        <v>34.883611111111115</v>
      </c>
      <c r="E304">
        <f t="shared" si="16"/>
        <v>0.14858217592592593</v>
      </c>
      <c r="F304">
        <f t="shared" si="17"/>
        <v>0.14534837962962965</v>
      </c>
      <c r="G304">
        <f t="shared" si="18"/>
        <v>2</v>
      </c>
      <c r="H304">
        <f t="shared" si="19"/>
        <v>1.7829861111111112</v>
      </c>
    </row>
    <row r="305" spans="1:8" x14ac:dyDescent="0.25">
      <c r="A305">
        <v>1026</v>
      </c>
      <c r="B305">
        <v>2</v>
      </c>
      <c r="C305">
        <v>38.896582500000001</v>
      </c>
      <c r="D305">
        <v>38.420977424242217</v>
      </c>
      <c r="E305">
        <f t="shared" si="16"/>
        <v>0.16206909375</v>
      </c>
      <c r="F305">
        <f t="shared" si="17"/>
        <v>0.16008740593434256</v>
      </c>
      <c r="G305">
        <f t="shared" si="18"/>
        <v>2</v>
      </c>
      <c r="H305">
        <f t="shared" si="19"/>
        <v>1.944829125</v>
      </c>
    </row>
    <row r="306" spans="1:8" x14ac:dyDescent="0.25">
      <c r="A306">
        <v>1026</v>
      </c>
      <c r="B306">
        <v>3</v>
      </c>
      <c r="C306">
        <v>39.030817499999998</v>
      </c>
      <c r="D306">
        <v>38.131084069444448</v>
      </c>
      <c r="E306">
        <f t="shared" si="16"/>
        <v>0.16262840625</v>
      </c>
      <c r="F306">
        <f t="shared" si="17"/>
        <v>0.15887951695601854</v>
      </c>
      <c r="G306">
        <f t="shared" si="18"/>
        <v>2</v>
      </c>
      <c r="H306">
        <f t="shared" si="19"/>
        <v>1.9515408750000001</v>
      </c>
    </row>
    <row r="307" spans="1:8" x14ac:dyDescent="0.25">
      <c r="A307">
        <v>1026</v>
      </c>
      <c r="B307">
        <v>4</v>
      </c>
      <c r="C307">
        <v>39.249883333333337</v>
      </c>
      <c r="D307">
        <v>38.42720345238083</v>
      </c>
      <c r="E307">
        <f t="shared" si="16"/>
        <v>0.16354118055555558</v>
      </c>
      <c r="F307">
        <f t="shared" si="17"/>
        <v>0.16011334771825345</v>
      </c>
      <c r="G307">
        <f t="shared" si="18"/>
        <v>2</v>
      </c>
      <c r="H307">
        <f t="shared" si="19"/>
        <v>1.9624941666666671</v>
      </c>
    </row>
    <row r="308" spans="1:8" x14ac:dyDescent="0.25">
      <c r="A308">
        <v>1026</v>
      </c>
      <c r="B308">
        <v>5</v>
      </c>
      <c r="C308">
        <v>38.98775361111111</v>
      </c>
      <c r="D308">
        <v>38.551497708333343</v>
      </c>
      <c r="E308">
        <f t="shared" si="16"/>
        <v>0.16244897337962963</v>
      </c>
      <c r="F308">
        <f t="shared" si="17"/>
        <v>0.16063124045138893</v>
      </c>
      <c r="G308">
        <f t="shared" si="18"/>
        <v>2</v>
      </c>
      <c r="H308">
        <f t="shared" si="19"/>
        <v>1.9493876805555557</v>
      </c>
    </row>
    <row r="309" spans="1:8" x14ac:dyDescent="0.25">
      <c r="A309">
        <v>1026</v>
      </c>
      <c r="B309">
        <v>6</v>
      </c>
      <c r="C309">
        <v>39.217065833333344</v>
      </c>
      <c r="D309">
        <v>37.74227641666667</v>
      </c>
      <c r="E309">
        <f t="shared" si="16"/>
        <v>0.16340444097222226</v>
      </c>
      <c r="F309">
        <f t="shared" si="17"/>
        <v>0.15725948506944445</v>
      </c>
      <c r="G309">
        <f t="shared" si="18"/>
        <v>2</v>
      </c>
      <c r="H309">
        <f t="shared" si="19"/>
        <v>1.960853291666667</v>
      </c>
    </row>
    <row r="310" spans="1:8" x14ac:dyDescent="0.25">
      <c r="A310">
        <v>1026</v>
      </c>
      <c r="B310">
        <v>7</v>
      </c>
      <c r="C310">
        <v>38.782853888888887</v>
      </c>
      <c r="D310">
        <v>36.445251812169168</v>
      </c>
      <c r="E310">
        <f t="shared" si="16"/>
        <v>0.16159522453703704</v>
      </c>
      <c r="F310">
        <f t="shared" si="17"/>
        <v>0.15185521588403819</v>
      </c>
      <c r="G310">
        <f t="shared" si="18"/>
        <v>2</v>
      </c>
      <c r="H310">
        <f t="shared" si="19"/>
        <v>1.9391426944444445</v>
      </c>
    </row>
    <row r="311" spans="1:8" x14ac:dyDescent="0.25">
      <c r="A311">
        <v>1026</v>
      </c>
      <c r="B311">
        <v>8</v>
      </c>
      <c r="C311">
        <v>38.959183333333343</v>
      </c>
      <c r="D311">
        <v>38.441030217391109</v>
      </c>
      <c r="E311">
        <f t="shared" si="16"/>
        <v>0.16232993055555558</v>
      </c>
      <c r="F311">
        <f t="shared" si="17"/>
        <v>0.16017095923912963</v>
      </c>
      <c r="G311">
        <f t="shared" si="18"/>
        <v>2</v>
      </c>
      <c r="H311">
        <f t="shared" si="19"/>
        <v>1.9479591666666671</v>
      </c>
    </row>
    <row r="312" spans="1:8" x14ac:dyDescent="0.25">
      <c r="A312">
        <v>1026</v>
      </c>
      <c r="B312">
        <v>9</v>
      </c>
      <c r="C312">
        <v>38.714898888888889</v>
      </c>
      <c r="D312">
        <v>37.817317013888889</v>
      </c>
      <c r="E312">
        <f t="shared" si="16"/>
        <v>0.1613120787037037</v>
      </c>
      <c r="F312">
        <f t="shared" si="17"/>
        <v>0.15757215422453705</v>
      </c>
      <c r="G312">
        <f t="shared" si="18"/>
        <v>2</v>
      </c>
      <c r="H312">
        <f t="shared" si="19"/>
        <v>1.9357449444444446</v>
      </c>
    </row>
    <row r="313" spans="1:8" x14ac:dyDescent="0.25">
      <c r="A313">
        <v>1026</v>
      </c>
      <c r="B313">
        <v>10</v>
      </c>
      <c r="C313">
        <v>38.723903333333332</v>
      </c>
      <c r="D313">
        <v>38.229057500000003</v>
      </c>
      <c r="E313">
        <f t="shared" si="16"/>
        <v>0.16134959722222222</v>
      </c>
      <c r="F313">
        <f t="shared" si="17"/>
        <v>0.15928773958333334</v>
      </c>
      <c r="G313">
        <f t="shared" si="18"/>
        <v>2</v>
      </c>
      <c r="H313">
        <f t="shared" si="19"/>
        <v>1.9361951666666668</v>
      </c>
    </row>
    <row r="314" spans="1:8" x14ac:dyDescent="0.25">
      <c r="A314">
        <v>1026</v>
      </c>
      <c r="B314">
        <v>11</v>
      </c>
      <c r="C314">
        <v>38.668633333333332</v>
      </c>
      <c r="D314">
        <v>38.344282121211947</v>
      </c>
      <c r="E314">
        <f t="shared" si="16"/>
        <v>0.16111930555555556</v>
      </c>
      <c r="F314">
        <f t="shared" si="17"/>
        <v>0.15976784217171644</v>
      </c>
      <c r="G314">
        <f t="shared" si="18"/>
        <v>2</v>
      </c>
      <c r="H314">
        <f t="shared" si="19"/>
        <v>1.9334316666666669</v>
      </c>
    </row>
    <row r="315" spans="1:8" x14ac:dyDescent="0.25">
      <c r="A315">
        <v>1026</v>
      </c>
      <c r="B315">
        <v>12</v>
      </c>
      <c r="C315">
        <v>38.685089722222223</v>
      </c>
      <c r="D315">
        <v>38.050027698412499</v>
      </c>
      <c r="E315">
        <f t="shared" si="16"/>
        <v>0.16118787384259259</v>
      </c>
      <c r="F315">
        <f t="shared" si="17"/>
        <v>0.15854178207671873</v>
      </c>
      <c r="G315">
        <f t="shared" si="18"/>
        <v>2</v>
      </c>
      <c r="H315">
        <f t="shared" si="19"/>
        <v>1.9342544861111111</v>
      </c>
    </row>
    <row r="316" spans="1:8" x14ac:dyDescent="0.25">
      <c r="A316">
        <v>1027</v>
      </c>
      <c r="B316">
        <v>1</v>
      </c>
      <c r="C316">
        <v>35.532222222222224</v>
      </c>
      <c r="D316">
        <v>25.839166666666664</v>
      </c>
      <c r="E316">
        <f t="shared" si="16"/>
        <v>0.14805092592592592</v>
      </c>
      <c r="F316">
        <f t="shared" si="17"/>
        <v>0.10766319444444443</v>
      </c>
      <c r="G316">
        <f t="shared" si="18"/>
        <v>2</v>
      </c>
      <c r="H316">
        <f t="shared" si="19"/>
        <v>1.7766111111111109</v>
      </c>
    </row>
    <row r="317" spans="1:8" x14ac:dyDescent="0.25">
      <c r="A317">
        <v>1027</v>
      </c>
      <c r="B317">
        <v>2</v>
      </c>
      <c r="C317">
        <v>31.739571111111111</v>
      </c>
      <c r="D317">
        <v>25.458229967948611</v>
      </c>
      <c r="E317">
        <f t="shared" si="16"/>
        <v>0.13224821296296296</v>
      </c>
      <c r="F317">
        <f t="shared" si="17"/>
        <v>0.10607595819978588</v>
      </c>
      <c r="G317">
        <f t="shared" si="18"/>
        <v>2</v>
      </c>
      <c r="H317">
        <f t="shared" si="19"/>
        <v>1.5869785555555556</v>
      </c>
    </row>
    <row r="318" spans="1:8" x14ac:dyDescent="0.25">
      <c r="A318">
        <v>1027</v>
      </c>
      <c r="B318">
        <v>3</v>
      </c>
      <c r="C318">
        <v>31.890798888888892</v>
      </c>
      <c r="D318">
        <v>27.43412003472222</v>
      </c>
      <c r="E318">
        <f t="shared" si="16"/>
        <v>0.13287832870370372</v>
      </c>
      <c r="F318">
        <f t="shared" si="17"/>
        <v>0.11430883347800924</v>
      </c>
      <c r="G318">
        <f t="shared" si="18"/>
        <v>2</v>
      </c>
      <c r="H318">
        <f t="shared" si="19"/>
        <v>1.5945399444444446</v>
      </c>
    </row>
    <row r="319" spans="1:8" x14ac:dyDescent="0.25">
      <c r="A319">
        <v>1027</v>
      </c>
      <c r="B319">
        <v>4</v>
      </c>
      <c r="C319">
        <v>40.138868611111107</v>
      </c>
      <c r="D319">
        <v>28.671594647435828</v>
      </c>
      <c r="E319">
        <f t="shared" si="16"/>
        <v>0.16724528587962961</v>
      </c>
      <c r="F319">
        <f t="shared" si="17"/>
        <v>0.11946497769764929</v>
      </c>
      <c r="G319">
        <f t="shared" si="18"/>
        <v>3</v>
      </c>
      <c r="H319">
        <f t="shared" si="19"/>
        <v>2.0069434305555554</v>
      </c>
    </row>
    <row r="320" spans="1:8" x14ac:dyDescent="0.25">
      <c r="A320">
        <v>1027</v>
      </c>
      <c r="B320">
        <v>5</v>
      </c>
      <c r="C320">
        <v>40.182254722222233</v>
      </c>
      <c r="D320">
        <v>29.142548692129441</v>
      </c>
      <c r="E320">
        <f t="shared" si="16"/>
        <v>0.16742606134259264</v>
      </c>
      <c r="F320">
        <f t="shared" si="17"/>
        <v>0.121427286217206</v>
      </c>
      <c r="G320">
        <f t="shared" si="18"/>
        <v>3</v>
      </c>
      <c r="H320">
        <f t="shared" si="19"/>
        <v>2.0091127361111116</v>
      </c>
    </row>
    <row r="321" spans="1:8" x14ac:dyDescent="0.25">
      <c r="A321">
        <v>1027</v>
      </c>
      <c r="B321">
        <v>6</v>
      </c>
      <c r="C321">
        <v>40.287863055555547</v>
      </c>
      <c r="D321">
        <v>28.14126118888889</v>
      </c>
      <c r="E321">
        <f t="shared" si="16"/>
        <v>0.16786609606481476</v>
      </c>
      <c r="F321">
        <f t="shared" si="17"/>
        <v>0.1172552549537037</v>
      </c>
      <c r="G321">
        <f t="shared" si="18"/>
        <v>3</v>
      </c>
      <c r="H321">
        <f t="shared" si="19"/>
        <v>2.0143931527777772</v>
      </c>
    </row>
    <row r="322" spans="1:8" x14ac:dyDescent="0.25">
      <c r="A322">
        <v>1027</v>
      </c>
      <c r="B322">
        <v>7</v>
      </c>
      <c r="C322">
        <v>40.345192500000003</v>
      </c>
      <c r="D322">
        <v>28.544739711111109</v>
      </c>
      <c r="E322">
        <f t="shared" ref="E322:E385" si="20">+C322/20/12</f>
        <v>0.16810496875000003</v>
      </c>
      <c r="F322">
        <f t="shared" ref="F322:F385" si="21">+D322/20/12</f>
        <v>0.11893641546296296</v>
      </c>
      <c r="G322">
        <f t="shared" ref="G322:G385" si="22">+ROUNDUP(E322*12,0)</f>
        <v>3</v>
      </c>
      <c r="H322">
        <f t="shared" ref="H322:H385" si="23">+E322*12</f>
        <v>2.0172596250000003</v>
      </c>
    </row>
    <row r="323" spans="1:8" x14ac:dyDescent="0.25">
      <c r="A323">
        <v>1027</v>
      </c>
      <c r="B323">
        <v>8</v>
      </c>
      <c r="C323">
        <v>40.253951944444452</v>
      </c>
      <c r="D323">
        <v>26.504394084361941</v>
      </c>
      <c r="E323">
        <f t="shared" si="20"/>
        <v>0.16772479976851853</v>
      </c>
      <c r="F323">
        <f t="shared" si="21"/>
        <v>0.11043497535150809</v>
      </c>
      <c r="G323">
        <f t="shared" si="22"/>
        <v>3</v>
      </c>
      <c r="H323">
        <f t="shared" si="23"/>
        <v>2.0126975972222225</v>
      </c>
    </row>
    <row r="324" spans="1:8" x14ac:dyDescent="0.25">
      <c r="A324">
        <v>1027</v>
      </c>
      <c r="B324">
        <v>9</v>
      </c>
      <c r="C324">
        <v>40.236192500000001</v>
      </c>
      <c r="D324">
        <v>29.720553322222219</v>
      </c>
      <c r="E324">
        <f t="shared" si="20"/>
        <v>0.16765080208333336</v>
      </c>
      <c r="F324">
        <f t="shared" si="21"/>
        <v>0.12383563884259258</v>
      </c>
      <c r="G324">
        <f t="shared" si="22"/>
        <v>3</v>
      </c>
      <c r="H324">
        <f t="shared" si="23"/>
        <v>2.0118096250000002</v>
      </c>
    </row>
    <row r="325" spans="1:8" x14ac:dyDescent="0.25">
      <c r="A325">
        <v>1027</v>
      </c>
      <c r="B325">
        <v>10</v>
      </c>
      <c r="C325">
        <v>40.443425833333343</v>
      </c>
      <c r="D325">
        <v>29.277849391025551</v>
      </c>
      <c r="E325">
        <f t="shared" si="20"/>
        <v>0.16851427430555557</v>
      </c>
      <c r="F325">
        <f t="shared" si="21"/>
        <v>0.12199103912927313</v>
      </c>
      <c r="G325">
        <f t="shared" si="22"/>
        <v>3</v>
      </c>
      <c r="H325">
        <f t="shared" si="23"/>
        <v>2.022171291666667</v>
      </c>
    </row>
    <row r="326" spans="1:8" x14ac:dyDescent="0.25">
      <c r="A326">
        <v>1027</v>
      </c>
      <c r="B326">
        <v>11</v>
      </c>
      <c r="C326">
        <v>40.327538888888888</v>
      </c>
      <c r="D326">
        <v>29.095151250000001</v>
      </c>
      <c r="E326">
        <f t="shared" si="20"/>
        <v>0.16803141203703706</v>
      </c>
      <c r="F326">
        <f t="shared" si="21"/>
        <v>0.121229796875</v>
      </c>
      <c r="G326">
        <f t="shared" si="22"/>
        <v>3</v>
      </c>
      <c r="H326">
        <f t="shared" si="23"/>
        <v>2.0163769444444446</v>
      </c>
    </row>
    <row r="327" spans="1:8" x14ac:dyDescent="0.25">
      <c r="A327">
        <v>1027</v>
      </c>
      <c r="B327">
        <v>12</v>
      </c>
      <c r="C327">
        <v>40.539491111111111</v>
      </c>
      <c r="D327">
        <v>28.07884446581194</v>
      </c>
      <c r="E327">
        <f t="shared" si="20"/>
        <v>0.16891454629629629</v>
      </c>
      <c r="F327">
        <f t="shared" si="21"/>
        <v>0.11699518527421642</v>
      </c>
      <c r="G327">
        <f t="shared" si="22"/>
        <v>3</v>
      </c>
      <c r="H327">
        <f t="shared" si="23"/>
        <v>2.0269745555555554</v>
      </c>
    </row>
    <row r="328" spans="1:8" x14ac:dyDescent="0.25">
      <c r="A328">
        <v>1028</v>
      </c>
      <c r="B328">
        <v>1</v>
      </c>
      <c r="C328">
        <v>33.129444444444445</v>
      </c>
      <c r="D328">
        <v>31.725833333333334</v>
      </c>
      <c r="E328">
        <f t="shared" si="20"/>
        <v>0.13803935185185187</v>
      </c>
      <c r="F328">
        <f t="shared" si="21"/>
        <v>0.13219097222222223</v>
      </c>
      <c r="G328">
        <f t="shared" si="22"/>
        <v>2</v>
      </c>
      <c r="H328">
        <f t="shared" si="23"/>
        <v>1.6564722222222223</v>
      </c>
    </row>
    <row r="329" spans="1:8" x14ac:dyDescent="0.25">
      <c r="A329">
        <v>1028</v>
      </c>
      <c r="B329">
        <v>2</v>
      </c>
      <c r="C329">
        <v>35.768831666666657</v>
      </c>
      <c r="D329">
        <v>34.490860896464447</v>
      </c>
      <c r="E329">
        <f t="shared" si="20"/>
        <v>0.14903679861111108</v>
      </c>
      <c r="F329">
        <f t="shared" si="21"/>
        <v>0.1437119204019352</v>
      </c>
      <c r="G329">
        <f t="shared" si="22"/>
        <v>2</v>
      </c>
      <c r="H329">
        <f t="shared" si="23"/>
        <v>1.7884415833333329</v>
      </c>
    </row>
    <row r="330" spans="1:8" x14ac:dyDescent="0.25">
      <c r="A330">
        <v>1028</v>
      </c>
      <c r="B330">
        <v>3</v>
      </c>
      <c r="C330">
        <v>38.346372222222222</v>
      </c>
      <c r="D330">
        <v>35.501344888888887</v>
      </c>
      <c r="E330">
        <f t="shared" si="20"/>
        <v>0.15977655092592594</v>
      </c>
      <c r="F330">
        <f t="shared" si="21"/>
        <v>0.14792227037037037</v>
      </c>
      <c r="G330">
        <f t="shared" si="22"/>
        <v>2</v>
      </c>
      <c r="H330">
        <f t="shared" si="23"/>
        <v>1.9173186111111113</v>
      </c>
    </row>
    <row r="331" spans="1:8" x14ac:dyDescent="0.25">
      <c r="A331">
        <v>1028</v>
      </c>
      <c r="B331">
        <v>4</v>
      </c>
      <c r="C331">
        <v>35.924186666666657</v>
      </c>
      <c r="D331">
        <v>33.057213399470832</v>
      </c>
      <c r="E331">
        <f t="shared" si="20"/>
        <v>0.14968411111111107</v>
      </c>
      <c r="F331">
        <f t="shared" si="21"/>
        <v>0.13773838916446179</v>
      </c>
      <c r="G331">
        <f t="shared" si="22"/>
        <v>2</v>
      </c>
      <c r="H331">
        <f t="shared" si="23"/>
        <v>1.7962093333333329</v>
      </c>
    </row>
    <row r="332" spans="1:8" x14ac:dyDescent="0.25">
      <c r="A332">
        <v>1028</v>
      </c>
      <c r="B332">
        <v>5</v>
      </c>
      <c r="C332">
        <v>35.78398416666667</v>
      </c>
      <c r="D332">
        <v>35.504793236111112</v>
      </c>
      <c r="E332">
        <f t="shared" si="20"/>
        <v>0.1490999340277778</v>
      </c>
      <c r="F332">
        <f t="shared" si="21"/>
        <v>0.14793663848379632</v>
      </c>
      <c r="G332">
        <f t="shared" si="22"/>
        <v>2</v>
      </c>
      <c r="H332">
        <f t="shared" si="23"/>
        <v>1.7891992083333337</v>
      </c>
    </row>
    <row r="333" spans="1:8" x14ac:dyDescent="0.25">
      <c r="A333">
        <v>1028</v>
      </c>
      <c r="B333">
        <v>6</v>
      </c>
      <c r="C333">
        <v>36.08869277777778</v>
      </c>
      <c r="D333">
        <v>34.147688791666667</v>
      </c>
      <c r="E333">
        <f t="shared" si="20"/>
        <v>0.15036955324074075</v>
      </c>
      <c r="F333">
        <f t="shared" si="21"/>
        <v>0.14228203663194444</v>
      </c>
      <c r="G333">
        <f t="shared" si="22"/>
        <v>2</v>
      </c>
      <c r="H333">
        <f t="shared" si="23"/>
        <v>1.804434638888889</v>
      </c>
    </row>
    <row r="334" spans="1:8" x14ac:dyDescent="0.25">
      <c r="A334">
        <v>1028</v>
      </c>
      <c r="B334">
        <v>7</v>
      </c>
      <c r="C334">
        <v>35.781155555555557</v>
      </c>
      <c r="D334">
        <v>31.68334391534389</v>
      </c>
      <c r="E334">
        <f t="shared" si="20"/>
        <v>0.14908814814814816</v>
      </c>
      <c r="F334">
        <f t="shared" si="21"/>
        <v>0.13201393298059955</v>
      </c>
      <c r="G334">
        <f t="shared" si="22"/>
        <v>2</v>
      </c>
      <c r="H334">
        <f t="shared" si="23"/>
        <v>1.7890577777777779</v>
      </c>
    </row>
    <row r="335" spans="1:8" x14ac:dyDescent="0.25">
      <c r="A335">
        <v>1028</v>
      </c>
      <c r="B335">
        <v>8</v>
      </c>
      <c r="C335">
        <v>35.747214722222218</v>
      </c>
      <c r="D335">
        <v>34.652505869564997</v>
      </c>
      <c r="E335">
        <f t="shared" si="20"/>
        <v>0.14894672800925923</v>
      </c>
      <c r="F335">
        <f t="shared" si="21"/>
        <v>0.14438544112318749</v>
      </c>
      <c r="G335">
        <f t="shared" si="22"/>
        <v>2</v>
      </c>
      <c r="H335">
        <f t="shared" si="23"/>
        <v>1.7873607361111108</v>
      </c>
    </row>
    <row r="336" spans="1:8" x14ac:dyDescent="0.25">
      <c r="A336">
        <v>1028</v>
      </c>
      <c r="B336">
        <v>9</v>
      </c>
      <c r="C336">
        <v>35.771972222222217</v>
      </c>
      <c r="D336">
        <v>35.677075694444447</v>
      </c>
      <c r="E336">
        <f t="shared" si="20"/>
        <v>0.14904988425925925</v>
      </c>
      <c r="F336">
        <f t="shared" si="21"/>
        <v>0.14865448206018519</v>
      </c>
      <c r="G336">
        <f t="shared" si="22"/>
        <v>2</v>
      </c>
      <c r="H336">
        <f t="shared" si="23"/>
        <v>1.788598611111111</v>
      </c>
    </row>
    <row r="337" spans="1:8" x14ac:dyDescent="0.25">
      <c r="A337">
        <v>1028</v>
      </c>
      <c r="B337">
        <v>10</v>
      </c>
      <c r="C337">
        <v>35.738500833333333</v>
      </c>
      <c r="D337">
        <v>35.66827497474722</v>
      </c>
      <c r="E337">
        <f t="shared" si="20"/>
        <v>0.14891042013888889</v>
      </c>
      <c r="F337">
        <f t="shared" si="21"/>
        <v>0.14861781239478009</v>
      </c>
      <c r="G337">
        <f t="shared" si="22"/>
        <v>2</v>
      </c>
      <c r="H337">
        <f t="shared" si="23"/>
        <v>1.7869250416666667</v>
      </c>
    </row>
    <row r="338" spans="1:8" x14ac:dyDescent="0.25">
      <c r="A338">
        <v>1028</v>
      </c>
      <c r="B338">
        <v>11</v>
      </c>
      <c r="C338">
        <v>35.899767777777782</v>
      </c>
      <c r="D338">
        <v>35.347788964646391</v>
      </c>
      <c r="E338">
        <f t="shared" si="20"/>
        <v>0.14958236574074077</v>
      </c>
      <c r="F338">
        <f t="shared" si="21"/>
        <v>0.14728245401935997</v>
      </c>
      <c r="G338">
        <f t="shared" si="22"/>
        <v>2</v>
      </c>
      <c r="H338">
        <f t="shared" si="23"/>
        <v>1.7949883888888891</v>
      </c>
    </row>
    <row r="339" spans="1:8" x14ac:dyDescent="0.25">
      <c r="A339">
        <v>1028</v>
      </c>
      <c r="B339">
        <v>12</v>
      </c>
      <c r="C339">
        <v>36.701598333333337</v>
      </c>
      <c r="D339">
        <v>34.978528955026391</v>
      </c>
      <c r="E339">
        <f t="shared" si="20"/>
        <v>0.15292332638888892</v>
      </c>
      <c r="F339">
        <f t="shared" si="21"/>
        <v>0.1457438706459433</v>
      </c>
      <c r="G339">
        <f t="shared" si="22"/>
        <v>2</v>
      </c>
      <c r="H339">
        <f t="shared" si="23"/>
        <v>1.8350799166666669</v>
      </c>
    </row>
    <row r="340" spans="1:8" x14ac:dyDescent="0.25">
      <c r="A340">
        <v>1029</v>
      </c>
      <c r="B340">
        <v>1</v>
      </c>
      <c r="C340">
        <v>31.967499999999998</v>
      </c>
      <c r="D340">
        <v>31.366388888888888</v>
      </c>
      <c r="E340">
        <f t="shared" si="20"/>
        <v>0.13319791666666667</v>
      </c>
      <c r="F340">
        <f t="shared" si="21"/>
        <v>0.13069328703703703</v>
      </c>
      <c r="G340">
        <f t="shared" si="22"/>
        <v>2</v>
      </c>
      <c r="H340">
        <f t="shared" si="23"/>
        <v>1.5983749999999999</v>
      </c>
    </row>
    <row r="341" spans="1:8" x14ac:dyDescent="0.25">
      <c r="A341">
        <v>1029</v>
      </c>
      <c r="B341">
        <v>2</v>
      </c>
      <c r="C341">
        <v>34.805805833333331</v>
      </c>
      <c r="D341">
        <v>34.371937878787783</v>
      </c>
      <c r="E341">
        <f t="shared" si="20"/>
        <v>0.14502419097222222</v>
      </c>
      <c r="F341">
        <f t="shared" si="21"/>
        <v>0.14321640782828243</v>
      </c>
      <c r="G341">
        <f t="shared" si="22"/>
        <v>2</v>
      </c>
      <c r="H341">
        <f t="shared" si="23"/>
        <v>1.7402902916666667</v>
      </c>
    </row>
    <row r="342" spans="1:8" x14ac:dyDescent="0.25">
      <c r="A342">
        <v>1029</v>
      </c>
      <c r="B342">
        <v>3</v>
      </c>
      <c r="C342">
        <v>34.801209999999998</v>
      </c>
      <c r="D342">
        <v>34.661757250000001</v>
      </c>
      <c r="E342">
        <f t="shared" si="20"/>
        <v>0.14500504166666664</v>
      </c>
      <c r="F342">
        <f t="shared" si="21"/>
        <v>0.14442398854166669</v>
      </c>
      <c r="G342">
        <f t="shared" si="22"/>
        <v>2</v>
      </c>
      <c r="H342">
        <f t="shared" si="23"/>
        <v>1.7400604999999998</v>
      </c>
    </row>
    <row r="343" spans="1:8" x14ac:dyDescent="0.25">
      <c r="A343">
        <v>1029</v>
      </c>
      <c r="B343">
        <v>4</v>
      </c>
      <c r="C343">
        <v>35.36356416666667</v>
      </c>
      <c r="D343">
        <v>33.680735952380843</v>
      </c>
      <c r="E343">
        <f t="shared" si="20"/>
        <v>0.1473481840277778</v>
      </c>
      <c r="F343">
        <f t="shared" si="21"/>
        <v>0.14033639980158685</v>
      </c>
      <c r="G343">
        <f t="shared" si="22"/>
        <v>2</v>
      </c>
      <c r="H343">
        <f t="shared" si="23"/>
        <v>1.7681782083333335</v>
      </c>
    </row>
    <row r="344" spans="1:8" x14ac:dyDescent="0.25">
      <c r="A344">
        <v>1029</v>
      </c>
      <c r="B344">
        <v>5</v>
      </c>
      <c r="C344">
        <v>34.805827777777779</v>
      </c>
      <c r="D344">
        <v>34.648437874999999</v>
      </c>
      <c r="E344">
        <f t="shared" si="20"/>
        <v>0.14502428240740742</v>
      </c>
      <c r="F344">
        <f t="shared" si="21"/>
        <v>0.14436849114583333</v>
      </c>
      <c r="G344">
        <f t="shared" si="22"/>
        <v>2</v>
      </c>
      <c r="H344">
        <f t="shared" si="23"/>
        <v>1.7402913888888891</v>
      </c>
    </row>
    <row r="345" spans="1:8" x14ac:dyDescent="0.25">
      <c r="A345">
        <v>1029</v>
      </c>
      <c r="B345">
        <v>6</v>
      </c>
      <c r="C345">
        <v>34.840798888888891</v>
      </c>
      <c r="D345">
        <v>34.00241172222222</v>
      </c>
      <c r="E345">
        <f t="shared" si="20"/>
        <v>0.14516999537037037</v>
      </c>
      <c r="F345">
        <f t="shared" si="21"/>
        <v>0.14167671550925925</v>
      </c>
      <c r="G345">
        <f t="shared" si="22"/>
        <v>2</v>
      </c>
      <c r="H345">
        <f t="shared" si="23"/>
        <v>1.7420399444444445</v>
      </c>
    </row>
    <row r="346" spans="1:8" x14ac:dyDescent="0.25">
      <c r="A346">
        <v>1029</v>
      </c>
      <c r="B346">
        <v>7</v>
      </c>
      <c r="C346">
        <v>34.870852777777777</v>
      </c>
      <c r="D346">
        <v>32.986760753968063</v>
      </c>
      <c r="E346">
        <f t="shared" si="20"/>
        <v>0.1452952199074074</v>
      </c>
      <c r="F346">
        <f t="shared" si="21"/>
        <v>0.13744483647486694</v>
      </c>
      <c r="G346">
        <f t="shared" si="22"/>
        <v>2</v>
      </c>
      <c r="H346">
        <f t="shared" si="23"/>
        <v>1.7435426388888888</v>
      </c>
    </row>
    <row r="347" spans="1:8" x14ac:dyDescent="0.25">
      <c r="A347">
        <v>1029</v>
      </c>
      <c r="B347">
        <v>8</v>
      </c>
      <c r="C347">
        <v>34.862057222222219</v>
      </c>
      <c r="D347">
        <v>34.734586425120547</v>
      </c>
      <c r="E347">
        <f t="shared" si="20"/>
        <v>0.14525857175925924</v>
      </c>
      <c r="F347">
        <f t="shared" si="21"/>
        <v>0.14472744343800228</v>
      </c>
      <c r="G347">
        <f t="shared" si="22"/>
        <v>2</v>
      </c>
      <c r="H347">
        <f t="shared" si="23"/>
        <v>1.7431028611111108</v>
      </c>
    </row>
    <row r="348" spans="1:8" x14ac:dyDescent="0.25">
      <c r="A348">
        <v>1029</v>
      </c>
      <c r="B348">
        <v>9</v>
      </c>
      <c r="C348">
        <v>34.745341666666668</v>
      </c>
      <c r="D348">
        <v>34.522046291666669</v>
      </c>
      <c r="E348">
        <f t="shared" si="20"/>
        <v>0.14477225694444446</v>
      </c>
      <c r="F348">
        <f t="shared" si="21"/>
        <v>0.14384185954861112</v>
      </c>
      <c r="G348">
        <f t="shared" si="22"/>
        <v>2</v>
      </c>
      <c r="H348">
        <f t="shared" si="23"/>
        <v>1.7372670833333335</v>
      </c>
    </row>
    <row r="349" spans="1:8" x14ac:dyDescent="0.25">
      <c r="A349">
        <v>1029</v>
      </c>
      <c r="B349">
        <v>10</v>
      </c>
      <c r="C349">
        <v>34.781154444444446</v>
      </c>
      <c r="D349">
        <v>34.447104179292779</v>
      </c>
      <c r="E349">
        <f t="shared" si="20"/>
        <v>0.14492147685185186</v>
      </c>
      <c r="F349">
        <f t="shared" si="21"/>
        <v>0.14352960074705326</v>
      </c>
      <c r="G349">
        <f t="shared" si="22"/>
        <v>2</v>
      </c>
      <c r="H349">
        <f t="shared" si="23"/>
        <v>1.7390577222222223</v>
      </c>
    </row>
    <row r="350" spans="1:8" x14ac:dyDescent="0.25">
      <c r="A350">
        <v>1029</v>
      </c>
      <c r="B350">
        <v>11</v>
      </c>
      <c r="C350">
        <v>34.916495555555557</v>
      </c>
      <c r="D350">
        <v>33.929676212121109</v>
      </c>
      <c r="E350">
        <f t="shared" si="20"/>
        <v>0.14548539814814815</v>
      </c>
      <c r="F350">
        <f t="shared" si="21"/>
        <v>0.14137365088383794</v>
      </c>
      <c r="G350">
        <f t="shared" si="22"/>
        <v>2</v>
      </c>
      <c r="H350">
        <f t="shared" si="23"/>
        <v>1.7458247777777778</v>
      </c>
    </row>
    <row r="351" spans="1:8" x14ac:dyDescent="0.25">
      <c r="A351">
        <v>1029</v>
      </c>
      <c r="B351">
        <v>12</v>
      </c>
      <c r="C351">
        <v>34.815624166666673</v>
      </c>
      <c r="D351">
        <v>34.410403452380827</v>
      </c>
      <c r="E351">
        <f t="shared" si="20"/>
        <v>0.14506510069444448</v>
      </c>
      <c r="F351">
        <f t="shared" si="21"/>
        <v>0.14337668105158677</v>
      </c>
      <c r="G351">
        <f t="shared" si="22"/>
        <v>2</v>
      </c>
      <c r="H351">
        <f t="shared" si="23"/>
        <v>1.7407812083333338</v>
      </c>
    </row>
    <row r="352" spans="1:8" x14ac:dyDescent="0.25">
      <c r="A352">
        <v>1030</v>
      </c>
      <c r="B352">
        <v>1</v>
      </c>
      <c r="C352">
        <v>29.752500000000001</v>
      </c>
      <c r="D352">
        <v>12.959444444444445</v>
      </c>
      <c r="E352">
        <f t="shared" si="20"/>
        <v>0.12396875</v>
      </c>
      <c r="F352">
        <f t="shared" si="21"/>
        <v>5.399768518518519E-2</v>
      </c>
      <c r="G352">
        <f t="shared" si="22"/>
        <v>2</v>
      </c>
      <c r="H352">
        <f t="shared" si="23"/>
        <v>1.487625</v>
      </c>
    </row>
    <row r="353" spans="1:8" x14ac:dyDescent="0.25">
      <c r="A353">
        <v>1030</v>
      </c>
      <c r="B353">
        <v>2</v>
      </c>
      <c r="C353">
        <v>13.51893444444444</v>
      </c>
      <c r="D353">
        <v>7.2562060869563876</v>
      </c>
      <c r="E353">
        <f t="shared" si="20"/>
        <v>5.6328893518518497E-2</v>
      </c>
      <c r="F353">
        <f t="shared" si="21"/>
        <v>3.0234192028984946E-2</v>
      </c>
      <c r="G353">
        <f t="shared" si="22"/>
        <v>1</v>
      </c>
      <c r="H353">
        <f t="shared" si="23"/>
        <v>0.67594672222222196</v>
      </c>
    </row>
    <row r="354" spans="1:8" x14ac:dyDescent="0.25">
      <c r="A354">
        <v>1030</v>
      </c>
      <c r="B354">
        <v>3</v>
      </c>
      <c r="C354">
        <v>14.02083222222222</v>
      </c>
      <c r="D354">
        <v>6.9649518055555557</v>
      </c>
      <c r="E354">
        <f t="shared" si="20"/>
        <v>5.8420134259259245E-2</v>
      </c>
      <c r="F354">
        <f t="shared" si="21"/>
        <v>2.9020632523148151E-2</v>
      </c>
      <c r="G354">
        <f t="shared" si="22"/>
        <v>1</v>
      </c>
      <c r="H354">
        <f t="shared" si="23"/>
        <v>0.70104161111111096</v>
      </c>
    </row>
    <row r="355" spans="1:8" x14ac:dyDescent="0.25">
      <c r="A355">
        <v>1030</v>
      </c>
      <c r="B355">
        <v>4</v>
      </c>
      <c r="C355">
        <v>12.488086666666669</v>
      </c>
      <c r="D355">
        <v>6.3326394047616663</v>
      </c>
      <c r="E355">
        <f t="shared" si="20"/>
        <v>5.2033694444444452E-2</v>
      </c>
      <c r="F355">
        <f t="shared" si="21"/>
        <v>2.6385997519840276E-2</v>
      </c>
      <c r="G355">
        <f t="shared" si="22"/>
        <v>1</v>
      </c>
      <c r="H355">
        <f t="shared" si="23"/>
        <v>0.62440433333333345</v>
      </c>
    </row>
    <row r="356" spans="1:8" x14ac:dyDescent="0.25">
      <c r="A356">
        <v>1030</v>
      </c>
      <c r="B356">
        <v>5</v>
      </c>
      <c r="C356">
        <v>11.689139722222221</v>
      </c>
      <c r="D356">
        <v>5.7452572727272226</v>
      </c>
      <c r="E356">
        <f t="shared" si="20"/>
        <v>4.8704748842592592E-2</v>
      </c>
      <c r="F356">
        <f t="shared" si="21"/>
        <v>2.3938571969696759E-2</v>
      </c>
      <c r="G356">
        <f t="shared" si="22"/>
        <v>1</v>
      </c>
      <c r="H356">
        <f t="shared" si="23"/>
        <v>0.58445698611111108</v>
      </c>
    </row>
    <row r="357" spans="1:8" x14ac:dyDescent="0.25">
      <c r="A357">
        <v>1030</v>
      </c>
      <c r="B357">
        <v>6</v>
      </c>
      <c r="C357">
        <v>47.554488611111111</v>
      </c>
      <c r="D357">
        <v>10.913886262626111</v>
      </c>
      <c r="E357">
        <f t="shared" si="20"/>
        <v>0.19814370254629629</v>
      </c>
      <c r="F357">
        <f t="shared" si="21"/>
        <v>4.5474526094275464E-2</v>
      </c>
      <c r="G357">
        <f t="shared" si="22"/>
        <v>3</v>
      </c>
      <c r="H357">
        <f t="shared" si="23"/>
        <v>2.3777244305555554</v>
      </c>
    </row>
    <row r="358" spans="1:8" x14ac:dyDescent="0.25">
      <c r="A358">
        <v>1030</v>
      </c>
      <c r="B358">
        <v>7</v>
      </c>
      <c r="C358">
        <v>34.460878333333334</v>
      </c>
      <c r="D358">
        <v>12.869424550264441</v>
      </c>
      <c r="E358">
        <f t="shared" si="20"/>
        <v>0.14358699305555556</v>
      </c>
      <c r="F358">
        <f t="shared" si="21"/>
        <v>5.3622602292768502E-2</v>
      </c>
      <c r="G358">
        <f t="shared" si="22"/>
        <v>2</v>
      </c>
      <c r="H358">
        <f t="shared" si="23"/>
        <v>1.7230439166666667</v>
      </c>
    </row>
    <row r="359" spans="1:8" x14ac:dyDescent="0.25">
      <c r="A359">
        <v>1030</v>
      </c>
      <c r="B359">
        <v>8</v>
      </c>
      <c r="C359">
        <v>37.526944999999998</v>
      </c>
      <c r="D359">
        <v>16.68895463768111</v>
      </c>
      <c r="E359">
        <f t="shared" si="20"/>
        <v>0.15636227083333332</v>
      </c>
      <c r="F359">
        <f t="shared" si="21"/>
        <v>6.9537310990337955E-2</v>
      </c>
      <c r="G359">
        <f t="shared" si="22"/>
        <v>2</v>
      </c>
      <c r="H359">
        <f t="shared" si="23"/>
        <v>1.8763472499999998</v>
      </c>
    </row>
    <row r="360" spans="1:8" x14ac:dyDescent="0.25">
      <c r="A360">
        <v>1030</v>
      </c>
      <c r="B360">
        <v>9</v>
      </c>
      <c r="C360">
        <v>28.544599166666671</v>
      </c>
      <c r="D360">
        <v>14.007625916666671</v>
      </c>
      <c r="E360">
        <f t="shared" si="20"/>
        <v>0.11893582986111113</v>
      </c>
      <c r="F360">
        <f t="shared" si="21"/>
        <v>5.836510798611113E-2</v>
      </c>
      <c r="G360">
        <f t="shared" si="22"/>
        <v>2</v>
      </c>
      <c r="H360">
        <f t="shared" si="23"/>
        <v>1.4272299583333337</v>
      </c>
    </row>
    <row r="361" spans="1:8" x14ac:dyDescent="0.25">
      <c r="A361">
        <v>1030</v>
      </c>
      <c r="B361">
        <v>10</v>
      </c>
      <c r="C361">
        <v>57.041933055555553</v>
      </c>
      <c r="D361">
        <v>31.361739229797781</v>
      </c>
      <c r="E361">
        <f t="shared" si="20"/>
        <v>0.2376747210648148</v>
      </c>
      <c r="F361">
        <f t="shared" si="21"/>
        <v>0.13067391345749077</v>
      </c>
      <c r="G361">
        <f t="shared" si="22"/>
        <v>3</v>
      </c>
      <c r="H361">
        <f t="shared" si="23"/>
        <v>2.8520966527777776</v>
      </c>
    </row>
    <row r="362" spans="1:8" x14ac:dyDescent="0.25">
      <c r="A362">
        <v>1030</v>
      </c>
      <c r="B362">
        <v>11</v>
      </c>
      <c r="C362">
        <v>54.256290555555559</v>
      </c>
      <c r="D362">
        <v>21.504443731883889</v>
      </c>
      <c r="E362">
        <f t="shared" si="20"/>
        <v>0.22606787731481481</v>
      </c>
      <c r="F362">
        <f t="shared" si="21"/>
        <v>8.9601848882849541E-2</v>
      </c>
      <c r="G362">
        <f t="shared" si="22"/>
        <v>3</v>
      </c>
      <c r="H362">
        <f t="shared" si="23"/>
        <v>2.7128145277777778</v>
      </c>
    </row>
    <row r="363" spans="1:8" x14ac:dyDescent="0.25">
      <c r="A363">
        <v>1030</v>
      </c>
      <c r="B363">
        <v>12</v>
      </c>
      <c r="C363">
        <v>45.926876111111113</v>
      </c>
      <c r="D363">
        <v>21.86779784391528</v>
      </c>
      <c r="E363">
        <f t="shared" si="20"/>
        <v>0.19136198379629632</v>
      </c>
      <c r="F363">
        <f t="shared" si="21"/>
        <v>9.1115824349647004E-2</v>
      </c>
      <c r="G363">
        <f t="shared" si="22"/>
        <v>3</v>
      </c>
      <c r="H363">
        <f t="shared" si="23"/>
        <v>2.2963438055555558</v>
      </c>
    </row>
    <row r="364" spans="1:8" x14ac:dyDescent="0.25">
      <c r="A364">
        <v>1031</v>
      </c>
      <c r="B364">
        <v>1</v>
      </c>
      <c r="C364">
        <v>27.383055555555554</v>
      </c>
      <c r="D364">
        <v>14.091111111111111</v>
      </c>
      <c r="E364">
        <f t="shared" si="20"/>
        <v>0.11409606481481481</v>
      </c>
      <c r="F364">
        <f t="shared" si="21"/>
        <v>5.8712962962962967E-2</v>
      </c>
      <c r="G364">
        <f t="shared" si="22"/>
        <v>2</v>
      </c>
      <c r="H364">
        <f t="shared" si="23"/>
        <v>1.3691527777777777</v>
      </c>
    </row>
    <row r="365" spans="1:8" x14ac:dyDescent="0.25">
      <c r="A365">
        <v>1031</v>
      </c>
      <c r="B365">
        <v>2</v>
      </c>
      <c r="C365">
        <v>46.328020000000002</v>
      </c>
      <c r="D365">
        <v>19.662356613756391</v>
      </c>
      <c r="E365">
        <f t="shared" si="20"/>
        <v>0.19303341666666665</v>
      </c>
      <c r="F365">
        <f t="shared" si="21"/>
        <v>8.1926485890651629E-2</v>
      </c>
      <c r="G365">
        <f t="shared" si="22"/>
        <v>3</v>
      </c>
      <c r="H365">
        <f t="shared" si="23"/>
        <v>2.3164009999999999</v>
      </c>
    </row>
    <row r="366" spans="1:8" x14ac:dyDescent="0.25">
      <c r="A366">
        <v>1031</v>
      </c>
      <c r="B366">
        <v>3</v>
      </c>
      <c r="C366">
        <v>23.626302222222218</v>
      </c>
      <c r="D366">
        <v>13.68811494444444</v>
      </c>
      <c r="E366">
        <f t="shared" si="20"/>
        <v>9.8442925925925906E-2</v>
      </c>
      <c r="F366">
        <f t="shared" si="21"/>
        <v>5.7033812268518502E-2</v>
      </c>
      <c r="G366">
        <f t="shared" si="22"/>
        <v>2</v>
      </c>
      <c r="H366">
        <f t="shared" si="23"/>
        <v>1.1813151111111109</v>
      </c>
    </row>
    <row r="367" spans="1:8" x14ac:dyDescent="0.25">
      <c r="A367">
        <v>1031</v>
      </c>
      <c r="B367">
        <v>4</v>
      </c>
      <c r="C367">
        <v>45.768081111111108</v>
      </c>
      <c r="D367">
        <v>21.098024947089719</v>
      </c>
      <c r="E367">
        <f t="shared" si="20"/>
        <v>0.19070033796296296</v>
      </c>
      <c r="F367">
        <f t="shared" si="21"/>
        <v>8.7908437279540494E-2</v>
      </c>
      <c r="G367">
        <f t="shared" si="22"/>
        <v>3</v>
      </c>
      <c r="H367">
        <f t="shared" si="23"/>
        <v>2.2884040555555556</v>
      </c>
    </row>
    <row r="368" spans="1:8" x14ac:dyDescent="0.25">
      <c r="A368">
        <v>1031</v>
      </c>
      <c r="B368">
        <v>5</v>
      </c>
      <c r="C368">
        <v>45.133461666666669</v>
      </c>
      <c r="D368">
        <v>35.610016361111107</v>
      </c>
      <c r="E368">
        <f t="shared" si="20"/>
        <v>0.18805609027777778</v>
      </c>
      <c r="F368">
        <f t="shared" si="21"/>
        <v>0.14837506817129628</v>
      </c>
      <c r="G368">
        <f t="shared" si="22"/>
        <v>3</v>
      </c>
      <c r="H368">
        <f t="shared" si="23"/>
        <v>2.2566730833333333</v>
      </c>
    </row>
    <row r="369" spans="1:8" x14ac:dyDescent="0.25">
      <c r="A369">
        <v>1031</v>
      </c>
      <c r="B369">
        <v>6</v>
      </c>
      <c r="C369">
        <v>43.692856666666657</v>
      </c>
      <c r="D369">
        <v>20.492998208333329</v>
      </c>
      <c r="E369">
        <f t="shared" si="20"/>
        <v>0.1820535694444444</v>
      </c>
      <c r="F369">
        <f t="shared" si="21"/>
        <v>8.5387492534722206E-2</v>
      </c>
      <c r="G369">
        <f t="shared" si="22"/>
        <v>3</v>
      </c>
      <c r="H369">
        <f t="shared" si="23"/>
        <v>2.1846428333333328</v>
      </c>
    </row>
    <row r="370" spans="1:8" x14ac:dyDescent="0.25">
      <c r="A370">
        <v>1031</v>
      </c>
      <c r="B370">
        <v>7</v>
      </c>
      <c r="C370">
        <v>20.301666111111111</v>
      </c>
      <c r="D370">
        <v>10.860107152777781</v>
      </c>
      <c r="E370">
        <f t="shared" si="20"/>
        <v>8.4590275462962952E-2</v>
      </c>
      <c r="F370">
        <f t="shared" si="21"/>
        <v>4.5250446469907418E-2</v>
      </c>
      <c r="G370">
        <f t="shared" si="22"/>
        <v>2</v>
      </c>
      <c r="H370">
        <f t="shared" si="23"/>
        <v>1.0150833055555555</v>
      </c>
    </row>
    <row r="371" spans="1:8" x14ac:dyDescent="0.25">
      <c r="A371">
        <v>1031</v>
      </c>
      <c r="B371">
        <v>8</v>
      </c>
      <c r="C371">
        <v>19.072361666666669</v>
      </c>
      <c r="D371">
        <v>9.518722004830833</v>
      </c>
      <c r="E371">
        <f t="shared" si="20"/>
        <v>7.9468173611111123E-2</v>
      </c>
      <c r="F371">
        <f t="shared" si="21"/>
        <v>3.9661341686795137E-2</v>
      </c>
      <c r="G371">
        <f t="shared" si="22"/>
        <v>1</v>
      </c>
      <c r="H371">
        <f t="shared" si="23"/>
        <v>0.95361808333333342</v>
      </c>
    </row>
    <row r="372" spans="1:8" x14ac:dyDescent="0.25">
      <c r="A372">
        <v>1031</v>
      </c>
      <c r="B372">
        <v>9</v>
      </c>
      <c r="C372">
        <v>27.17802416666667</v>
      </c>
      <c r="D372">
        <v>9.0188122499999999</v>
      </c>
      <c r="E372">
        <f t="shared" si="20"/>
        <v>0.11324176736111113</v>
      </c>
      <c r="F372">
        <f t="shared" si="21"/>
        <v>3.7578384375000003E-2</v>
      </c>
      <c r="G372">
        <f t="shared" si="22"/>
        <v>2</v>
      </c>
      <c r="H372">
        <f t="shared" si="23"/>
        <v>1.3589012083333336</v>
      </c>
    </row>
    <row r="373" spans="1:8" x14ac:dyDescent="0.25">
      <c r="A373">
        <v>1031</v>
      </c>
      <c r="B373">
        <v>10</v>
      </c>
      <c r="C373">
        <v>24.07890444444444</v>
      </c>
      <c r="D373">
        <v>10.61868896464639</v>
      </c>
      <c r="E373">
        <f t="shared" si="20"/>
        <v>0.1003287685185185</v>
      </c>
      <c r="F373">
        <f t="shared" si="21"/>
        <v>4.4244537352693292E-2</v>
      </c>
      <c r="G373">
        <f t="shared" si="22"/>
        <v>2</v>
      </c>
      <c r="H373">
        <f t="shared" si="23"/>
        <v>1.203945222222222</v>
      </c>
    </row>
    <row r="374" spans="1:8" x14ac:dyDescent="0.25">
      <c r="A374">
        <v>1031</v>
      </c>
      <c r="B374">
        <v>11</v>
      </c>
      <c r="C374">
        <v>21.932844444444449</v>
      </c>
      <c r="D374">
        <v>11.29071297979778</v>
      </c>
      <c r="E374">
        <f t="shared" si="20"/>
        <v>9.1386851851851872E-2</v>
      </c>
      <c r="F374">
        <f t="shared" si="21"/>
        <v>4.7044637415824077E-2</v>
      </c>
      <c r="G374">
        <f t="shared" si="22"/>
        <v>2</v>
      </c>
      <c r="H374">
        <f t="shared" si="23"/>
        <v>1.0966422222222225</v>
      </c>
    </row>
    <row r="375" spans="1:8" x14ac:dyDescent="0.25">
      <c r="A375">
        <v>1031</v>
      </c>
      <c r="B375">
        <v>12</v>
      </c>
      <c r="C375">
        <v>11.48371138888889</v>
      </c>
      <c r="D375">
        <v>7.2332008333333331</v>
      </c>
      <c r="E375">
        <f t="shared" si="20"/>
        <v>4.7848797453703712E-2</v>
      </c>
      <c r="F375">
        <f t="shared" si="21"/>
        <v>3.0138336805555554E-2</v>
      </c>
      <c r="G375">
        <f t="shared" si="22"/>
        <v>1</v>
      </c>
      <c r="H375">
        <f t="shared" si="23"/>
        <v>0.57418556944444454</v>
      </c>
    </row>
    <row r="376" spans="1:8" x14ac:dyDescent="0.25">
      <c r="A376">
        <v>1032</v>
      </c>
      <c r="B376">
        <v>1</v>
      </c>
      <c r="C376">
        <v>27.128055555555555</v>
      </c>
      <c r="D376">
        <v>26.193055555555553</v>
      </c>
      <c r="E376">
        <f t="shared" si="20"/>
        <v>0.11303356481481482</v>
      </c>
      <c r="F376">
        <f t="shared" si="21"/>
        <v>0.10913773148148147</v>
      </c>
      <c r="G376">
        <f t="shared" si="22"/>
        <v>2</v>
      </c>
      <c r="H376">
        <f t="shared" si="23"/>
        <v>1.3564027777777778</v>
      </c>
    </row>
    <row r="377" spans="1:8" x14ac:dyDescent="0.25">
      <c r="A377">
        <v>1032</v>
      </c>
      <c r="B377">
        <v>2</v>
      </c>
      <c r="C377">
        <v>29.324075000000001</v>
      </c>
      <c r="D377">
        <v>28.67933508838361</v>
      </c>
      <c r="E377">
        <f t="shared" si="20"/>
        <v>0.12218364583333334</v>
      </c>
      <c r="F377">
        <f t="shared" si="21"/>
        <v>0.11949722953493171</v>
      </c>
      <c r="G377">
        <f t="shared" si="22"/>
        <v>2</v>
      </c>
      <c r="H377">
        <f t="shared" si="23"/>
        <v>1.46620375</v>
      </c>
    </row>
    <row r="378" spans="1:8" x14ac:dyDescent="0.25">
      <c r="A378">
        <v>1032</v>
      </c>
      <c r="B378">
        <v>3</v>
      </c>
      <c r="C378">
        <v>29.39787055555556</v>
      </c>
      <c r="D378">
        <v>28.960355666666668</v>
      </c>
      <c r="E378">
        <f t="shared" si="20"/>
        <v>0.12249112731481483</v>
      </c>
      <c r="F378">
        <f t="shared" si="21"/>
        <v>0.12066814861111112</v>
      </c>
      <c r="G378">
        <f t="shared" si="22"/>
        <v>2</v>
      </c>
      <c r="H378">
        <f t="shared" si="23"/>
        <v>1.469893527777778</v>
      </c>
    </row>
    <row r="379" spans="1:8" x14ac:dyDescent="0.25">
      <c r="A379">
        <v>1032</v>
      </c>
      <c r="B379">
        <v>4</v>
      </c>
      <c r="C379">
        <v>29.398525277777779</v>
      </c>
      <c r="D379">
        <v>28.92984195767194</v>
      </c>
      <c r="E379">
        <f t="shared" si="20"/>
        <v>0.12249385532407409</v>
      </c>
      <c r="F379">
        <f t="shared" si="21"/>
        <v>0.1205410081569664</v>
      </c>
      <c r="G379">
        <f t="shared" si="22"/>
        <v>2</v>
      </c>
      <c r="H379">
        <f t="shared" si="23"/>
        <v>1.469926263888889</v>
      </c>
    </row>
    <row r="380" spans="1:8" x14ac:dyDescent="0.25">
      <c r="A380">
        <v>1032</v>
      </c>
      <c r="B380">
        <v>5</v>
      </c>
      <c r="C380">
        <v>30.294928611111111</v>
      </c>
      <c r="D380">
        <v>27.821473373015831</v>
      </c>
      <c r="E380">
        <f t="shared" si="20"/>
        <v>0.12622886921296297</v>
      </c>
      <c r="F380">
        <f t="shared" si="21"/>
        <v>0.1159228057208993</v>
      </c>
      <c r="G380">
        <f t="shared" si="22"/>
        <v>2</v>
      </c>
      <c r="H380">
        <f t="shared" si="23"/>
        <v>1.5147464305555558</v>
      </c>
    </row>
    <row r="381" spans="1:8" x14ac:dyDescent="0.25">
      <c r="A381">
        <v>1032</v>
      </c>
      <c r="B381">
        <v>6</v>
      </c>
      <c r="C381">
        <v>29.83583472222222</v>
      </c>
      <c r="D381">
        <v>28.874536555555551</v>
      </c>
      <c r="E381">
        <f t="shared" si="20"/>
        <v>0.12431597800925925</v>
      </c>
      <c r="F381">
        <f t="shared" si="21"/>
        <v>0.12031056898148146</v>
      </c>
      <c r="G381">
        <f t="shared" si="22"/>
        <v>2</v>
      </c>
      <c r="H381">
        <f t="shared" si="23"/>
        <v>1.491791736111111</v>
      </c>
    </row>
    <row r="382" spans="1:8" x14ac:dyDescent="0.25">
      <c r="A382">
        <v>1032</v>
      </c>
      <c r="B382">
        <v>7</v>
      </c>
      <c r="C382">
        <v>29.534931666666669</v>
      </c>
      <c r="D382">
        <v>27.769388928571392</v>
      </c>
      <c r="E382">
        <f t="shared" si="20"/>
        <v>0.12306221527777779</v>
      </c>
      <c r="F382">
        <f t="shared" si="21"/>
        <v>0.1157057872023808</v>
      </c>
      <c r="G382">
        <f t="shared" si="22"/>
        <v>2</v>
      </c>
      <c r="H382">
        <f t="shared" si="23"/>
        <v>1.4767465833333335</v>
      </c>
    </row>
    <row r="383" spans="1:8" x14ac:dyDescent="0.25">
      <c r="A383">
        <v>1032</v>
      </c>
      <c r="B383">
        <v>8</v>
      </c>
      <c r="C383">
        <v>29.429883888888892</v>
      </c>
      <c r="D383">
        <v>28.580527705313891</v>
      </c>
      <c r="E383">
        <f t="shared" si="20"/>
        <v>0.12262451620370372</v>
      </c>
      <c r="F383">
        <f t="shared" si="21"/>
        <v>0.11908553210547455</v>
      </c>
      <c r="G383">
        <f t="shared" si="22"/>
        <v>2</v>
      </c>
      <c r="H383">
        <f t="shared" si="23"/>
        <v>1.4714941944444446</v>
      </c>
    </row>
    <row r="384" spans="1:8" x14ac:dyDescent="0.25">
      <c r="A384">
        <v>1032</v>
      </c>
      <c r="B384">
        <v>9</v>
      </c>
      <c r="C384">
        <v>29.489430277777782</v>
      </c>
      <c r="D384">
        <v>28.961313722222219</v>
      </c>
      <c r="E384">
        <f t="shared" si="20"/>
        <v>0.12287262615740742</v>
      </c>
      <c r="F384">
        <f t="shared" si="21"/>
        <v>0.12067214050925924</v>
      </c>
      <c r="G384">
        <f t="shared" si="22"/>
        <v>2</v>
      </c>
      <c r="H384">
        <f t="shared" si="23"/>
        <v>1.4744715138888891</v>
      </c>
    </row>
    <row r="385" spans="1:8" x14ac:dyDescent="0.25">
      <c r="A385">
        <v>1032</v>
      </c>
      <c r="B385">
        <v>10</v>
      </c>
      <c r="C385">
        <v>29.345353333333328</v>
      </c>
      <c r="D385">
        <v>28.918777664141391</v>
      </c>
      <c r="E385">
        <f t="shared" si="20"/>
        <v>0.12227230555555553</v>
      </c>
      <c r="F385">
        <f t="shared" si="21"/>
        <v>0.12049490693392247</v>
      </c>
      <c r="G385">
        <f t="shared" si="22"/>
        <v>2</v>
      </c>
      <c r="H385">
        <f t="shared" si="23"/>
        <v>1.4672676666666664</v>
      </c>
    </row>
    <row r="386" spans="1:8" x14ac:dyDescent="0.25">
      <c r="A386">
        <v>1032</v>
      </c>
      <c r="B386">
        <v>11</v>
      </c>
      <c r="C386">
        <v>29.792302777777781</v>
      </c>
      <c r="D386">
        <v>28.180786780302778</v>
      </c>
      <c r="E386">
        <f t="shared" ref="E386:E449" si="24">+C386/20/12</f>
        <v>0.12413459490740741</v>
      </c>
      <c r="F386">
        <f t="shared" ref="F386:F449" si="25">+D386/20/12</f>
        <v>0.11741994491792825</v>
      </c>
      <c r="G386">
        <f t="shared" ref="G386:G449" si="26">+ROUNDUP(E386*12,0)</f>
        <v>2</v>
      </c>
      <c r="H386">
        <f t="shared" ref="H386:H449" si="27">+E386*12</f>
        <v>1.489615138888889</v>
      </c>
    </row>
    <row r="387" spans="1:8" x14ac:dyDescent="0.25">
      <c r="A387">
        <v>1032</v>
      </c>
      <c r="B387">
        <v>12</v>
      </c>
      <c r="C387">
        <v>29.691997499999999</v>
      </c>
      <c r="D387">
        <v>28.639781455026391</v>
      </c>
      <c r="E387">
        <f t="shared" si="24"/>
        <v>0.12371665625</v>
      </c>
      <c r="F387">
        <f t="shared" si="25"/>
        <v>0.11933242272927663</v>
      </c>
      <c r="G387">
        <f t="shared" si="26"/>
        <v>2</v>
      </c>
      <c r="H387">
        <f t="shared" si="27"/>
        <v>1.484599875</v>
      </c>
    </row>
    <row r="388" spans="1:8" x14ac:dyDescent="0.25">
      <c r="A388">
        <v>1033</v>
      </c>
      <c r="B388">
        <v>1</v>
      </c>
      <c r="C388">
        <v>25.188888888888886</v>
      </c>
      <c r="D388">
        <v>23.733888888888888</v>
      </c>
      <c r="E388">
        <f t="shared" si="24"/>
        <v>0.1049537037037037</v>
      </c>
      <c r="F388">
        <f t="shared" si="25"/>
        <v>9.8891203703703703E-2</v>
      </c>
      <c r="G388">
        <f t="shared" si="26"/>
        <v>2</v>
      </c>
      <c r="H388">
        <f t="shared" si="27"/>
        <v>1.2594444444444444</v>
      </c>
    </row>
    <row r="389" spans="1:8" x14ac:dyDescent="0.25">
      <c r="A389">
        <v>1033</v>
      </c>
      <c r="B389">
        <v>2</v>
      </c>
      <c r="C389">
        <v>25.551178611111109</v>
      </c>
      <c r="D389">
        <v>25.02308183080806</v>
      </c>
      <c r="E389">
        <f t="shared" si="24"/>
        <v>0.10646324421296295</v>
      </c>
      <c r="F389">
        <f t="shared" si="25"/>
        <v>0.10426284096170024</v>
      </c>
      <c r="G389">
        <f t="shared" si="26"/>
        <v>2</v>
      </c>
      <c r="H389">
        <f t="shared" si="27"/>
        <v>1.2775589305555555</v>
      </c>
    </row>
    <row r="390" spans="1:8" x14ac:dyDescent="0.25">
      <c r="A390">
        <v>1033</v>
      </c>
      <c r="B390">
        <v>3</v>
      </c>
      <c r="C390">
        <v>25.713670555555559</v>
      </c>
      <c r="D390">
        <v>25.251519986111109</v>
      </c>
      <c r="E390">
        <f t="shared" si="24"/>
        <v>0.1071402939814815</v>
      </c>
      <c r="F390">
        <f t="shared" si="25"/>
        <v>0.10521466660879629</v>
      </c>
      <c r="G390">
        <f t="shared" si="26"/>
        <v>2</v>
      </c>
      <c r="H390">
        <f t="shared" si="27"/>
        <v>1.2856835277777781</v>
      </c>
    </row>
    <row r="391" spans="1:8" x14ac:dyDescent="0.25">
      <c r="A391">
        <v>1033</v>
      </c>
      <c r="B391">
        <v>4</v>
      </c>
      <c r="C391">
        <v>25.49193416666667</v>
      </c>
      <c r="D391">
        <v>24.548418796296112</v>
      </c>
      <c r="E391">
        <f t="shared" si="24"/>
        <v>0.10621639236111113</v>
      </c>
      <c r="F391">
        <f t="shared" si="25"/>
        <v>0.10228507831790046</v>
      </c>
      <c r="G391">
        <f t="shared" si="26"/>
        <v>2</v>
      </c>
      <c r="H391">
        <f t="shared" si="27"/>
        <v>1.2745967083333336</v>
      </c>
    </row>
    <row r="392" spans="1:8" x14ac:dyDescent="0.25">
      <c r="A392">
        <v>1033</v>
      </c>
      <c r="B392">
        <v>5</v>
      </c>
      <c r="C392">
        <v>26.012338611111112</v>
      </c>
      <c r="D392">
        <v>25.445704347222222</v>
      </c>
      <c r="E392">
        <f t="shared" si="24"/>
        <v>0.10838474421296296</v>
      </c>
      <c r="F392">
        <f t="shared" si="25"/>
        <v>0.10602376811342591</v>
      </c>
      <c r="G392">
        <f t="shared" si="26"/>
        <v>2</v>
      </c>
      <c r="H392">
        <f t="shared" si="27"/>
        <v>1.3006169305555555</v>
      </c>
    </row>
    <row r="393" spans="1:8" x14ac:dyDescent="0.25">
      <c r="A393">
        <v>1033</v>
      </c>
      <c r="B393">
        <v>6</v>
      </c>
      <c r="C393">
        <v>26.218085277777782</v>
      </c>
      <c r="D393">
        <v>22.264381719576669</v>
      </c>
      <c r="E393">
        <f t="shared" si="24"/>
        <v>0.10924202199074075</v>
      </c>
      <c r="F393">
        <f t="shared" si="25"/>
        <v>9.2768257164902779E-2</v>
      </c>
      <c r="G393">
        <f t="shared" si="26"/>
        <v>2</v>
      </c>
      <c r="H393">
        <f t="shared" si="27"/>
        <v>1.310904263888889</v>
      </c>
    </row>
    <row r="394" spans="1:8" x14ac:dyDescent="0.25">
      <c r="A394">
        <v>1033</v>
      </c>
      <c r="B394">
        <v>7</v>
      </c>
      <c r="C394">
        <v>25.62679444444445</v>
      </c>
      <c r="D394">
        <v>24.290494695766949</v>
      </c>
      <c r="E394">
        <f t="shared" si="24"/>
        <v>0.1067783101851852</v>
      </c>
      <c r="F394">
        <f t="shared" si="25"/>
        <v>0.10121039456569562</v>
      </c>
      <c r="G394">
        <f t="shared" si="26"/>
        <v>2</v>
      </c>
      <c r="H394">
        <f t="shared" si="27"/>
        <v>1.2813397222222225</v>
      </c>
    </row>
    <row r="395" spans="1:8" x14ac:dyDescent="0.25">
      <c r="A395">
        <v>1033</v>
      </c>
      <c r="B395">
        <v>8</v>
      </c>
      <c r="C395">
        <v>25.609161944444441</v>
      </c>
      <c r="D395">
        <v>25.454538321255828</v>
      </c>
      <c r="E395">
        <f t="shared" si="24"/>
        <v>0.10670484143518517</v>
      </c>
      <c r="F395">
        <f t="shared" si="25"/>
        <v>0.10606057633856596</v>
      </c>
      <c r="G395">
        <f t="shared" si="26"/>
        <v>2</v>
      </c>
      <c r="H395">
        <f t="shared" si="27"/>
        <v>1.2804580972222221</v>
      </c>
    </row>
    <row r="396" spans="1:8" x14ac:dyDescent="0.25">
      <c r="A396">
        <v>1033</v>
      </c>
      <c r="B396">
        <v>9</v>
      </c>
      <c r="C396">
        <v>28.88877861111111</v>
      </c>
      <c r="D396">
        <v>28.394178875000001</v>
      </c>
      <c r="E396">
        <f t="shared" si="24"/>
        <v>0.12036991087962963</v>
      </c>
      <c r="F396">
        <f t="shared" si="25"/>
        <v>0.11830907864583334</v>
      </c>
      <c r="G396">
        <f t="shared" si="26"/>
        <v>2</v>
      </c>
      <c r="H396">
        <f t="shared" si="27"/>
        <v>1.4444389305555556</v>
      </c>
    </row>
    <row r="397" spans="1:8" x14ac:dyDescent="0.25">
      <c r="A397">
        <v>1033</v>
      </c>
      <c r="B397">
        <v>10</v>
      </c>
      <c r="C397">
        <v>28.944449444444441</v>
      </c>
      <c r="D397">
        <v>28.527094987373609</v>
      </c>
      <c r="E397">
        <f t="shared" si="24"/>
        <v>0.12060187268518517</v>
      </c>
      <c r="F397">
        <f t="shared" si="25"/>
        <v>0.11886289578072336</v>
      </c>
      <c r="G397">
        <f t="shared" si="26"/>
        <v>2</v>
      </c>
      <c r="H397">
        <f t="shared" si="27"/>
        <v>1.447222472222222</v>
      </c>
    </row>
    <row r="398" spans="1:8" x14ac:dyDescent="0.25">
      <c r="A398">
        <v>1033</v>
      </c>
      <c r="B398">
        <v>11</v>
      </c>
      <c r="C398">
        <v>35.115863611111109</v>
      </c>
      <c r="D398">
        <v>28.558252702019999</v>
      </c>
      <c r="E398">
        <f t="shared" si="24"/>
        <v>0.14631609837962964</v>
      </c>
      <c r="F398">
        <f t="shared" si="25"/>
        <v>0.11899271959174999</v>
      </c>
      <c r="G398">
        <f t="shared" si="26"/>
        <v>2</v>
      </c>
      <c r="H398">
        <f t="shared" si="27"/>
        <v>1.7557931805555556</v>
      </c>
    </row>
    <row r="399" spans="1:8" x14ac:dyDescent="0.25">
      <c r="A399">
        <v>1033</v>
      </c>
      <c r="B399">
        <v>12</v>
      </c>
      <c r="C399">
        <v>29.093900277777781</v>
      </c>
      <c r="D399">
        <v>27.048260568783061</v>
      </c>
      <c r="E399">
        <f t="shared" si="24"/>
        <v>0.12122458449074075</v>
      </c>
      <c r="F399">
        <f t="shared" si="25"/>
        <v>0.11270108570326276</v>
      </c>
      <c r="G399">
        <f t="shared" si="26"/>
        <v>2</v>
      </c>
      <c r="H399">
        <f t="shared" si="27"/>
        <v>1.454695013888889</v>
      </c>
    </row>
    <row r="400" spans="1:8" x14ac:dyDescent="0.25">
      <c r="A400">
        <v>1034</v>
      </c>
      <c r="B400">
        <v>1</v>
      </c>
      <c r="C400">
        <v>24.030555555555555</v>
      </c>
      <c r="D400">
        <v>18.067777777777778</v>
      </c>
      <c r="E400">
        <f t="shared" si="24"/>
        <v>0.10012731481481481</v>
      </c>
      <c r="F400">
        <f t="shared" si="25"/>
        <v>7.5282407407407409E-2</v>
      </c>
      <c r="G400">
        <f t="shared" si="26"/>
        <v>2</v>
      </c>
      <c r="H400">
        <f t="shared" si="27"/>
        <v>1.2015277777777778</v>
      </c>
    </row>
    <row r="401" spans="1:8" x14ac:dyDescent="0.25">
      <c r="A401">
        <v>1034</v>
      </c>
      <c r="B401">
        <v>2</v>
      </c>
      <c r="C401">
        <v>38.042086944444442</v>
      </c>
      <c r="D401">
        <v>17.476671736111111</v>
      </c>
      <c r="E401">
        <f t="shared" si="24"/>
        <v>0.15850869560185185</v>
      </c>
      <c r="F401">
        <f t="shared" si="25"/>
        <v>7.2819465567129635E-2</v>
      </c>
      <c r="G401">
        <f t="shared" si="26"/>
        <v>2</v>
      </c>
      <c r="H401">
        <f t="shared" si="27"/>
        <v>1.9021043472222221</v>
      </c>
    </row>
    <row r="402" spans="1:8" x14ac:dyDescent="0.25">
      <c r="A402">
        <v>1034</v>
      </c>
      <c r="B402">
        <v>3</v>
      </c>
      <c r="C402">
        <v>18.038391944444449</v>
      </c>
      <c r="D402">
        <v>17.05066167929278</v>
      </c>
      <c r="E402">
        <f t="shared" si="24"/>
        <v>7.5159966435185202E-2</v>
      </c>
      <c r="F402">
        <f t="shared" si="25"/>
        <v>7.1044423663719922E-2</v>
      </c>
      <c r="G402">
        <f t="shared" si="26"/>
        <v>1</v>
      </c>
      <c r="H402">
        <f t="shared" si="27"/>
        <v>0.90191959722222248</v>
      </c>
    </row>
    <row r="403" spans="1:8" x14ac:dyDescent="0.25">
      <c r="A403">
        <v>1034</v>
      </c>
      <c r="B403">
        <v>4</v>
      </c>
      <c r="C403">
        <v>29.7260475</v>
      </c>
      <c r="D403">
        <v>19.748764841269718</v>
      </c>
      <c r="E403">
        <f t="shared" si="24"/>
        <v>0.12385853125</v>
      </c>
      <c r="F403">
        <f t="shared" si="25"/>
        <v>8.2286520171957159E-2</v>
      </c>
      <c r="G403">
        <f t="shared" si="26"/>
        <v>2</v>
      </c>
      <c r="H403">
        <f t="shared" si="27"/>
        <v>1.486302375</v>
      </c>
    </row>
    <row r="404" spans="1:8" x14ac:dyDescent="0.25">
      <c r="A404">
        <v>1034</v>
      </c>
      <c r="B404">
        <v>5</v>
      </c>
      <c r="C404">
        <v>27.32369222222222</v>
      </c>
      <c r="D404">
        <v>19.11238643055556</v>
      </c>
      <c r="E404">
        <f t="shared" si="24"/>
        <v>0.11384871759259259</v>
      </c>
      <c r="F404">
        <f t="shared" si="25"/>
        <v>7.9634943460648158E-2</v>
      </c>
      <c r="G404">
        <f t="shared" si="26"/>
        <v>2</v>
      </c>
      <c r="H404">
        <f t="shared" si="27"/>
        <v>1.3661846111111111</v>
      </c>
    </row>
    <row r="405" spans="1:8" x14ac:dyDescent="0.25">
      <c r="A405">
        <v>1034</v>
      </c>
      <c r="B405">
        <v>6</v>
      </c>
      <c r="C405">
        <v>22.453553888888891</v>
      </c>
      <c r="D405">
        <v>18.862420472222219</v>
      </c>
      <c r="E405">
        <f t="shared" si="24"/>
        <v>9.355647453703704E-2</v>
      </c>
      <c r="F405">
        <f t="shared" si="25"/>
        <v>7.8593418634259241E-2</v>
      </c>
      <c r="G405">
        <f t="shared" si="26"/>
        <v>2</v>
      </c>
      <c r="H405">
        <f t="shared" si="27"/>
        <v>1.1226776944444445</v>
      </c>
    </row>
    <row r="406" spans="1:8" x14ac:dyDescent="0.25">
      <c r="A406">
        <v>1034</v>
      </c>
      <c r="B406">
        <v>7</v>
      </c>
      <c r="C406">
        <v>18.604658055555561</v>
      </c>
      <c r="D406">
        <v>16.264230621693059</v>
      </c>
      <c r="E406">
        <f t="shared" si="24"/>
        <v>7.7519408564814832E-2</v>
      </c>
      <c r="F406">
        <f t="shared" si="25"/>
        <v>6.776762759038775E-2</v>
      </c>
      <c r="G406">
        <f t="shared" si="26"/>
        <v>1</v>
      </c>
      <c r="H406">
        <f t="shared" si="27"/>
        <v>0.93023290277777804</v>
      </c>
    </row>
    <row r="407" spans="1:8" x14ac:dyDescent="0.25">
      <c r="A407">
        <v>1034</v>
      </c>
      <c r="B407">
        <v>8</v>
      </c>
      <c r="C407">
        <v>28.265659166666669</v>
      </c>
      <c r="D407">
        <v>19.72843268115917</v>
      </c>
      <c r="E407">
        <f t="shared" si="24"/>
        <v>0.11777357986111113</v>
      </c>
      <c r="F407">
        <f t="shared" si="25"/>
        <v>8.220180283816321E-2</v>
      </c>
      <c r="G407">
        <f t="shared" si="26"/>
        <v>2</v>
      </c>
      <c r="H407">
        <f t="shared" si="27"/>
        <v>1.4132829583333335</v>
      </c>
    </row>
    <row r="408" spans="1:8" x14ac:dyDescent="0.25">
      <c r="A408">
        <v>1034</v>
      </c>
      <c r="B408">
        <v>9</v>
      </c>
      <c r="C408">
        <v>23.870532499999999</v>
      </c>
      <c r="D408">
        <v>21.71522486111111</v>
      </c>
      <c r="E408">
        <f t="shared" si="24"/>
        <v>9.9460552083333334E-2</v>
      </c>
      <c r="F408">
        <f t="shared" si="25"/>
        <v>9.0480103587962948E-2</v>
      </c>
      <c r="G408">
        <f t="shared" si="26"/>
        <v>2</v>
      </c>
      <c r="H408">
        <f t="shared" si="27"/>
        <v>1.1935266250000001</v>
      </c>
    </row>
    <row r="409" spans="1:8" x14ac:dyDescent="0.25">
      <c r="A409">
        <v>1034</v>
      </c>
      <c r="B409">
        <v>10</v>
      </c>
      <c r="C409">
        <v>26.712663888888891</v>
      </c>
      <c r="D409">
        <v>21.978470517676669</v>
      </c>
      <c r="E409">
        <f t="shared" si="24"/>
        <v>0.11130276620370372</v>
      </c>
      <c r="F409">
        <f t="shared" si="25"/>
        <v>9.1576960490319451E-2</v>
      </c>
      <c r="G409">
        <f t="shared" si="26"/>
        <v>2</v>
      </c>
      <c r="H409">
        <f t="shared" si="27"/>
        <v>1.3356331944444446</v>
      </c>
    </row>
    <row r="410" spans="1:8" x14ac:dyDescent="0.25">
      <c r="A410">
        <v>1034</v>
      </c>
      <c r="B410">
        <v>11</v>
      </c>
      <c r="C410">
        <v>25.856166111111111</v>
      </c>
      <c r="D410">
        <v>22.246363320706941</v>
      </c>
      <c r="E410">
        <f t="shared" si="24"/>
        <v>0.10773402546296296</v>
      </c>
      <c r="F410">
        <f t="shared" si="25"/>
        <v>9.2693180502945574E-2</v>
      </c>
      <c r="G410">
        <f t="shared" si="26"/>
        <v>2</v>
      </c>
      <c r="H410">
        <f t="shared" si="27"/>
        <v>1.2928083055555555</v>
      </c>
    </row>
    <row r="411" spans="1:8" x14ac:dyDescent="0.25">
      <c r="A411">
        <v>1034</v>
      </c>
      <c r="B411">
        <v>12</v>
      </c>
      <c r="C411">
        <v>29.471704722222221</v>
      </c>
      <c r="D411">
        <v>22.628798187830551</v>
      </c>
      <c r="E411">
        <f t="shared" si="24"/>
        <v>0.12279876967592591</v>
      </c>
      <c r="F411">
        <f t="shared" si="25"/>
        <v>9.4286659115960625E-2</v>
      </c>
      <c r="G411">
        <f t="shared" si="26"/>
        <v>2</v>
      </c>
      <c r="H411">
        <f t="shared" si="27"/>
        <v>1.473585236111111</v>
      </c>
    </row>
    <row r="412" spans="1:8" x14ac:dyDescent="0.25">
      <c r="A412">
        <v>1035</v>
      </c>
      <c r="B412">
        <v>1</v>
      </c>
      <c r="C412">
        <v>23.963055555555556</v>
      </c>
      <c r="D412">
        <v>8.9666666666666668</v>
      </c>
      <c r="E412">
        <f t="shared" si="24"/>
        <v>9.9846064814814825E-2</v>
      </c>
      <c r="F412">
        <f t="shared" si="25"/>
        <v>3.7361111111111116E-2</v>
      </c>
      <c r="G412">
        <f t="shared" si="26"/>
        <v>2</v>
      </c>
      <c r="H412">
        <f t="shared" si="27"/>
        <v>1.1981527777777778</v>
      </c>
    </row>
    <row r="413" spans="1:8" x14ac:dyDescent="0.25">
      <c r="A413">
        <v>1035</v>
      </c>
      <c r="B413">
        <v>2</v>
      </c>
      <c r="C413">
        <v>43.12166777777778</v>
      </c>
      <c r="D413">
        <v>27.543686717171671</v>
      </c>
      <c r="E413">
        <f t="shared" si="24"/>
        <v>0.17967361574074073</v>
      </c>
      <c r="F413">
        <f t="shared" si="25"/>
        <v>0.11476536132154863</v>
      </c>
      <c r="G413">
        <f t="shared" si="26"/>
        <v>3</v>
      </c>
      <c r="H413">
        <f t="shared" si="27"/>
        <v>2.1560833888888888</v>
      </c>
    </row>
    <row r="414" spans="1:8" x14ac:dyDescent="0.25">
      <c r="A414">
        <v>1035</v>
      </c>
      <c r="B414">
        <v>3</v>
      </c>
      <c r="C414">
        <v>31.754887222222219</v>
      </c>
      <c r="D414">
        <v>16.988232624999998</v>
      </c>
      <c r="E414">
        <f t="shared" si="24"/>
        <v>0.1323120300925926</v>
      </c>
      <c r="F414">
        <f t="shared" si="25"/>
        <v>7.0784302604166668E-2</v>
      </c>
      <c r="G414">
        <f t="shared" si="26"/>
        <v>2</v>
      </c>
      <c r="H414">
        <f t="shared" si="27"/>
        <v>1.5877443611111111</v>
      </c>
    </row>
    <row r="415" spans="1:8" x14ac:dyDescent="0.25">
      <c r="A415">
        <v>1035</v>
      </c>
      <c r="B415">
        <v>4</v>
      </c>
      <c r="C415">
        <v>27.694336388888889</v>
      </c>
      <c r="D415">
        <v>7.2580727380949996</v>
      </c>
      <c r="E415">
        <f t="shared" si="24"/>
        <v>0.11539306828703703</v>
      </c>
      <c r="F415">
        <f t="shared" si="25"/>
        <v>3.0241969742062499E-2</v>
      </c>
      <c r="G415">
        <f t="shared" si="26"/>
        <v>2</v>
      </c>
      <c r="H415">
        <f t="shared" si="27"/>
        <v>1.3847168194444444</v>
      </c>
    </row>
    <row r="416" spans="1:8" x14ac:dyDescent="0.25">
      <c r="A416">
        <v>1035</v>
      </c>
      <c r="B416">
        <v>5</v>
      </c>
      <c r="C416">
        <v>22.61905472222222</v>
      </c>
      <c r="D416">
        <v>7.5502435138888888</v>
      </c>
      <c r="E416">
        <f t="shared" si="24"/>
        <v>9.4246061342592571E-2</v>
      </c>
      <c r="F416">
        <f t="shared" si="25"/>
        <v>3.145934797453704E-2</v>
      </c>
      <c r="G416">
        <f t="shared" si="26"/>
        <v>2</v>
      </c>
      <c r="H416">
        <f t="shared" si="27"/>
        <v>1.1309527361111109</v>
      </c>
    </row>
    <row r="417" spans="1:8" x14ac:dyDescent="0.25">
      <c r="A417">
        <v>1035</v>
      </c>
      <c r="B417">
        <v>6</v>
      </c>
      <c r="C417">
        <v>24.411226388888888</v>
      </c>
      <c r="D417">
        <v>6.5334716944444446</v>
      </c>
      <c r="E417">
        <f t="shared" si="24"/>
        <v>0.10171344328703703</v>
      </c>
      <c r="F417">
        <f t="shared" si="25"/>
        <v>2.7222798726851852E-2</v>
      </c>
      <c r="G417">
        <f t="shared" si="26"/>
        <v>2</v>
      </c>
      <c r="H417">
        <f t="shared" si="27"/>
        <v>1.2205613194444445</v>
      </c>
    </row>
    <row r="418" spans="1:8" x14ac:dyDescent="0.25">
      <c r="A418">
        <v>1035</v>
      </c>
      <c r="B418">
        <v>7</v>
      </c>
      <c r="C418">
        <v>31.861239722222219</v>
      </c>
      <c r="D418">
        <v>6.6875673015872223</v>
      </c>
      <c r="E418">
        <f t="shared" si="24"/>
        <v>0.13275516550925925</v>
      </c>
      <c r="F418">
        <f t="shared" si="25"/>
        <v>2.7864863756613428E-2</v>
      </c>
      <c r="G418">
        <f t="shared" si="26"/>
        <v>2</v>
      </c>
      <c r="H418">
        <f t="shared" si="27"/>
        <v>1.5930619861111111</v>
      </c>
    </row>
    <row r="419" spans="1:8" x14ac:dyDescent="0.25">
      <c r="A419">
        <v>1035</v>
      </c>
      <c r="B419">
        <v>8</v>
      </c>
      <c r="C419">
        <v>26.745272777777782</v>
      </c>
      <c r="D419">
        <v>6.030853574879167</v>
      </c>
      <c r="E419">
        <f t="shared" si="24"/>
        <v>0.11143863657407409</v>
      </c>
      <c r="F419">
        <f t="shared" si="25"/>
        <v>2.5128556561996529E-2</v>
      </c>
      <c r="G419">
        <f t="shared" si="26"/>
        <v>2</v>
      </c>
      <c r="H419">
        <f t="shared" si="27"/>
        <v>1.337263638888889</v>
      </c>
    </row>
    <row r="420" spans="1:8" x14ac:dyDescent="0.25">
      <c r="A420">
        <v>1035</v>
      </c>
      <c r="B420">
        <v>9</v>
      </c>
      <c r="C420">
        <v>22.67725027777778</v>
      </c>
      <c r="D420">
        <v>7.366223861111111</v>
      </c>
      <c r="E420">
        <f t="shared" si="24"/>
        <v>9.4488542824074082E-2</v>
      </c>
      <c r="F420">
        <f t="shared" si="25"/>
        <v>3.0692599421296294E-2</v>
      </c>
      <c r="G420">
        <f t="shared" si="26"/>
        <v>2</v>
      </c>
      <c r="H420">
        <f t="shared" si="27"/>
        <v>1.1338625138888889</v>
      </c>
    </row>
    <row r="421" spans="1:8" x14ac:dyDescent="0.25">
      <c r="A421">
        <v>1035</v>
      </c>
      <c r="B421">
        <v>10</v>
      </c>
      <c r="C421">
        <v>21.583179722222219</v>
      </c>
      <c r="D421">
        <v>7.4846071717169442</v>
      </c>
      <c r="E421">
        <f t="shared" si="24"/>
        <v>8.9929915509259259E-2</v>
      </c>
      <c r="F421">
        <f t="shared" si="25"/>
        <v>3.1185863215487265E-2</v>
      </c>
      <c r="G421">
        <f t="shared" si="26"/>
        <v>2</v>
      </c>
      <c r="H421">
        <f t="shared" si="27"/>
        <v>1.0791589861111111</v>
      </c>
    </row>
    <row r="422" spans="1:8" x14ac:dyDescent="0.25">
      <c r="A422">
        <v>1035</v>
      </c>
      <c r="B422">
        <v>11</v>
      </c>
      <c r="C422">
        <v>16.60485083333333</v>
      </c>
      <c r="D422">
        <v>6.6454745075755559</v>
      </c>
      <c r="E422">
        <f t="shared" si="24"/>
        <v>6.9186878472222213E-2</v>
      </c>
      <c r="F422">
        <f t="shared" si="25"/>
        <v>2.7689477114898151E-2</v>
      </c>
      <c r="G422">
        <f t="shared" si="26"/>
        <v>1</v>
      </c>
      <c r="H422">
        <f t="shared" si="27"/>
        <v>0.83024254166666656</v>
      </c>
    </row>
    <row r="423" spans="1:8" x14ac:dyDescent="0.25">
      <c r="A423">
        <v>1035</v>
      </c>
      <c r="B423">
        <v>12</v>
      </c>
      <c r="C423">
        <v>18.481622222222221</v>
      </c>
      <c r="D423">
        <v>7.5083633862433334</v>
      </c>
      <c r="E423">
        <f t="shared" si="24"/>
        <v>7.7006759259259247E-2</v>
      </c>
      <c r="F423">
        <f t="shared" si="25"/>
        <v>3.1284847442680556E-2</v>
      </c>
      <c r="G423">
        <f t="shared" si="26"/>
        <v>1</v>
      </c>
      <c r="H423">
        <f t="shared" si="27"/>
        <v>0.92408111111111091</v>
      </c>
    </row>
    <row r="424" spans="1:8" x14ac:dyDescent="0.25">
      <c r="A424">
        <v>1036</v>
      </c>
      <c r="B424">
        <v>1</v>
      </c>
      <c r="C424">
        <v>23.87027777777778</v>
      </c>
      <c r="D424">
        <v>23.467777777777776</v>
      </c>
      <c r="E424">
        <f t="shared" si="24"/>
        <v>9.9459490740740744E-2</v>
      </c>
      <c r="F424">
        <f t="shared" si="25"/>
        <v>9.7782407407407401E-2</v>
      </c>
      <c r="G424">
        <f t="shared" si="26"/>
        <v>2</v>
      </c>
      <c r="H424">
        <f t="shared" si="27"/>
        <v>1.193513888888889</v>
      </c>
    </row>
    <row r="425" spans="1:8" x14ac:dyDescent="0.25">
      <c r="A425">
        <v>1036</v>
      </c>
      <c r="B425">
        <v>2</v>
      </c>
      <c r="C425">
        <v>25.91550611111111</v>
      </c>
      <c r="D425">
        <v>25.644233611111112</v>
      </c>
      <c r="E425">
        <f t="shared" si="24"/>
        <v>0.10798127546296295</v>
      </c>
      <c r="F425">
        <f t="shared" si="25"/>
        <v>0.10685097337962964</v>
      </c>
      <c r="G425">
        <f t="shared" si="26"/>
        <v>2</v>
      </c>
      <c r="H425">
        <f t="shared" si="27"/>
        <v>1.2957753055555554</v>
      </c>
    </row>
    <row r="426" spans="1:8" x14ac:dyDescent="0.25">
      <c r="A426">
        <v>1036</v>
      </c>
      <c r="B426">
        <v>3</v>
      </c>
      <c r="C426">
        <v>26.293468888888889</v>
      </c>
      <c r="D426">
        <v>25.536953597222219</v>
      </c>
      <c r="E426">
        <f t="shared" si="24"/>
        <v>0.10955612037037037</v>
      </c>
      <c r="F426">
        <f t="shared" si="25"/>
        <v>0.10640397332175926</v>
      </c>
      <c r="G426">
        <f t="shared" si="26"/>
        <v>2</v>
      </c>
      <c r="H426">
        <f t="shared" si="27"/>
        <v>1.3146734444444443</v>
      </c>
    </row>
    <row r="427" spans="1:8" x14ac:dyDescent="0.25">
      <c r="A427">
        <v>1036</v>
      </c>
      <c r="B427">
        <v>4</v>
      </c>
      <c r="C427">
        <v>26.10434555555555</v>
      </c>
      <c r="D427">
        <v>25.867007195766941</v>
      </c>
      <c r="E427">
        <f t="shared" si="24"/>
        <v>0.10876810648148146</v>
      </c>
      <c r="F427">
        <f t="shared" si="25"/>
        <v>0.10777919664902892</v>
      </c>
      <c r="G427">
        <f t="shared" si="26"/>
        <v>2</v>
      </c>
      <c r="H427">
        <f t="shared" si="27"/>
        <v>1.3052172777777775</v>
      </c>
    </row>
    <row r="428" spans="1:8" x14ac:dyDescent="0.25">
      <c r="A428">
        <v>1036</v>
      </c>
      <c r="B428">
        <v>5</v>
      </c>
      <c r="C428">
        <v>26.09540472222222</v>
      </c>
      <c r="D428">
        <v>25.699357180555559</v>
      </c>
      <c r="E428">
        <f t="shared" si="24"/>
        <v>0.10873085300925926</v>
      </c>
      <c r="F428">
        <f t="shared" si="25"/>
        <v>0.1070806549189815</v>
      </c>
      <c r="G428">
        <f t="shared" si="26"/>
        <v>2</v>
      </c>
      <c r="H428">
        <f t="shared" si="27"/>
        <v>1.3047702361111111</v>
      </c>
    </row>
    <row r="429" spans="1:8" x14ac:dyDescent="0.25">
      <c r="A429">
        <v>1036</v>
      </c>
      <c r="B429">
        <v>6</v>
      </c>
      <c r="C429">
        <v>25.994185277777781</v>
      </c>
      <c r="D429">
        <v>25.747638958333329</v>
      </c>
      <c r="E429">
        <f t="shared" si="24"/>
        <v>0.10830910532407408</v>
      </c>
      <c r="F429">
        <f t="shared" si="25"/>
        <v>0.10728182899305554</v>
      </c>
      <c r="G429">
        <f t="shared" si="26"/>
        <v>2</v>
      </c>
      <c r="H429">
        <f t="shared" si="27"/>
        <v>1.299709263888889</v>
      </c>
    </row>
    <row r="430" spans="1:8" x14ac:dyDescent="0.25">
      <c r="A430">
        <v>1036</v>
      </c>
      <c r="B430">
        <v>7</v>
      </c>
      <c r="C430">
        <v>25.979700000000001</v>
      </c>
      <c r="D430">
        <v>24.380921468253892</v>
      </c>
      <c r="E430">
        <f t="shared" si="24"/>
        <v>0.10824875</v>
      </c>
      <c r="F430">
        <f t="shared" si="25"/>
        <v>0.10158717278439122</v>
      </c>
      <c r="G430">
        <f t="shared" si="26"/>
        <v>2</v>
      </c>
      <c r="H430">
        <f t="shared" si="27"/>
        <v>1.2989850000000001</v>
      </c>
    </row>
    <row r="431" spans="1:8" x14ac:dyDescent="0.25">
      <c r="A431">
        <v>1036</v>
      </c>
      <c r="B431">
        <v>8</v>
      </c>
      <c r="C431">
        <v>26.177730555555559</v>
      </c>
      <c r="D431">
        <v>25.969439227053051</v>
      </c>
      <c r="E431">
        <f t="shared" si="24"/>
        <v>0.10907387731481483</v>
      </c>
      <c r="F431">
        <f t="shared" si="25"/>
        <v>0.10820599677938771</v>
      </c>
      <c r="G431">
        <f t="shared" si="26"/>
        <v>2</v>
      </c>
      <c r="H431">
        <f t="shared" si="27"/>
        <v>1.3088865277777779</v>
      </c>
    </row>
    <row r="432" spans="1:8" x14ac:dyDescent="0.25">
      <c r="A432">
        <v>1036</v>
      </c>
      <c r="B432">
        <v>9</v>
      </c>
      <c r="C432">
        <v>25.789388055555559</v>
      </c>
      <c r="D432">
        <v>25.751988375</v>
      </c>
      <c r="E432">
        <f t="shared" si="24"/>
        <v>0.10745578356481483</v>
      </c>
      <c r="F432">
        <f t="shared" si="25"/>
        <v>0.1072999515625</v>
      </c>
      <c r="G432">
        <f t="shared" si="26"/>
        <v>2</v>
      </c>
      <c r="H432">
        <f t="shared" si="27"/>
        <v>1.289469402777778</v>
      </c>
    </row>
    <row r="433" spans="1:8" x14ac:dyDescent="0.25">
      <c r="A433">
        <v>1036</v>
      </c>
      <c r="B433">
        <v>10</v>
      </c>
      <c r="C433">
        <v>25.963636944444449</v>
      </c>
      <c r="D433">
        <v>25.723341489898889</v>
      </c>
      <c r="E433">
        <f t="shared" si="24"/>
        <v>0.10818182060185187</v>
      </c>
      <c r="F433">
        <f t="shared" si="25"/>
        <v>0.10718058954124537</v>
      </c>
      <c r="G433">
        <f t="shared" si="26"/>
        <v>2</v>
      </c>
      <c r="H433">
        <f t="shared" si="27"/>
        <v>1.2981818472222224</v>
      </c>
    </row>
    <row r="434" spans="1:8" x14ac:dyDescent="0.25">
      <c r="A434">
        <v>1036</v>
      </c>
      <c r="B434">
        <v>11</v>
      </c>
      <c r="C434">
        <v>25.834254722222219</v>
      </c>
      <c r="D434">
        <v>25.762101919191672</v>
      </c>
      <c r="E434">
        <f t="shared" si="24"/>
        <v>0.10764272800925924</v>
      </c>
      <c r="F434">
        <f t="shared" si="25"/>
        <v>0.10734209132996531</v>
      </c>
      <c r="G434">
        <f t="shared" si="26"/>
        <v>2</v>
      </c>
      <c r="H434">
        <f t="shared" si="27"/>
        <v>1.2917127361111109</v>
      </c>
    </row>
    <row r="435" spans="1:8" x14ac:dyDescent="0.25">
      <c r="A435">
        <v>1036</v>
      </c>
      <c r="B435">
        <v>12</v>
      </c>
      <c r="C435">
        <v>26.293960277777781</v>
      </c>
      <c r="D435">
        <v>25.528304629629449</v>
      </c>
      <c r="E435">
        <f t="shared" si="24"/>
        <v>0.10955816782407408</v>
      </c>
      <c r="F435">
        <f t="shared" si="25"/>
        <v>0.10636793595678938</v>
      </c>
      <c r="G435">
        <f t="shared" si="26"/>
        <v>2</v>
      </c>
      <c r="H435">
        <f t="shared" si="27"/>
        <v>1.3146980138888891</v>
      </c>
    </row>
    <row r="436" spans="1:8" x14ac:dyDescent="0.25">
      <c r="A436">
        <v>1037</v>
      </c>
      <c r="B436">
        <v>1</v>
      </c>
      <c r="C436">
        <v>23.415000000000003</v>
      </c>
      <c r="D436">
        <v>6.5316666666666663</v>
      </c>
      <c r="E436">
        <f t="shared" si="24"/>
        <v>9.756250000000001E-2</v>
      </c>
      <c r="F436">
        <f t="shared" si="25"/>
        <v>2.7215277777777779E-2</v>
      </c>
      <c r="G436">
        <f t="shared" si="26"/>
        <v>2</v>
      </c>
      <c r="H436">
        <f t="shared" si="27"/>
        <v>1.1707500000000002</v>
      </c>
    </row>
    <row r="437" spans="1:8" x14ac:dyDescent="0.25">
      <c r="A437">
        <v>1037</v>
      </c>
      <c r="B437">
        <v>2</v>
      </c>
      <c r="C437">
        <v>26.660442499999998</v>
      </c>
      <c r="D437">
        <v>6.4388654040402784</v>
      </c>
      <c r="E437">
        <f t="shared" si="24"/>
        <v>0.11108517708333332</v>
      </c>
      <c r="F437">
        <f t="shared" si="25"/>
        <v>2.6828605850167827E-2</v>
      </c>
      <c r="G437">
        <f t="shared" si="26"/>
        <v>2</v>
      </c>
      <c r="H437">
        <f t="shared" si="27"/>
        <v>1.3330221249999998</v>
      </c>
    </row>
    <row r="438" spans="1:8" x14ac:dyDescent="0.25">
      <c r="A438">
        <v>1037</v>
      </c>
      <c r="B438">
        <v>3</v>
      </c>
      <c r="C438">
        <v>26.669303888888891</v>
      </c>
      <c r="D438">
        <v>6.9336802777777784</v>
      </c>
      <c r="E438">
        <f t="shared" si="24"/>
        <v>0.11112209953703704</v>
      </c>
      <c r="F438">
        <f t="shared" si="25"/>
        <v>2.8890334490740743E-2</v>
      </c>
      <c r="G438">
        <f t="shared" si="26"/>
        <v>2</v>
      </c>
      <c r="H438">
        <f t="shared" si="27"/>
        <v>1.3334651944444444</v>
      </c>
    </row>
    <row r="439" spans="1:8" x14ac:dyDescent="0.25">
      <c r="A439">
        <v>1037</v>
      </c>
      <c r="B439">
        <v>4</v>
      </c>
      <c r="C439">
        <v>26.66267777777778</v>
      </c>
      <c r="D439">
        <v>6.6977904365077778</v>
      </c>
      <c r="E439">
        <f t="shared" si="24"/>
        <v>0.11109449074074075</v>
      </c>
      <c r="F439">
        <f t="shared" si="25"/>
        <v>2.7907460152115742E-2</v>
      </c>
      <c r="G439">
        <f t="shared" si="26"/>
        <v>2</v>
      </c>
      <c r="H439">
        <f t="shared" si="27"/>
        <v>1.3331338888888891</v>
      </c>
    </row>
    <row r="440" spans="1:8" x14ac:dyDescent="0.25">
      <c r="A440">
        <v>1037</v>
      </c>
      <c r="B440">
        <v>5</v>
      </c>
      <c r="C440">
        <v>26.016465555555559</v>
      </c>
      <c r="D440">
        <v>6.5666286111111107</v>
      </c>
      <c r="E440">
        <f t="shared" si="24"/>
        <v>0.10840193981481483</v>
      </c>
      <c r="F440">
        <f t="shared" si="25"/>
        <v>2.7360952546296294E-2</v>
      </c>
      <c r="G440">
        <f t="shared" si="26"/>
        <v>2</v>
      </c>
      <c r="H440">
        <f t="shared" si="27"/>
        <v>1.300823277777778</v>
      </c>
    </row>
    <row r="441" spans="1:8" x14ac:dyDescent="0.25">
      <c r="A441">
        <v>1037</v>
      </c>
      <c r="B441">
        <v>6</v>
      </c>
      <c r="C441">
        <v>25.92256444444444</v>
      </c>
      <c r="D441">
        <v>14.86407131944445</v>
      </c>
      <c r="E441">
        <f t="shared" si="24"/>
        <v>0.10801068518518515</v>
      </c>
      <c r="F441">
        <f t="shared" si="25"/>
        <v>6.1933630497685209E-2</v>
      </c>
      <c r="G441">
        <f t="shared" si="26"/>
        <v>2</v>
      </c>
      <c r="H441">
        <f t="shared" si="27"/>
        <v>1.2961282222222219</v>
      </c>
    </row>
    <row r="442" spans="1:8" x14ac:dyDescent="0.25">
      <c r="A442">
        <v>1037</v>
      </c>
      <c r="B442">
        <v>7</v>
      </c>
      <c r="C442">
        <v>25.839600000000001</v>
      </c>
      <c r="D442">
        <v>6.0592470767194442</v>
      </c>
      <c r="E442">
        <f t="shared" si="24"/>
        <v>0.10766500000000001</v>
      </c>
      <c r="F442">
        <f t="shared" si="25"/>
        <v>2.5246862819664349E-2</v>
      </c>
      <c r="G442">
        <f t="shared" si="26"/>
        <v>2</v>
      </c>
      <c r="H442">
        <f t="shared" si="27"/>
        <v>1.2919800000000001</v>
      </c>
    </row>
    <row r="443" spans="1:8" x14ac:dyDescent="0.25">
      <c r="A443">
        <v>1037</v>
      </c>
      <c r="B443">
        <v>8</v>
      </c>
      <c r="C443">
        <v>25.888184166666669</v>
      </c>
      <c r="D443">
        <v>5.2709921980674999</v>
      </c>
      <c r="E443">
        <f t="shared" si="24"/>
        <v>0.10786743402777778</v>
      </c>
      <c r="F443">
        <f t="shared" si="25"/>
        <v>2.1962467491947916E-2</v>
      </c>
      <c r="G443">
        <f t="shared" si="26"/>
        <v>2</v>
      </c>
      <c r="H443">
        <f t="shared" si="27"/>
        <v>1.2944092083333334</v>
      </c>
    </row>
    <row r="444" spans="1:8" x14ac:dyDescent="0.25">
      <c r="A444">
        <v>1037</v>
      </c>
      <c r="B444">
        <v>9</v>
      </c>
      <c r="C444">
        <v>23.798599722222221</v>
      </c>
      <c r="D444">
        <v>6.4029516388888892</v>
      </c>
      <c r="E444">
        <f t="shared" si="24"/>
        <v>9.9160832175925917E-2</v>
      </c>
      <c r="F444">
        <f t="shared" si="25"/>
        <v>2.6678965162037039E-2</v>
      </c>
      <c r="G444">
        <f t="shared" si="26"/>
        <v>2</v>
      </c>
      <c r="H444">
        <f t="shared" si="27"/>
        <v>1.189929986111111</v>
      </c>
    </row>
    <row r="445" spans="1:8" x14ac:dyDescent="0.25">
      <c r="A445">
        <v>1037</v>
      </c>
      <c r="B445">
        <v>10</v>
      </c>
      <c r="C445">
        <v>23.810178611111109</v>
      </c>
      <c r="D445">
        <v>6.1897541161613887</v>
      </c>
      <c r="E445">
        <f t="shared" si="24"/>
        <v>9.9209077546296279E-2</v>
      </c>
      <c r="F445">
        <f t="shared" si="25"/>
        <v>2.5790642150672453E-2</v>
      </c>
      <c r="G445">
        <f t="shared" si="26"/>
        <v>2</v>
      </c>
      <c r="H445">
        <f t="shared" si="27"/>
        <v>1.1905089305555554</v>
      </c>
    </row>
    <row r="446" spans="1:8" x14ac:dyDescent="0.25">
      <c r="A446">
        <v>1037</v>
      </c>
      <c r="B446">
        <v>11</v>
      </c>
      <c r="C446">
        <v>23.857366666666671</v>
      </c>
      <c r="D446">
        <v>6.0485207070705558</v>
      </c>
      <c r="E446">
        <f t="shared" si="24"/>
        <v>9.940569444444447E-2</v>
      </c>
      <c r="F446">
        <f t="shared" si="25"/>
        <v>2.5202169612793982E-2</v>
      </c>
      <c r="G446">
        <f t="shared" si="26"/>
        <v>2</v>
      </c>
      <c r="H446">
        <f t="shared" si="27"/>
        <v>1.1928683333333336</v>
      </c>
    </row>
    <row r="447" spans="1:8" x14ac:dyDescent="0.25">
      <c r="A447">
        <v>1037</v>
      </c>
      <c r="B447">
        <v>12</v>
      </c>
      <c r="C447">
        <v>25.852776388888891</v>
      </c>
      <c r="D447">
        <v>6.9062779761902782</v>
      </c>
      <c r="E447">
        <f t="shared" si="24"/>
        <v>0.10771990162037037</v>
      </c>
      <c r="F447">
        <f t="shared" si="25"/>
        <v>2.8776158234126159E-2</v>
      </c>
      <c r="G447">
        <f t="shared" si="26"/>
        <v>2</v>
      </c>
      <c r="H447">
        <f t="shared" si="27"/>
        <v>1.2926388194444445</v>
      </c>
    </row>
    <row r="448" spans="1:8" x14ac:dyDescent="0.25">
      <c r="A448">
        <v>1038</v>
      </c>
      <c r="B448">
        <v>1</v>
      </c>
      <c r="C448">
        <v>23.121388888888887</v>
      </c>
      <c r="D448">
        <v>21.844444444444445</v>
      </c>
      <c r="E448">
        <f t="shared" si="24"/>
        <v>9.633912037037036E-2</v>
      </c>
      <c r="F448">
        <f t="shared" si="25"/>
        <v>9.1018518518518512E-2</v>
      </c>
      <c r="G448">
        <f t="shared" si="26"/>
        <v>2</v>
      </c>
      <c r="H448">
        <f t="shared" si="27"/>
        <v>1.1560694444444444</v>
      </c>
    </row>
    <row r="449" spans="1:8" x14ac:dyDescent="0.25">
      <c r="A449">
        <v>1038</v>
      </c>
      <c r="B449">
        <v>2</v>
      </c>
      <c r="C449">
        <v>25.686873055555559</v>
      </c>
      <c r="D449">
        <v>22.27585977272722</v>
      </c>
      <c r="E449">
        <f t="shared" si="24"/>
        <v>0.10702863773148148</v>
      </c>
      <c r="F449">
        <f t="shared" si="25"/>
        <v>9.2816082386363408E-2</v>
      </c>
      <c r="G449">
        <f t="shared" si="26"/>
        <v>2</v>
      </c>
      <c r="H449">
        <f t="shared" si="27"/>
        <v>1.2843436527777778</v>
      </c>
    </row>
    <row r="450" spans="1:8" x14ac:dyDescent="0.25">
      <c r="A450">
        <v>1038</v>
      </c>
      <c r="B450">
        <v>3</v>
      </c>
      <c r="C450">
        <v>25.71622305555556</v>
      </c>
      <c r="D450">
        <v>24.395140097222221</v>
      </c>
      <c r="E450">
        <f t="shared" ref="E450:E513" si="28">+C450/20/12</f>
        <v>0.10715092939814817</v>
      </c>
      <c r="F450">
        <f t="shared" ref="F450:F513" si="29">+D450/20/12</f>
        <v>0.10164641707175925</v>
      </c>
      <c r="G450">
        <f t="shared" ref="G450:G513" si="30">+ROUNDUP(E450*12,0)</f>
        <v>2</v>
      </c>
      <c r="H450">
        <f t="shared" ref="H450:H513" si="31">+E450*12</f>
        <v>1.285811152777778</v>
      </c>
    </row>
    <row r="451" spans="1:8" x14ac:dyDescent="0.25">
      <c r="A451">
        <v>1038</v>
      </c>
      <c r="B451">
        <v>4</v>
      </c>
      <c r="C451">
        <v>25.714789166666669</v>
      </c>
      <c r="D451">
        <v>25.20122088624333</v>
      </c>
      <c r="E451">
        <f t="shared" si="28"/>
        <v>0.10714495486111113</v>
      </c>
      <c r="F451">
        <f t="shared" si="29"/>
        <v>0.10500508702601387</v>
      </c>
      <c r="G451">
        <f t="shared" si="30"/>
        <v>2</v>
      </c>
      <c r="H451">
        <f t="shared" si="31"/>
        <v>1.2857394583333335</v>
      </c>
    </row>
    <row r="452" spans="1:8" x14ac:dyDescent="0.25">
      <c r="A452">
        <v>1038</v>
      </c>
      <c r="B452">
        <v>5</v>
      </c>
      <c r="C452">
        <v>25.696531666666669</v>
      </c>
      <c r="D452">
        <v>22.079615555555559</v>
      </c>
      <c r="E452">
        <f t="shared" si="28"/>
        <v>0.10706888194444446</v>
      </c>
      <c r="F452">
        <f t="shared" si="29"/>
        <v>9.1998398148148156E-2</v>
      </c>
      <c r="G452">
        <f t="shared" si="30"/>
        <v>2</v>
      </c>
      <c r="H452">
        <f t="shared" si="31"/>
        <v>1.2848265833333334</v>
      </c>
    </row>
    <row r="453" spans="1:8" x14ac:dyDescent="0.25">
      <c r="A453">
        <v>1038</v>
      </c>
      <c r="B453">
        <v>6</v>
      </c>
      <c r="C453">
        <v>24.859324999999998</v>
      </c>
      <c r="D453">
        <v>22.745835763888891</v>
      </c>
      <c r="E453">
        <f t="shared" si="28"/>
        <v>0.10358052083333331</v>
      </c>
      <c r="F453">
        <f t="shared" si="29"/>
        <v>9.4774315682870383E-2</v>
      </c>
      <c r="G453">
        <f t="shared" si="30"/>
        <v>2</v>
      </c>
      <c r="H453">
        <f t="shared" si="31"/>
        <v>1.2429662499999998</v>
      </c>
    </row>
    <row r="454" spans="1:8" x14ac:dyDescent="0.25">
      <c r="A454">
        <v>1038</v>
      </c>
      <c r="B454">
        <v>7</v>
      </c>
      <c r="C454">
        <v>24.913748333333331</v>
      </c>
      <c r="D454">
        <v>23.505964259259169</v>
      </c>
      <c r="E454">
        <f t="shared" si="28"/>
        <v>0.10380728472222221</v>
      </c>
      <c r="F454">
        <f t="shared" si="29"/>
        <v>9.7941517746913218E-2</v>
      </c>
      <c r="G454">
        <f t="shared" si="30"/>
        <v>2</v>
      </c>
      <c r="H454">
        <f t="shared" si="31"/>
        <v>1.2456874166666665</v>
      </c>
    </row>
    <row r="455" spans="1:8" x14ac:dyDescent="0.25">
      <c r="A455">
        <v>1038</v>
      </c>
      <c r="B455">
        <v>8</v>
      </c>
      <c r="C455">
        <v>24.867925277777779</v>
      </c>
      <c r="D455">
        <v>23.755745289855</v>
      </c>
      <c r="E455">
        <f t="shared" si="28"/>
        <v>0.10361635532407408</v>
      </c>
      <c r="F455">
        <f t="shared" si="29"/>
        <v>9.8982272041062511E-2</v>
      </c>
      <c r="G455">
        <f t="shared" si="30"/>
        <v>2</v>
      </c>
      <c r="H455">
        <f t="shared" si="31"/>
        <v>1.2433962638888889</v>
      </c>
    </row>
    <row r="456" spans="1:8" x14ac:dyDescent="0.25">
      <c r="A456">
        <v>1038</v>
      </c>
      <c r="B456">
        <v>9</v>
      </c>
      <c r="C456">
        <v>24.832144722222221</v>
      </c>
      <c r="D456">
        <v>24.794579763888891</v>
      </c>
      <c r="E456">
        <f t="shared" si="28"/>
        <v>0.10346726967592591</v>
      </c>
      <c r="F456">
        <f t="shared" si="29"/>
        <v>0.1033107490162037</v>
      </c>
      <c r="G456">
        <f t="shared" si="30"/>
        <v>2</v>
      </c>
      <c r="H456">
        <f t="shared" si="31"/>
        <v>1.241607236111111</v>
      </c>
    </row>
    <row r="457" spans="1:8" x14ac:dyDescent="0.25">
      <c r="A457">
        <v>1038</v>
      </c>
      <c r="B457">
        <v>10</v>
      </c>
      <c r="C457">
        <v>24.897022222222219</v>
      </c>
      <c r="D457">
        <v>24.57833503787861</v>
      </c>
      <c r="E457">
        <f t="shared" si="28"/>
        <v>0.10373759259259258</v>
      </c>
      <c r="F457">
        <f t="shared" si="29"/>
        <v>0.10240972932449421</v>
      </c>
      <c r="G457">
        <f t="shared" si="30"/>
        <v>2</v>
      </c>
      <c r="H457">
        <f t="shared" si="31"/>
        <v>1.2448511111111109</v>
      </c>
    </row>
    <row r="458" spans="1:8" x14ac:dyDescent="0.25">
      <c r="A458">
        <v>1038</v>
      </c>
      <c r="B458">
        <v>11</v>
      </c>
      <c r="C458">
        <v>24.928746666666669</v>
      </c>
      <c r="D458">
        <v>24.801075681818059</v>
      </c>
      <c r="E458">
        <f t="shared" si="28"/>
        <v>0.10386977777777778</v>
      </c>
      <c r="F458">
        <f t="shared" si="29"/>
        <v>0.10333781534090858</v>
      </c>
      <c r="G458">
        <f t="shared" si="30"/>
        <v>2</v>
      </c>
      <c r="H458">
        <f t="shared" si="31"/>
        <v>1.2464373333333334</v>
      </c>
    </row>
    <row r="459" spans="1:8" x14ac:dyDescent="0.25">
      <c r="A459">
        <v>1038</v>
      </c>
      <c r="B459">
        <v>12</v>
      </c>
      <c r="C459">
        <v>25.34106388888889</v>
      </c>
      <c r="D459">
        <v>23.997242989417781</v>
      </c>
      <c r="E459">
        <f t="shared" si="28"/>
        <v>0.10558776620370371</v>
      </c>
      <c r="F459">
        <f t="shared" si="29"/>
        <v>9.9988512455907411E-2</v>
      </c>
      <c r="G459">
        <f t="shared" si="30"/>
        <v>2</v>
      </c>
      <c r="H459">
        <f t="shared" si="31"/>
        <v>1.2670531944444445</v>
      </c>
    </row>
    <row r="460" spans="1:8" x14ac:dyDescent="0.25">
      <c r="A460">
        <v>1039</v>
      </c>
      <c r="B460">
        <v>1</v>
      </c>
      <c r="C460">
        <v>22.995555555555555</v>
      </c>
      <c r="D460">
        <v>14.748888888888889</v>
      </c>
      <c r="E460">
        <f t="shared" si="28"/>
        <v>9.5814814814814811E-2</v>
      </c>
      <c r="F460">
        <f t="shared" si="29"/>
        <v>6.1453703703703705E-2</v>
      </c>
      <c r="G460">
        <f t="shared" si="30"/>
        <v>2</v>
      </c>
      <c r="H460">
        <f t="shared" si="31"/>
        <v>1.1497777777777778</v>
      </c>
    </row>
    <row r="461" spans="1:8" x14ac:dyDescent="0.25">
      <c r="A461">
        <v>1039</v>
      </c>
      <c r="B461">
        <v>2</v>
      </c>
      <c r="C461">
        <v>18.740816666666671</v>
      </c>
      <c r="D461">
        <v>15.54744361111111</v>
      </c>
      <c r="E461">
        <f t="shared" si="28"/>
        <v>7.8086736111111124E-2</v>
      </c>
      <c r="F461">
        <f t="shared" si="29"/>
        <v>6.4781015046296284E-2</v>
      </c>
      <c r="G461">
        <f t="shared" si="30"/>
        <v>1</v>
      </c>
      <c r="H461">
        <f t="shared" si="31"/>
        <v>0.93704083333333354</v>
      </c>
    </row>
    <row r="462" spans="1:8" x14ac:dyDescent="0.25">
      <c r="A462">
        <v>1039</v>
      </c>
      <c r="B462">
        <v>3</v>
      </c>
      <c r="C462">
        <v>16.46631305555556</v>
      </c>
      <c r="D462">
        <v>15.44776591666667</v>
      </c>
      <c r="E462">
        <f t="shared" si="28"/>
        <v>6.8609637731481501E-2</v>
      </c>
      <c r="F462">
        <f t="shared" si="29"/>
        <v>6.436569131944446E-2</v>
      </c>
      <c r="G462">
        <f t="shared" si="30"/>
        <v>1</v>
      </c>
      <c r="H462">
        <f t="shared" si="31"/>
        <v>0.82331565277777807</v>
      </c>
    </row>
    <row r="463" spans="1:8" x14ac:dyDescent="0.25">
      <c r="A463">
        <v>1039</v>
      </c>
      <c r="B463">
        <v>4</v>
      </c>
      <c r="C463">
        <v>67.720884444444451</v>
      </c>
      <c r="D463">
        <v>18.074570185184999</v>
      </c>
      <c r="E463">
        <f t="shared" si="28"/>
        <v>0.28217035185185185</v>
      </c>
      <c r="F463">
        <f t="shared" si="29"/>
        <v>7.5310709104937493E-2</v>
      </c>
      <c r="G463">
        <f t="shared" si="30"/>
        <v>4</v>
      </c>
      <c r="H463">
        <f t="shared" si="31"/>
        <v>3.386044222222222</v>
      </c>
    </row>
    <row r="464" spans="1:8" x14ac:dyDescent="0.25">
      <c r="A464">
        <v>1039</v>
      </c>
      <c r="B464">
        <v>5</v>
      </c>
      <c r="C464">
        <v>17.88368944444445</v>
      </c>
      <c r="D464">
        <v>15.22080919444444</v>
      </c>
      <c r="E464">
        <f t="shared" si="28"/>
        <v>7.4515372685185211E-2</v>
      </c>
      <c r="F464">
        <f t="shared" si="29"/>
        <v>6.3420038310185167E-2</v>
      </c>
      <c r="G464">
        <f t="shared" si="30"/>
        <v>1</v>
      </c>
      <c r="H464">
        <f t="shared" si="31"/>
        <v>0.89418447222222253</v>
      </c>
    </row>
    <row r="465" spans="1:8" x14ac:dyDescent="0.25">
      <c r="A465">
        <v>1039</v>
      </c>
      <c r="B465">
        <v>6</v>
      </c>
      <c r="C465">
        <v>18.715560277777779</v>
      </c>
      <c r="D465">
        <v>15.165875930555559</v>
      </c>
      <c r="E465">
        <f t="shared" si="28"/>
        <v>7.7981501157407415E-2</v>
      </c>
      <c r="F465">
        <f t="shared" si="29"/>
        <v>6.3191149710648167E-2</v>
      </c>
      <c r="G465">
        <f t="shared" si="30"/>
        <v>1</v>
      </c>
      <c r="H465">
        <f t="shared" si="31"/>
        <v>0.93577801388888893</v>
      </c>
    </row>
    <row r="466" spans="1:8" x14ac:dyDescent="0.25">
      <c r="A466">
        <v>1039</v>
      </c>
      <c r="B466">
        <v>7</v>
      </c>
      <c r="C466">
        <v>22.28136944444444</v>
      </c>
      <c r="D466">
        <v>15.76643440476167</v>
      </c>
      <c r="E466">
        <f t="shared" si="28"/>
        <v>9.2839039351851838E-2</v>
      </c>
      <c r="F466">
        <f t="shared" si="29"/>
        <v>6.5693476686506949E-2</v>
      </c>
      <c r="G466">
        <f t="shared" si="30"/>
        <v>2</v>
      </c>
      <c r="H466">
        <f t="shared" si="31"/>
        <v>1.1140684722222221</v>
      </c>
    </row>
    <row r="467" spans="1:8" x14ac:dyDescent="0.25">
      <c r="A467">
        <v>1039</v>
      </c>
      <c r="B467">
        <v>8</v>
      </c>
      <c r="C467">
        <v>28.47201472222222</v>
      </c>
      <c r="D467">
        <v>17.449381135265551</v>
      </c>
      <c r="E467">
        <f t="shared" si="28"/>
        <v>0.11863339467592592</v>
      </c>
      <c r="F467">
        <f t="shared" si="29"/>
        <v>7.2705754730273131E-2</v>
      </c>
      <c r="G467">
        <f t="shared" si="30"/>
        <v>2</v>
      </c>
      <c r="H467">
        <f t="shared" si="31"/>
        <v>1.4236007361111109</v>
      </c>
    </row>
    <row r="468" spans="1:8" x14ac:dyDescent="0.25">
      <c r="A468">
        <v>1039</v>
      </c>
      <c r="B468">
        <v>9</v>
      </c>
      <c r="C468">
        <v>16.31446861111111</v>
      </c>
      <c r="D468">
        <v>14.94538705555556</v>
      </c>
      <c r="E468">
        <f t="shared" si="28"/>
        <v>6.7976952546296293E-2</v>
      </c>
      <c r="F468">
        <f t="shared" si="29"/>
        <v>6.2272446064814836E-2</v>
      </c>
      <c r="G468">
        <f t="shared" si="30"/>
        <v>1</v>
      </c>
      <c r="H468">
        <f t="shared" si="31"/>
        <v>0.81572343055555552</v>
      </c>
    </row>
    <row r="469" spans="1:8" x14ac:dyDescent="0.25">
      <c r="A469">
        <v>1039</v>
      </c>
      <c r="B469">
        <v>10</v>
      </c>
      <c r="C469">
        <v>22.220708055555551</v>
      </c>
      <c r="D469">
        <v>16.046941338383611</v>
      </c>
      <c r="E469">
        <f t="shared" si="28"/>
        <v>9.2586283564814797E-2</v>
      </c>
      <c r="F469">
        <f t="shared" si="29"/>
        <v>6.6862255576598376E-2</v>
      </c>
      <c r="G469">
        <f t="shared" si="30"/>
        <v>2</v>
      </c>
      <c r="H469">
        <f t="shared" si="31"/>
        <v>1.1110354027777776</v>
      </c>
    </row>
    <row r="470" spans="1:8" x14ac:dyDescent="0.25">
      <c r="A470">
        <v>1039</v>
      </c>
      <c r="B470">
        <v>11</v>
      </c>
      <c r="C470">
        <v>16.433848055555551</v>
      </c>
      <c r="D470">
        <v>15.292696351009999</v>
      </c>
      <c r="E470">
        <f t="shared" si="28"/>
        <v>6.8474366898148134E-2</v>
      </c>
      <c r="F470">
        <f t="shared" si="29"/>
        <v>6.3719568129208329E-2</v>
      </c>
      <c r="G470">
        <f t="shared" si="30"/>
        <v>1</v>
      </c>
      <c r="H470">
        <f t="shared" si="31"/>
        <v>0.82169240277777766</v>
      </c>
    </row>
    <row r="471" spans="1:8" x14ac:dyDescent="0.25">
      <c r="A471">
        <v>1039</v>
      </c>
      <c r="B471">
        <v>12</v>
      </c>
      <c r="C471">
        <v>30.696621388888889</v>
      </c>
      <c r="D471">
        <v>18.029198095238051</v>
      </c>
      <c r="E471">
        <f t="shared" si="28"/>
        <v>0.12790258912037036</v>
      </c>
      <c r="F471">
        <f t="shared" si="29"/>
        <v>7.5121658730158539E-2</v>
      </c>
      <c r="G471">
        <f t="shared" si="30"/>
        <v>2</v>
      </c>
      <c r="H471">
        <f t="shared" si="31"/>
        <v>1.5348310694444445</v>
      </c>
    </row>
    <row r="472" spans="1:8" x14ac:dyDescent="0.25">
      <c r="A472">
        <v>1040</v>
      </c>
      <c r="B472">
        <v>1</v>
      </c>
      <c r="C472">
        <v>19.228333333333335</v>
      </c>
      <c r="D472">
        <v>10.006666666666666</v>
      </c>
      <c r="E472">
        <f t="shared" si="28"/>
        <v>8.0118055555555567E-2</v>
      </c>
      <c r="F472">
        <f t="shared" si="29"/>
        <v>4.1694444444444444E-2</v>
      </c>
      <c r="G472">
        <f t="shared" si="30"/>
        <v>1</v>
      </c>
      <c r="H472">
        <f t="shared" si="31"/>
        <v>0.96141666666666681</v>
      </c>
    </row>
    <row r="473" spans="1:8" x14ac:dyDescent="0.25">
      <c r="A473">
        <v>1040</v>
      </c>
      <c r="B473">
        <v>2</v>
      </c>
      <c r="C473">
        <v>32.906343333333332</v>
      </c>
      <c r="D473">
        <v>32.329496148989719</v>
      </c>
      <c r="E473">
        <f t="shared" si="28"/>
        <v>0.13710976388888887</v>
      </c>
      <c r="F473">
        <f t="shared" si="29"/>
        <v>0.13470623395412382</v>
      </c>
      <c r="G473">
        <f t="shared" si="30"/>
        <v>2</v>
      </c>
      <c r="H473">
        <f t="shared" si="31"/>
        <v>1.6453171666666666</v>
      </c>
    </row>
    <row r="474" spans="1:8" x14ac:dyDescent="0.25">
      <c r="A474">
        <v>1040</v>
      </c>
      <c r="B474">
        <v>3</v>
      </c>
      <c r="C474">
        <v>33.215639722222221</v>
      </c>
      <c r="D474">
        <v>26.41938264619861</v>
      </c>
      <c r="E474">
        <f t="shared" si="28"/>
        <v>0.13839849884259259</v>
      </c>
      <c r="F474">
        <f t="shared" si="29"/>
        <v>0.11008076102582753</v>
      </c>
      <c r="G474">
        <f t="shared" si="30"/>
        <v>2</v>
      </c>
      <c r="H474">
        <f t="shared" si="31"/>
        <v>1.6607819861111111</v>
      </c>
    </row>
    <row r="475" spans="1:8" x14ac:dyDescent="0.25">
      <c r="A475">
        <v>1040</v>
      </c>
      <c r="B475">
        <v>4</v>
      </c>
      <c r="C475">
        <v>33.0532325</v>
      </c>
      <c r="D475">
        <v>16.858623558200829</v>
      </c>
      <c r="E475">
        <f t="shared" si="28"/>
        <v>0.13772180208333332</v>
      </c>
      <c r="F475">
        <f t="shared" si="29"/>
        <v>7.0244264825836789E-2</v>
      </c>
      <c r="G475">
        <f t="shared" si="30"/>
        <v>2</v>
      </c>
      <c r="H475">
        <f t="shared" si="31"/>
        <v>1.6526616249999999</v>
      </c>
    </row>
    <row r="476" spans="1:8" x14ac:dyDescent="0.25">
      <c r="A476">
        <v>1040</v>
      </c>
      <c r="B476">
        <v>5</v>
      </c>
      <c r="C476">
        <v>10.7590875</v>
      </c>
      <c r="D476">
        <v>4.2809804444444444</v>
      </c>
      <c r="E476">
        <f t="shared" si="28"/>
        <v>4.4829531249999999E-2</v>
      </c>
      <c r="F476">
        <f t="shared" si="29"/>
        <v>1.7837418518518517E-2</v>
      </c>
      <c r="G476">
        <f t="shared" si="30"/>
        <v>1</v>
      </c>
      <c r="H476">
        <f t="shared" si="31"/>
        <v>0.53795437499999998</v>
      </c>
    </row>
    <row r="477" spans="1:8" x14ac:dyDescent="0.25">
      <c r="A477">
        <v>1040</v>
      </c>
      <c r="B477">
        <v>6</v>
      </c>
      <c r="C477">
        <v>10.379153055555561</v>
      </c>
      <c r="D477">
        <v>4.0207330555555556</v>
      </c>
      <c r="E477">
        <f t="shared" si="28"/>
        <v>4.3246471064814836E-2</v>
      </c>
      <c r="F477">
        <f t="shared" si="29"/>
        <v>1.6753054398148146E-2</v>
      </c>
      <c r="G477">
        <f t="shared" si="30"/>
        <v>1</v>
      </c>
      <c r="H477">
        <f t="shared" si="31"/>
        <v>0.51895765277777806</v>
      </c>
    </row>
    <row r="478" spans="1:8" x14ac:dyDescent="0.25">
      <c r="A478">
        <v>1040</v>
      </c>
      <c r="B478">
        <v>7</v>
      </c>
      <c r="C478">
        <v>12.694078611111109</v>
      </c>
      <c r="D478">
        <v>4.5542615740738892</v>
      </c>
      <c r="E478">
        <f t="shared" si="28"/>
        <v>5.2891994212962958E-2</v>
      </c>
      <c r="F478">
        <f t="shared" si="29"/>
        <v>1.8976089891974537E-2</v>
      </c>
      <c r="G478">
        <f t="shared" si="30"/>
        <v>1</v>
      </c>
      <c r="H478">
        <f t="shared" si="31"/>
        <v>0.63470393055555552</v>
      </c>
    </row>
    <row r="479" spans="1:8" x14ac:dyDescent="0.25">
      <c r="A479">
        <v>1040</v>
      </c>
      <c r="B479">
        <v>8</v>
      </c>
      <c r="C479">
        <v>15.956063333333329</v>
      </c>
      <c r="D479">
        <v>6.3005662077294442</v>
      </c>
      <c r="E479">
        <f t="shared" si="28"/>
        <v>6.6483597222222204E-2</v>
      </c>
      <c r="F479">
        <f t="shared" si="29"/>
        <v>2.6252359198872685E-2</v>
      </c>
      <c r="G479">
        <f t="shared" si="30"/>
        <v>1</v>
      </c>
      <c r="H479">
        <f t="shared" si="31"/>
        <v>0.79780316666666651</v>
      </c>
    </row>
    <row r="480" spans="1:8" x14ac:dyDescent="0.25">
      <c r="A480">
        <v>1040</v>
      </c>
      <c r="B480">
        <v>9</v>
      </c>
      <c r="C480">
        <v>6.8529425000000002</v>
      </c>
      <c r="D480">
        <v>4.1168243472222219</v>
      </c>
      <c r="E480">
        <f t="shared" si="28"/>
        <v>2.8553927083333333E-2</v>
      </c>
      <c r="F480">
        <f t="shared" si="29"/>
        <v>1.7153434780092593E-2</v>
      </c>
      <c r="G480">
        <f t="shared" si="30"/>
        <v>1</v>
      </c>
      <c r="H480">
        <f t="shared" si="31"/>
        <v>0.342647125</v>
      </c>
    </row>
    <row r="481" spans="1:8" x14ac:dyDescent="0.25">
      <c r="A481">
        <v>1040</v>
      </c>
      <c r="B481">
        <v>10</v>
      </c>
      <c r="C481">
        <v>25.254595277777781</v>
      </c>
      <c r="D481">
        <v>6.2086275757575002</v>
      </c>
      <c r="E481">
        <f t="shared" si="28"/>
        <v>0.10522748032407409</v>
      </c>
      <c r="F481">
        <f t="shared" si="29"/>
        <v>2.5869281565656252E-2</v>
      </c>
      <c r="G481">
        <f t="shared" si="30"/>
        <v>2</v>
      </c>
      <c r="H481">
        <f t="shared" si="31"/>
        <v>1.262729763888889</v>
      </c>
    </row>
    <row r="482" spans="1:8" x14ac:dyDescent="0.25">
      <c r="A482">
        <v>1040</v>
      </c>
      <c r="B482">
        <v>11</v>
      </c>
      <c r="C482">
        <v>25.576454166666672</v>
      </c>
      <c r="D482">
        <v>6.9027722474747222</v>
      </c>
      <c r="E482">
        <f t="shared" si="28"/>
        <v>0.1065685590277778</v>
      </c>
      <c r="F482">
        <f t="shared" si="29"/>
        <v>2.8761551031144677E-2</v>
      </c>
      <c r="G482">
        <f t="shared" si="30"/>
        <v>2</v>
      </c>
      <c r="H482">
        <f t="shared" si="31"/>
        <v>1.2788227083333337</v>
      </c>
    </row>
    <row r="483" spans="1:8" x14ac:dyDescent="0.25">
      <c r="A483">
        <v>1040</v>
      </c>
      <c r="B483">
        <v>12</v>
      </c>
      <c r="C483">
        <v>24.09017722222222</v>
      </c>
      <c r="D483">
        <v>8.087044828042222</v>
      </c>
      <c r="E483">
        <f t="shared" si="28"/>
        <v>0.10037573842592591</v>
      </c>
      <c r="F483">
        <f t="shared" si="29"/>
        <v>3.3696020116842591E-2</v>
      </c>
      <c r="G483">
        <f t="shared" si="30"/>
        <v>2</v>
      </c>
      <c r="H483">
        <f t="shared" si="31"/>
        <v>1.204508861111111</v>
      </c>
    </row>
    <row r="484" spans="1:8" x14ac:dyDescent="0.25">
      <c r="A484">
        <v>1041</v>
      </c>
      <c r="B484">
        <v>1</v>
      </c>
      <c r="C484">
        <v>19.223333333333336</v>
      </c>
      <c r="D484">
        <v>18.160277777777775</v>
      </c>
      <c r="E484">
        <f t="shared" si="28"/>
        <v>8.0097222222222236E-2</v>
      </c>
      <c r="F484">
        <f t="shared" si="29"/>
        <v>7.5667824074074061E-2</v>
      </c>
      <c r="G484">
        <f t="shared" si="30"/>
        <v>1</v>
      </c>
      <c r="H484">
        <f t="shared" si="31"/>
        <v>0.96116666666666684</v>
      </c>
    </row>
    <row r="485" spans="1:8" x14ac:dyDescent="0.25">
      <c r="A485">
        <v>1041</v>
      </c>
      <c r="B485">
        <v>2</v>
      </c>
      <c r="C485">
        <v>20.37699555555556</v>
      </c>
      <c r="D485">
        <v>19.94475329545444</v>
      </c>
      <c r="E485">
        <f t="shared" si="28"/>
        <v>8.4904148148148173E-2</v>
      </c>
      <c r="F485">
        <f t="shared" si="29"/>
        <v>8.3103138731060164E-2</v>
      </c>
      <c r="G485">
        <f t="shared" si="30"/>
        <v>2</v>
      </c>
      <c r="H485">
        <f t="shared" si="31"/>
        <v>1.0188497777777781</v>
      </c>
    </row>
    <row r="486" spans="1:8" x14ac:dyDescent="0.25">
      <c r="A486">
        <v>1041</v>
      </c>
      <c r="B486">
        <v>3</v>
      </c>
      <c r="C486">
        <v>20.38330361111111</v>
      </c>
      <c r="D486">
        <v>20.252817347222219</v>
      </c>
      <c r="E486">
        <f t="shared" si="28"/>
        <v>8.4930431712962953E-2</v>
      </c>
      <c r="F486">
        <f t="shared" si="29"/>
        <v>8.4386738946759243E-2</v>
      </c>
      <c r="G486">
        <f t="shared" si="30"/>
        <v>2</v>
      </c>
      <c r="H486">
        <f t="shared" si="31"/>
        <v>1.0191651805555555</v>
      </c>
    </row>
    <row r="487" spans="1:8" x14ac:dyDescent="0.25">
      <c r="A487">
        <v>1041</v>
      </c>
      <c r="B487">
        <v>4</v>
      </c>
      <c r="C487">
        <v>23.11490638888889</v>
      </c>
      <c r="D487">
        <v>20.034003015872781</v>
      </c>
      <c r="E487">
        <f t="shared" si="28"/>
        <v>9.6312109953703706E-2</v>
      </c>
      <c r="F487">
        <f t="shared" si="29"/>
        <v>8.3475012566136583E-2</v>
      </c>
      <c r="G487">
        <f t="shared" si="30"/>
        <v>2</v>
      </c>
      <c r="H487">
        <f t="shared" si="31"/>
        <v>1.1557453194444445</v>
      </c>
    </row>
    <row r="488" spans="1:8" x14ac:dyDescent="0.25">
      <c r="A488">
        <v>1041</v>
      </c>
      <c r="B488">
        <v>5</v>
      </c>
      <c r="C488">
        <v>20.38841</v>
      </c>
      <c r="D488">
        <v>19.252774083333328</v>
      </c>
      <c r="E488">
        <f t="shared" si="28"/>
        <v>8.4951708333333334E-2</v>
      </c>
      <c r="F488">
        <f t="shared" si="29"/>
        <v>8.0219892013888863E-2</v>
      </c>
      <c r="G488">
        <f t="shared" si="30"/>
        <v>2</v>
      </c>
      <c r="H488">
        <f t="shared" si="31"/>
        <v>1.0194205000000001</v>
      </c>
    </row>
    <row r="489" spans="1:8" x14ac:dyDescent="0.25">
      <c r="A489">
        <v>1041</v>
      </c>
      <c r="B489">
        <v>6</v>
      </c>
      <c r="C489">
        <v>22.267090833333331</v>
      </c>
      <c r="D489">
        <v>19.839596763888888</v>
      </c>
      <c r="E489">
        <f t="shared" si="28"/>
        <v>9.2779545138888878E-2</v>
      </c>
      <c r="F489">
        <f t="shared" si="29"/>
        <v>8.2664986516203701E-2</v>
      </c>
      <c r="G489">
        <f t="shared" si="30"/>
        <v>2</v>
      </c>
      <c r="H489">
        <f t="shared" si="31"/>
        <v>1.1133545416666666</v>
      </c>
    </row>
    <row r="490" spans="1:8" x14ac:dyDescent="0.25">
      <c r="A490">
        <v>1041</v>
      </c>
      <c r="B490">
        <v>7</v>
      </c>
      <c r="C490">
        <v>22.19286111111111</v>
      </c>
      <c r="D490">
        <v>19.432191335978612</v>
      </c>
      <c r="E490">
        <f t="shared" si="28"/>
        <v>9.2470254629629614E-2</v>
      </c>
      <c r="F490">
        <f t="shared" si="29"/>
        <v>8.0967463899910885E-2</v>
      </c>
      <c r="G490">
        <f t="shared" si="30"/>
        <v>2</v>
      </c>
      <c r="H490">
        <f t="shared" si="31"/>
        <v>1.1096430555555554</v>
      </c>
    </row>
    <row r="491" spans="1:8" x14ac:dyDescent="0.25">
      <c r="A491">
        <v>1041</v>
      </c>
      <c r="B491">
        <v>8</v>
      </c>
      <c r="C491">
        <v>22.16359527777778</v>
      </c>
      <c r="D491">
        <v>20.30314205314</v>
      </c>
      <c r="E491">
        <f t="shared" si="28"/>
        <v>9.2348313657407421E-2</v>
      </c>
      <c r="F491">
        <f t="shared" si="29"/>
        <v>8.459642522141668E-2</v>
      </c>
      <c r="G491">
        <f t="shared" si="30"/>
        <v>2</v>
      </c>
      <c r="H491">
        <f t="shared" si="31"/>
        <v>1.1081797638888891</v>
      </c>
    </row>
    <row r="492" spans="1:8" x14ac:dyDescent="0.25">
      <c r="A492">
        <v>1041</v>
      </c>
      <c r="B492">
        <v>9</v>
      </c>
      <c r="C492">
        <v>19.838121944444449</v>
      </c>
      <c r="D492">
        <v>19.655607569444449</v>
      </c>
      <c r="E492">
        <f t="shared" si="28"/>
        <v>8.2658841435185204E-2</v>
      </c>
      <c r="F492">
        <f t="shared" si="29"/>
        <v>8.1898364872685203E-2</v>
      </c>
      <c r="G492">
        <f t="shared" si="30"/>
        <v>1</v>
      </c>
      <c r="H492">
        <f t="shared" si="31"/>
        <v>0.99190609722222245</v>
      </c>
    </row>
    <row r="493" spans="1:8" x14ac:dyDescent="0.25">
      <c r="A493">
        <v>1041</v>
      </c>
      <c r="B493">
        <v>10</v>
      </c>
      <c r="C493">
        <v>19.9622575</v>
      </c>
      <c r="D493">
        <v>19.743535075757499</v>
      </c>
      <c r="E493">
        <f t="shared" si="28"/>
        <v>8.3176072916666663E-2</v>
      </c>
      <c r="F493">
        <f t="shared" si="29"/>
        <v>8.2264729482322912E-2</v>
      </c>
      <c r="G493">
        <f t="shared" si="30"/>
        <v>1</v>
      </c>
      <c r="H493">
        <f t="shared" si="31"/>
        <v>0.9981128749999999</v>
      </c>
    </row>
    <row r="494" spans="1:8" x14ac:dyDescent="0.25">
      <c r="A494">
        <v>1041</v>
      </c>
      <c r="B494">
        <v>11</v>
      </c>
      <c r="C494">
        <v>19.860870277777781</v>
      </c>
      <c r="D494">
        <v>19.644047487373609</v>
      </c>
      <c r="E494">
        <f t="shared" si="28"/>
        <v>8.2753626157407431E-2</v>
      </c>
      <c r="F494">
        <f t="shared" si="29"/>
        <v>8.1850197864056701E-2</v>
      </c>
      <c r="G494">
        <f t="shared" si="30"/>
        <v>1</v>
      </c>
      <c r="H494">
        <f t="shared" si="31"/>
        <v>0.99304351388888912</v>
      </c>
    </row>
    <row r="495" spans="1:8" x14ac:dyDescent="0.25">
      <c r="A495">
        <v>1041</v>
      </c>
      <c r="B495">
        <v>12</v>
      </c>
      <c r="C495">
        <v>20.13073972222222</v>
      </c>
      <c r="D495">
        <v>19.820053703703611</v>
      </c>
      <c r="E495">
        <f t="shared" si="28"/>
        <v>8.3878082175925919E-2</v>
      </c>
      <c r="F495">
        <f t="shared" si="29"/>
        <v>8.258355709876504E-2</v>
      </c>
      <c r="G495">
        <f t="shared" si="30"/>
        <v>2</v>
      </c>
      <c r="H495">
        <f t="shared" si="31"/>
        <v>1.0065369861111111</v>
      </c>
    </row>
    <row r="496" spans="1:8" x14ac:dyDescent="0.25">
      <c r="A496">
        <v>1042</v>
      </c>
      <c r="B496">
        <v>1</v>
      </c>
      <c r="C496">
        <v>18.316666666666666</v>
      </c>
      <c r="D496">
        <v>18.028333333333332</v>
      </c>
      <c r="E496">
        <f t="shared" si="28"/>
        <v>7.631944444444444E-2</v>
      </c>
      <c r="F496">
        <f t="shared" si="29"/>
        <v>7.5118055555555549E-2</v>
      </c>
      <c r="G496">
        <f t="shared" si="30"/>
        <v>1</v>
      </c>
      <c r="H496">
        <f t="shared" si="31"/>
        <v>0.91583333333333328</v>
      </c>
    </row>
    <row r="497" spans="1:8" x14ac:dyDescent="0.25">
      <c r="A497">
        <v>1042</v>
      </c>
      <c r="B497">
        <v>2</v>
      </c>
      <c r="C497">
        <v>19.983534166666669</v>
      </c>
      <c r="D497">
        <v>19.588548825757499</v>
      </c>
      <c r="E497">
        <f t="shared" si="28"/>
        <v>8.3264725694444444E-2</v>
      </c>
      <c r="F497">
        <f t="shared" si="29"/>
        <v>8.1618953440656242E-2</v>
      </c>
      <c r="G497">
        <f t="shared" si="30"/>
        <v>1</v>
      </c>
      <c r="H497">
        <f t="shared" si="31"/>
        <v>0.99917670833333339</v>
      </c>
    </row>
    <row r="498" spans="1:8" x14ac:dyDescent="0.25">
      <c r="A498">
        <v>1042</v>
      </c>
      <c r="B498">
        <v>3</v>
      </c>
      <c r="C498">
        <v>19.927597500000001</v>
      </c>
      <c r="D498">
        <v>19.871337736111109</v>
      </c>
      <c r="E498">
        <f t="shared" si="28"/>
        <v>8.3031656250000002E-2</v>
      </c>
      <c r="F498">
        <f t="shared" si="29"/>
        <v>8.2797240567129615E-2</v>
      </c>
      <c r="G498">
        <f t="shared" si="30"/>
        <v>1</v>
      </c>
      <c r="H498">
        <f t="shared" si="31"/>
        <v>0.99637987500000003</v>
      </c>
    </row>
    <row r="499" spans="1:8" x14ac:dyDescent="0.25">
      <c r="A499">
        <v>1042</v>
      </c>
      <c r="B499">
        <v>4</v>
      </c>
      <c r="C499">
        <v>19.92896833333333</v>
      </c>
      <c r="D499">
        <v>19.489739246031672</v>
      </c>
      <c r="E499">
        <f t="shared" si="28"/>
        <v>8.3037368055555547E-2</v>
      </c>
      <c r="F499">
        <f t="shared" si="29"/>
        <v>8.1207246858465296E-2</v>
      </c>
      <c r="G499">
        <f t="shared" si="30"/>
        <v>1</v>
      </c>
      <c r="H499">
        <f t="shared" si="31"/>
        <v>0.9964484166666665</v>
      </c>
    </row>
    <row r="500" spans="1:8" x14ac:dyDescent="0.25">
      <c r="A500">
        <v>1042</v>
      </c>
      <c r="B500">
        <v>5</v>
      </c>
      <c r="C500">
        <v>19.931112777777781</v>
      </c>
      <c r="D500">
        <v>19.793545138888891</v>
      </c>
      <c r="E500">
        <f t="shared" si="28"/>
        <v>8.3046303240740749E-2</v>
      </c>
      <c r="F500">
        <f t="shared" si="29"/>
        <v>8.2473104745370382E-2</v>
      </c>
      <c r="G500">
        <f t="shared" si="30"/>
        <v>1</v>
      </c>
      <c r="H500">
        <f t="shared" si="31"/>
        <v>0.99655563888888898</v>
      </c>
    </row>
    <row r="501" spans="1:8" x14ac:dyDescent="0.25">
      <c r="A501">
        <v>1042</v>
      </c>
      <c r="B501">
        <v>6</v>
      </c>
      <c r="C501">
        <v>20.060009166666671</v>
      </c>
      <c r="D501">
        <v>19.683675820706949</v>
      </c>
      <c r="E501">
        <f t="shared" si="28"/>
        <v>8.3583371527777797E-2</v>
      </c>
      <c r="F501">
        <f t="shared" si="29"/>
        <v>8.2015315919612294E-2</v>
      </c>
      <c r="G501">
        <f t="shared" si="30"/>
        <v>2</v>
      </c>
      <c r="H501">
        <f t="shared" si="31"/>
        <v>1.0030004583333336</v>
      </c>
    </row>
    <row r="502" spans="1:8" x14ac:dyDescent="0.25">
      <c r="A502">
        <v>1042</v>
      </c>
      <c r="B502">
        <v>7</v>
      </c>
      <c r="C502">
        <v>20.24065388888889</v>
      </c>
      <c r="D502">
        <v>19.371764920634721</v>
      </c>
      <c r="E502">
        <f t="shared" si="28"/>
        <v>8.4336057870370365E-2</v>
      </c>
      <c r="F502">
        <f t="shared" si="29"/>
        <v>8.0715687169311337E-2</v>
      </c>
      <c r="G502">
        <f t="shared" si="30"/>
        <v>2</v>
      </c>
      <c r="H502">
        <f t="shared" si="31"/>
        <v>1.0120326944444444</v>
      </c>
    </row>
    <row r="503" spans="1:8" x14ac:dyDescent="0.25">
      <c r="A503">
        <v>1042</v>
      </c>
      <c r="B503">
        <v>8</v>
      </c>
      <c r="C503">
        <v>19.93174444444444</v>
      </c>
      <c r="D503">
        <v>19.53131054347806</v>
      </c>
      <c r="E503">
        <f t="shared" si="28"/>
        <v>8.3048935185185177E-2</v>
      </c>
      <c r="F503">
        <f t="shared" si="29"/>
        <v>8.1380460597825249E-2</v>
      </c>
      <c r="G503">
        <f t="shared" si="30"/>
        <v>1</v>
      </c>
      <c r="H503">
        <f t="shared" si="31"/>
        <v>0.99658722222222207</v>
      </c>
    </row>
    <row r="504" spans="1:8" x14ac:dyDescent="0.25">
      <c r="A504">
        <v>1042</v>
      </c>
      <c r="B504">
        <v>9</v>
      </c>
      <c r="C504">
        <v>19.980943611111108</v>
      </c>
      <c r="D504">
        <v>19.774977611111112</v>
      </c>
      <c r="E504">
        <f t="shared" si="28"/>
        <v>8.3253931712962956E-2</v>
      </c>
      <c r="F504">
        <f t="shared" si="29"/>
        <v>8.2395740046296295E-2</v>
      </c>
      <c r="G504">
        <f t="shared" si="30"/>
        <v>1</v>
      </c>
      <c r="H504">
        <f t="shared" si="31"/>
        <v>0.99904718055555541</v>
      </c>
    </row>
    <row r="505" spans="1:8" x14ac:dyDescent="0.25">
      <c r="A505">
        <v>1042</v>
      </c>
      <c r="B505">
        <v>10</v>
      </c>
      <c r="C505">
        <v>19.921798055555559</v>
      </c>
      <c r="D505">
        <v>19.73025734848472</v>
      </c>
      <c r="E505">
        <f t="shared" si="28"/>
        <v>8.300749189814817E-2</v>
      </c>
      <c r="F505">
        <f t="shared" si="29"/>
        <v>8.2209405618686338E-2</v>
      </c>
      <c r="G505">
        <f t="shared" si="30"/>
        <v>1</v>
      </c>
      <c r="H505">
        <f t="shared" si="31"/>
        <v>0.99608990277777809</v>
      </c>
    </row>
    <row r="506" spans="1:8" x14ac:dyDescent="0.25">
      <c r="A506">
        <v>1042</v>
      </c>
      <c r="B506">
        <v>11</v>
      </c>
      <c r="C506">
        <v>19.942405000000001</v>
      </c>
      <c r="D506">
        <v>19.636640458936949</v>
      </c>
      <c r="E506">
        <f t="shared" si="28"/>
        <v>8.3093354166666675E-2</v>
      </c>
      <c r="F506">
        <f t="shared" si="29"/>
        <v>8.1819335245570626E-2</v>
      </c>
      <c r="G506">
        <f t="shared" si="30"/>
        <v>1</v>
      </c>
      <c r="H506">
        <f t="shared" si="31"/>
        <v>0.99712025000000004</v>
      </c>
    </row>
    <row r="507" spans="1:8" x14ac:dyDescent="0.25">
      <c r="A507">
        <v>1042</v>
      </c>
      <c r="B507">
        <v>12</v>
      </c>
      <c r="C507">
        <v>19.94926666666667</v>
      </c>
      <c r="D507">
        <v>19.865551243386111</v>
      </c>
      <c r="E507">
        <f t="shared" si="28"/>
        <v>8.3121944444444457E-2</v>
      </c>
      <c r="F507">
        <f t="shared" si="29"/>
        <v>8.2773130180775464E-2</v>
      </c>
      <c r="G507">
        <f t="shared" si="30"/>
        <v>1</v>
      </c>
      <c r="H507">
        <f t="shared" si="31"/>
        <v>0.99746333333333348</v>
      </c>
    </row>
    <row r="508" spans="1:8" x14ac:dyDescent="0.25">
      <c r="A508">
        <v>1043</v>
      </c>
      <c r="B508">
        <v>1</v>
      </c>
      <c r="C508">
        <v>17.170000000000002</v>
      </c>
      <c r="D508">
        <v>16.741388888888888</v>
      </c>
      <c r="E508">
        <f t="shared" si="28"/>
        <v>7.154166666666667E-2</v>
      </c>
      <c r="F508">
        <f t="shared" si="29"/>
        <v>6.975578703703704E-2</v>
      </c>
      <c r="G508">
        <f t="shared" si="30"/>
        <v>1</v>
      </c>
      <c r="H508">
        <f t="shared" si="31"/>
        <v>0.85850000000000004</v>
      </c>
    </row>
    <row r="509" spans="1:8" x14ac:dyDescent="0.25">
      <c r="A509">
        <v>1043</v>
      </c>
      <c r="B509">
        <v>2</v>
      </c>
      <c r="C509">
        <v>18.664993611111111</v>
      </c>
      <c r="D509">
        <v>18.38641087121194</v>
      </c>
      <c r="E509">
        <f t="shared" si="28"/>
        <v>7.7770806712962964E-2</v>
      </c>
      <c r="F509">
        <f t="shared" si="29"/>
        <v>7.6610045296716417E-2</v>
      </c>
      <c r="G509">
        <f t="shared" si="30"/>
        <v>1</v>
      </c>
      <c r="H509">
        <f t="shared" si="31"/>
        <v>0.93324968055555557</v>
      </c>
    </row>
    <row r="510" spans="1:8" x14ac:dyDescent="0.25">
      <c r="A510">
        <v>1043</v>
      </c>
      <c r="B510">
        <v>3</v>
      </c>
      <c r="C510">
        <v>18.64514611111111</v>
      </c>
      <c r="D510">
        <v>18.471169416666669</v>
      </c>
      <c r="E510">
        <f t="shared" si="28"/>
        <v>7.7688108796296299E-2</v>
      </c>
      <c r="F510">
        <f t="shared" si="29"/>
        <v>7.696320590277779E-2</v>
      </c>
      <c r="G510">
        <f t="shared" si="30"/>
        <v>1</v>
      </c>
      <c r="H510">
        <f t="shared" si="31"/>
        <v>0.93225730555555564</v>
      </c>
    </row>
    <row r="511" spans="1:8" x14ac:dyDescent="0.25">
      <c r="A511">
        <v>1043</v>
      </c>
      <c r="B511">
        <v>4</v>
      </c>
      <c r="C511">
        <v>18.653988055555551</v>
      </c>
      <c r="D511">
        <v>18.33456645502639</v>
      </c>
      <c r="E511">
        <f t="shared" si="28"/>
        <v>7.772495023148146E-2</v>
      </c>
      <c r="F511">
        <f t="shared" si="29"/>
        <v>7.6394026895943296E-2</v>
      </c>
      <c r="G511">
        <f t="shared" si="30"/>
        <v>1</v>
      </c>
      <c r="H511">
        <f t="shared" si="31"/>
        <v>0.93269940277777752</v>
      </c>
    </row>
    <row r="512" spans="1:8" x14ac:dyDescent="0.25">
      <c r="A512">
        <v>1043</v>
      </c>
      <c r="B512">
        <v>5</v>
      </c>
      <c r="C512">
        <v>18.661820277777782</v>
      </c>
      <c r="D512">
        <v>16.551855357142781</v>
      </c>
      <c r="E512">
        <f t="shared" si="28"/>
        <v>7.7757584490740758E-2</v>
      </c>
      <c r="F512">
        <f t="shared" si="29"/>
        <v>6.8966063988094919E-2</v>
      </c>
      <c r="G512">
        <f t="shared" si="30"/>
        <v>1</v>
      </c>
      <c r="H512">
        <f t="shared" si="31"/>
        <v>0.93309101388888904</v>
      </c>
    </row>
    <row r="513" spans="1:8" x14ac:dyDescent="0.25">
      <c r="A513">
        <v>1043</v>
      </c>
      <c r="B513">
        <v>6</v>
      </c>
      <c r="C513">
        <v>18.657034166666669</v>
      </c>
      <c r="D513">
        <v>18.363160370370281</v>
      </c>
      <c r="E513">
        <f t="shared" si="28"/>
        <v>7.7737642361111123E-2</v>
      </c>
      <c r="F513">
        <f t="shared" si="29"/>
        <v>7.6513168209876178E-2</v>
      </c>
      <c r="G513">
        <f t="shared" si="30"/>
        <v>1</v>
      </c>
      <c r="H513">
        <f t="shared" si="31"/>
        <v>0.93285170833333342</v>
      </c>
    </row>
    <row r="514" spans="1:8" x14ac:dyDescent="0.25">
      <c r="A514">
        <v>1043</v>
      </c>
      <c r="B514">
        <v>7</v>
      </c>
      <c r="C514">
        <v>18.643304722222219</v>
      </c>
      <c r="D514">
        <v>18.599602910052781</v>
      </c>
      <c r="E514">
        <f t="shared" ref="E514:E577" si="32">+C514/20/12</f>
        <v>7.7680436342592571E-2</v>
      </c>
      <c r="F514">
        <f t="shared" ref="F514:F577" si="33">+D514/20/12</f>
        <v>7.7498345458553261E-2</v>
      </c>
      <c r="G514">
        <f t="shared" ref="G514:G577" si="34">+ROUNDUP(E514*12,0)</f>
        <v>1</v>
      </c>
      <c r="H514">
        <f t="shared" ref="H514:H577" si="35">+E514*12</f>
        <v>0.9321652361111108</v>
      </c>
    </row>
    <row r="515" spans="1:8" x14ac:dyDescent="0.25">
      <c r="A515">
        <v>1043</v>
      </c>
      <c r="B515">
        <v>8</v>
      </c>
      <c r="C515">
        <v>19.581140277777781</v>
      </c>
      <c r="D515">
        <v>18.498549444444439</v>
      </c>
      <c r="E515">
        <f t="shared" si="32"/>
        <v>8.1588084490740745E-2</v>
      </c>
      <c r="F515">
        <f t="shared" si="33"/>
        <v>7.7077289351851833E-2</v>
      </c>
      <c r="G515">
        <f t="shared" si="34"/>
        <v>1</v>
      </c>
      <c r="H515">
        <f t="shared" si="35"/>
        <v>0.97905701388888899</v>
      </c>
    </row>
    <row r="516" spans="1:8" x14ac:dyDescent="0.25">
      <c r="A516">
        <v>1043</v>
      </c>
      <c r="B516">
        <v>9</v>
      </c>
      <c r="C516">
        <v>18.641783333333329</v>
      </c>
      <c r="D516">
        <v>18.30545991666667</v>
      </c>
      <c r="E516">
        <f t="shared" si="32"/>
        <v>7.7674097222222196E-2</v>
      </c>
      <c r="F516">
        <f t="shared" si="33"/>
        <v>7.6272749652777791E-2</v>
      </c>
      <c r="G516">
        <f t="shared" si="34"/>
        <v>1</v>
      </c>
      <c r="H516">
        <f t="shared" si="35"/>
        <v>0.93208916666666641</v>
      </c>
    </row>
    <row r="517" spans="1:8" x14ac:dyDescent="0.25">
      <c r="A517">
        <v>1043</v>
      </c>
      <c r="B517">
        <v>10</v>
      </c>
      <c r="C517">
        <v>18.65542944444444</v>
      </c>
      <c r="D517">
        <v>18.563485669191671</v>
      </c>
      <c r="E517">
        <f t="shared" si="32"/>
        <v>7.7730956018518496E-2</v>
      </c>
      <c r="F517">
        <f t="shared" si="33"/>
        <v>7.7347856954965294E-2</v>
      </c>
      <c r="G517">
        <f t="shared" si="34"/>
        <v>1</v>
      </c>
      <c r="H517">
        <f t="shared" si="35"/>
        <v>0.93277147222222201</v>
      </c>
    </row>
    <row r="518" spans="1:8" x14ac:dyDescent="0.25">
      <c r="A518">
        <v>1043</v>
      </c>
      <c r="B518">
        <v>11</v>
      </c>
      <c r="C518">
        <v>18.61130444444445</v>
      </c>
      <c r="D518">
        <v>18.444913876811391</v>
      </c>
      <c r="E518">
        <f t="shared" si="32"/>
        <v>7.7547101851851874E-2</v>
      </c>
      <c r="F518">
        <f t="shared" si="33"/>
        <v>7.6853807820047457E-2</v>
      </c>
      <c r="G518">
        <f t="shared" si="34"/>
        <v>1</v>
      </c>
      <c r="H518">
        <f t="shared" si="35"/>
        <v>0.93056522222222249</v>
      </c>
    </row>
    <row r="519" spans="1:8" x14ac:dyDescent="0.25">
      <c r="A519">
        <v>1043</v>
      </c>
      <c r="B519">
        <v>12</v>
      </c>
      <c r="C519">
        <v>18.622045277777779</v>
      </c>
      <c r="D519">
        <v>18.375655992063329</v>
      </c>
      <c r="E519">
        <f t="shared" si="32"/>
        <v>7.7591855324074074E-2</v>
      </c>
      <c r="F519">
        <f t="shared" si="33"/>
        <v>7.6565233300263866E-2</v>
      </c>
      <c r="G519">
        <f t="shared" si="34"/>
        <v>1</v>
      </c>
      <c r="H519">
        <f t="shared" si="35"/>
        <v>0.93110226388888884</v>
      </c>
    </row>
    <row r="520" spans="1:8" x14ac:dyDescent="0.25">
      <c r="A520">
        <v>1044</v>
      </c>
      <c r="B520">
        <v>1</v>
      </c>
      <c r="C520">
        <v>34.166666666666664</v>
      </c>
      <c r="D520">
        <v>24.865833333333335</v>
      </c>
      <c r="E520">
        <f t="shared" si="32"/>
        <v>0.1423611111111111</v>
      </c>
      <c r="F520">
        <f t="shared" si="33"/>
        <v>0.10360763888888889</v>
      </c>
      <c r="G520">
        <f t="shared" si="34"/>
        <v>2</v>
      </c>
      <c r="H520">
        <f t="shared" si="35"/>
        <v>1.7083333333333333</v>
      </c>
    </row>
    <row r="521" spans="1:8" x14ac:dyDescent="0.25">
      <c r="A521">
        <v>1044</v>
      </c>
      <c r="B521">
        <v>2</v>
      </c>
      <c r="C521">
        <v>29.84616055555556</v>
      </c>
      <c r="D521">
        <v>29.265691388888889</v>
      </c>
      <c r="E521">
        <f t="shared" si="32"/>
        <v>0.12435900231481484</v>
      </c>
      <c r="F521">
        <f t="shared" si="33"/>
        <v>0.12194038078703705</v>
      </c>
      <c r="G521">
        <f t="shared" si="34"/>
        <v>2</v>
      </c>
      <c r="H521">
        <f t="shared" si="35"/>
        <v>1.492308027777778</v>
      </c>
    </row>
    <row r="522" spans="1:8" x14ac:dyDescent="0.25">
      <c r="A522">
        <v>1044</v>
      </c>
      <c r="B522">
        <v>3</v>
      </c>
      <c r="C522">
        <v>29.850579722222221</v>
      </c>
      <c r="D522">
        <v>29.778394097222218</v>
      </c>
      <c r="E522">
        <f t="shared" si="32"/>
        <v>0.12437741550925925</v>
      </c>
      <c r="F522">
        <f t="shared" si="33"/>
        <v>0.12407664207175924</v>
      </c>
      <c r="G522">
        <f t="shared" si="34"/>
        <v>2</v>
      </c>
      <c r="H522">
        <f t="shared" si="35"/>
        <v>1.4925289861111111</v>
      </c>
    </row>
    <row r="523" spans="1:8" x14ac:dyDescent="0.25">
      <c r="A523">
        <v>1044</v>
      </c>
      <c r="B523">
        <v>4</v>
      </c>
      <c r="C523">
        <v>85.619122500000003</v>
      </c>
      <c r="D523">
        <v>32.064433994708892</v>
      </c>
      <c r="E523">
        <f t="shared" si="32"/>
        <v>0.35674634375000003</v>
      </c>
      <c r="F523">
        <f t="shared" si="33"/>
        <v>0.13360180831128707</v>
      </c>
      <c r="G523">
        <f t="shared" si="34"/>
        <v>5</v>
      </c>
      <c r="H523">
        <f t="shared" si="35"/>
        <v>4.2809561250000003</v>
      </c>
    </row>
    <row r="524" spans="1:8" x14ac:dyDescent="0.25">
      <c r="A524">
        <v>1044</v>
      </c>
      <c r="B524">
        <v>5</v>
      </c>
      <c r="C524">
        <v>29.840107499999998</v>
      </c>
      <c r="D524">
        <v>29.814931194444441</v>
      </c>
      <c r="E524">
        <f t="shared" si="32"/>
        <v>0.12433378125</v>
      </c>
      <c r="F524">
        <f t="shared" si="33"/>
        <v>0.12422887997685184</v>
      </c>
      <c r="G524">
        <f t="shared" si="34"/>
        <v>2</v>
      </c>
      <c r="H524">
        <f t="shared" si="35"/>
        <v>1.492005375</v>
      </c>
    </row>
    <row r="525" spans="1:8" x14ac:dyDescent="0.25">
      <c r="A525">
        <v>1044</v>
      </c>
      <c r="B525">
        <v>6</v>
      </c>
      <c r="C525">
        <v>29.843639722222221</v>
      </c>
      <c r="D525">
        <v>28.270026504629449</v>
      </c>
      <c r="E525">
        <f t="shared" si="32"/>
        <v>0.12434849884259258</v>
      </c>
      <c r="F525">
        <f t="shared" si="33"/>
        <v>0.11779177710262272</v>
      </c>
      <c r="G525">
        <f t="shared" si="34"/>
        <v>2</v>
      </c>
      <c r="H525">
        <f t="shared" si="35"/>
        <v>1.492181986111111</v>
      </c>
    </row>
    <row r="526" spans="1:8" x14ac:dyDescent="0.25">
      <c r="A526">
        <v>1045</v>
      </c>
      <c r="B526">
        <v>1</v>
      </c>
      <c r="C526">
        <v>16.226111111111113</v>
      </c>
      <c r="D526">
        <v>3.2355555555555555</v>
      </c>
      <c r="E526">
        <f t="shared" si="32"/>
        <v>6.7608796296296306E-2</v>
      </c>
      <c r="F526">
        <f t="shared" si="33"/>
        <v>1.3481481481481481E-2</v>
      </c>
      <c r="G526">
        <f t="shared" si="34"/>
        <v>1</v>
      </c>
      <c r="H526">
        <f t="shared" si="35"/>
        <v>0.81130555555555572</v>
      </c>
    </row>
    <row r="527" spans="1:8" x14ac:dyDescent="0.25">
      <c r="A527">
        <v>1045</v>
      </c>
      <c r="B527">
        <v>2</v>
      </c>
      <c r="C527">
        <v>14.30099722222222</v>
      </c>
      <c r="D527">
        <v>3.1071950126261112</v>
      </c>
      <c r="E527">
        <f t="shared" si="32"/>
        <v>5.958748842592592E-2</v>
      </c>
      <c r="F527">
        <f t="shared" si="33"/>
        <v>1.294664588594213E-2</v>
      </c>
      <c r="G527">
        <f t="shared" si="34"/>
        <v>1</v>
      </c>
      <c r="H527">
        <f t="shared" si="35"/>
        <v>0.71504986111111102</v>
      </c>
    </row>
    <row r="528" spans="1:8" x14ac:dyDescent="0.25">
      <c r="A528">
        <v>1045</v>
      </c>
      <c r="B528">
        <v>3</v>
      </c>
      <c r="C528">
        <v>15.457140000000001</v>
      </c>
      <c r="D528">
        <v>3.2478654166666669</v>
      </c>
      <c r="E528">
        <f t="shared" si="32"/>
        <v>6.4404749999999997E-2</v>
      </c>
      <c r="F528">
        <f t="shared" si="33"/>
        <v>1.3532772569444447E-2</v>
      </c>
      <c r="G528">
        <f t="shared" si="34"/>
        <v>1</v>
      </c>
      <c r="H528">
        <f t="shared" si="35"/>
        <v>0.77285699999999991</v>
      </c>
    </row>
    <row r="529" spans="1:8" x14ac:dyDescent="0.25">
      <c r="A529">
        <v>1045</v>
      </c>
      <c r="B529">
        <v>4</v>
      </c>
      <c r="C529">
        <v>18.347288055555559</v>
      </c>
      <c r="D529">
        <v>3.2237491798941669</v>
      </c>
      <c r="E529">
        <f t="shared" si="32"/>
        <v>7.6447033564814831E-2</v>
      </c>
      <c r="F529">
        <f t="shared" si="33"/>
        <v>1.3432288249559029E-2</v>
      </c>
      <c r="G529">
        <f t="shared" si="34"/>
        <v>1</v>
      </c>
      <c r="H529">
        <f t="shared" si="35"/>
        <v>0.91736440277777798</v>
      </c>
    </row>
    <row r="530" spans="1:8" x14ac:dyDescent="0.25">
      <c r="A530">
        <v>1045</v>
      </c>
      <c r="B530">
        <v>5</v>
      </c>
      <c r="C530">
        <v>16.64513361111111</v>
      </c>
      <c r="D530">
        <v>3.984194833333333</v>
      </c>
      <c r="E530">
        <f t="shared" si="32"/>
        <v>6.9354723379629626E-2</v>
      </c>
      <c r="F530">
        <f t="shared" si="33"/>
        <v>1.6600811805555556E-2</v>
      </c>
      <c r="G530">
        <f t="shared" si="34"/>
        <v>1</v>
      </c>
      <c r="H530">
        <f t="shared" si="35"/>
        <v>0.83225668055555557</v>
      </c>
    </row>
    <row r="531" spans="1:8" x14ac:dyDescent="0.25">
      <c r="A531">
        <v>1045</v>
      </c>
      <c r="B531">
        <v>6</v>
      </c>
      <c r="C531">
        <v>17.139533333333329</v>
      </c>
      <c r="D531">
        <v>4.1242601666666667</v>
      </c>
      <c r="E531">
        <f t="shared" si="32"/>
        <v>7.1414722222222213E-2</v>
      </c>
      <c r="F531">
        <f t="shared" si="33"/>
        <v>1.718441736111111E-2</v>
      </c>
      <c r="G531">
        <f t="shared" si="34"/>
        <v>1</v>
      </c>
      <c r="H531">
        <f t="shared" si="35"/>
        <v>0.8569766666666665</v>
      </c>
    </row>
    <row r="532" spans="1:8" x14ac:dyDescent="0.25">
      <c r="A532">
        <v>1045</v>
      </c>
      <c r="B532">
        <v>7</v>
      </c>
      <c r="C532">
        <v>16.800850555555559</v>
      </c>
      <c r="D532">
        <v>3.038268694444445</v>
      </c>
      <c r="E532">
        <f t="shared" si="32"/>
        <v>7.0003543981481495E-2</v>
      </c>
      <c r="F532">
        <f t="shared" si="33"/>
        <v>1.2659452893518519E-2</v>
      </c>
      <c r="G532">
        <f t="shared" si="34"/>
        <v>1</v>
      </c>
      <c r="H532">
        <f t="shared" si="35"/>
        <v>0.84004252777777788</v>
      </c>
    </row>
    <row r="533" spans="1:8" x14ac:dyDescent="0.25">
      <c r="A533">
        <v>1045</v>
      </c>
      <c r="B533">
        <v>8</v>
      </c>
      <c r="C533">
        <v>15.631659166666671</v>
      </c>
      <c r="D533">
        <v>3.4223820652172221</v>
      </c>
      <c r="E533">
        <f t="shared" si="32"/>
        <v>6.513191319444446E-2</v>
      </c>
      <c r="F533">
        <f t="shared" si="33"/>
        <v>1.4259925271738425E-2</v>
      </c>
      <c r="G533">
        <f t="shared" si="34"/>
        <v>1</v>
      </c>
      <c r="H533">
        <f t="shared" si="35"/>
        <v>0.78158295833333358</v>
      </c>
    </row>
    <row r="534" spans="1:8" x14ac:dyDescent="0.25">
      <c r="A534">
        <v>1045</v>
      </c>
      <c r="B534">
        <v>9</v>
      </c>
      <c r="C534">
        <v>20.627738888888889</v>
      </c>
      <c r="D534">
        <v>3.6716970972222218</v>
      </c>
      <c r="E534">
        <f t="shared" si="32"/>
        <v>8.5948912037037029E-2</v>
      </c>
      <c r="F534">
        <f t="shared" si="33"/>
        <v>1.5298737905092591E-2</v>
      </c>
      <c r="G534">
        <f t="shared" si="34"/>
        <v>2</v>
      </c>
      <c r="H534">
        <f t="shared" si="35"/>
        <v>1.0313869444444443</v>
      </c>
    </row>
    <row r="535" spans="1:8" x14ac:dyDescent="0.25">
      <c r="A535">
        <v>1045</v>
      </c>
      <c r="B535">
        <v>10</v>
      </c>
      <c r="C535">
        <v>18.94750611111111</v>
      </c>
      <c r="D535">
        <v>3.768196085858333</v>
      </c>
      <c r="E535">
        <f t="shared" si="32"/>
        <v>7.894794212962962E-2</v>
      </c>
      <c r="F535">
        <f t="shared" si="33"/>
        <v>1.570081702440972E-2</v>
      </c>
      <c r="G535">
        <f t="shared" si="34"/>
        <v>1</v>
      </c>
      <c r="H535">
        <f t="shared" si="35"/>
        <v>0.94737530555555538</v>
      </c>
    </row>
    <row r="536" spans="1:8" x14ac:dyDescent="0.25">
      <c r="A536">
        <v>1045</v>
      </c>
      <c r="B536">
        <v>11</v>
      </c>
      <c r="C536">
        <v>20.379188055555559</v>
      </c>
      <c r="D536">
        <v>3.847435542929166</v>
      </c>
      <c r="E536">
        <f t="shared" si="32"/>
        <v>8.4913283564814826E-2</v>
      </c>
      <c r="F536">
        <f t="shared" si="33"/>
        <v>1.6030981428871525E-2</v>
      </c>
      <c r="G536">
        <f t="shared" si="34"/>
        <v>2</v>
      </c>
      <c r="H536">
        <f t="shared" si="35"/>
        <v>1.018959402777778</v>
      </c>
    </row>
    <row r="537" spans="1:8" x14ac:dyDescent="0.25">
      <c r="A537">
        <v>1045</v>
      </c>
      <c r="B537">
        <v>12</v>
      </c>
      <c r="C537">
        <v>20.434135833333329</v>
      </c>
      <c r="D537">
        <v>3.3893999338622218</v>
      </c>
      <c r="E537">
        <f t="shared" si="32"/>
        <v>8.5142232638888871E-2</v>
      </c>
      <c r="F537">
        <f t="shared" si="33"/>
        <v>1.4122499724425924E-2</v>
      </c>
      <c r="G537">
        <f t="shared" si="34"/>
        <v>2</v>
      </c>
      <c r="H537">
        <f t="shared" si="35"/>
        <v>1.0217067916666664</v>
      </c>
    </row>
    <row r="538" spans="1:8" x14ac:dyDescent="0.25">
      <c r="A538">
        <v>1046</v>
      </c>
      <c r="B538">
        <v>1</v>
      </c>
      <c r="C538">
        <v>15.955</v>
      </c>
      <c r="D538">
        <v>15.471666666666666</v>
      </c>
      <c r="E538">
        <f t="shared" si="32"/>
        <v>6.6479166666666659E-2</v>
      </c>
      <c r="F538">
        <f t="shared" si="33"/>
        <v>6.4465277777777774E-2</v>
      </c>
      <c r="G538">
        <f t="shared" si="34"/>
        <v>1</v>
      </c>
      <c r="H538">
        <f t="shared" si="35"/>
        <v>0.79774999999999996</v>
      </c>
    </row>
    <row r="539" spans="1:8" x14ac:dyDescent="0.25">
      <c r="A539">
        <v>1046</v>
      </c>
      <c r="B539">
        <v>2</v>
      </c>
      <c r="C539">
        <v>17.138374166666669</v>
      </c>
      <c r="D539">
        <v>17.001979191919169</v>
      </c>
      <c r="E539">
        <f t="shared" si="32"/>
        <v>7.1409892361111116E-2</v>
      </c>
      <c r="F539">
        <f t="shared" si="33"/>
        <v>7.0841579966329879E-2</v>
      </c>
      <c r="G539">
        <f t="shared" si="34"/>
        <v>1</v>
      </c>
      <c r="H539">
        <f t="shared" si="35"/>
        <v>0.85691870833333339</v>
      </c>
    </row>
    <row r="540" spans="1:8" x14ac:dyDescent="0.25">
      <c r="A540">
        <v>1046</v>
      </c>
      <c r="B540">
        <v>3</v>
      </c>
      <c r="C540">
        <v>17.103259166666671</v>
      </c>
      <c r="D540">
        <v>16.976092777777779</v>
      </c>
      <c r="E540">
        <f t="shared" si="32"/>
        <v>7.1263579861111134E-2</v>
      </c>
      <c r="F540">
        <f t="shared" si="33"/>
        <v>7.0733719907407414E-2</v>
      </c>
      <c r="G540">
        <f t="shared" si="34"/>
        <v>1</v>
      </c>
      <c r="H540">
        <f t="shared" si="35"/>
        <v>0.85516295833333356</v>
      </c>
    </row>
    <row r="541" spans="1:8" x14ac:dyDescent="0.25">
      <c r="A541">
        <v>1046</v>
      </c>
      <c r="B541">
        <v>4</v>
      </c>
      <c r="C541">
        <v>20.398499166666671</v>
      </c>
      <c r="D541">
        <v>17.150944153438889</v>
      </c>
      <c r="E541">
        <f t="shared" si="32"/>
        <v>8.4993746527777803E-2</v>
      </c>
      <c r="F541">
        <f t="shared" si="33"/>
        <v>7.1462267305995378E-2</v>
      </c>
      <c r="G541">
        <f t="shared" si="34"/>
        <v>2</v>
      </c>
      <c r="H541">
        <f t="shared" si="35"/>
        <v>1.0199249583333336</v>
      </c>
    </row>
    <row r="542" spans="1:8" x14ac:dyDescent="0.25">
      <c r="A542">
        <v>1046</v>
      </c>
      <c r="B542">
        <v>5</v>
      </c>
      <c r="C542">
        <v>17.065270277777781</v>
      </c>
      <c r="D542">
        <v>16.95775165277778</v>
      </c>
      <c r="E542">
        <f t="shared" si="32"/>
        <v>7.1105292824074087E-2</v>
      </c>
      <c r="F542">
        <f t="shared" si="33"/>
        <v>7.0657298553240752E-2</v>
      </c>
      <c r="G542">
        <f t="shared" si="34"/>
        <v>1</v>
      </c>
      <c r="H542">
        <f t="shared" si="35"/>
        <v>0.8532635138888891</v>
      </c>
    </row>
    <row r="543" spans="1:8" x14ac:dyDescent="0.25">
      <c r="A543">
        <v>1046</v>
      </c>
      <c r="B543">
        <v>6</v>
      </c>
      <c r="C543">
        <v>17.124922222222221</v>
      </c>
      <c r="D543">
        <v>16.929644555555559</v>
      </c>
      <c r="E543">
        <f t="shared" si="32"/>
        <v>7.1353842592592587E-2</v>
      </c>
      <c r="F543">
        <f t="shared" si="33"/>
        <v>7.0540185648148165E-2</v>
      </c>
      <c r="G543">
        <f t="shared" si="34"/>
        <v>1</v>
      </c>
      <c r="H543">
        <f t="shared" si="35"/>
        <v>0.85624611111111104</v>
      </c>
    </row>
    <row r="544" spans="1:8" x14ac:dyDescent="0.25">
      <c r="A544">
        <v>1046</v>
      </c>
      <c r="B544">
        <v>7</v>
      </c>
      <c r="C544">
        <v>17.09184444444444</v>
      </c>
      <c r="D544">
        <v>16.093516560846389</v>
      </c>
      <c r="E544">
        <f t="shared" si="32"/>
        <v>7.1216018518518498E-2</v>
      </c>
      <c r="F544">
        <f t="shared" si="33"/>
        <v>6.7056319003526613E-2</v>
      </c>
      <c r="G544">
        <f t="shared" si="34"/>
        <v>1</v>
      </c>
      <c r="H544">
        <f t="shared" si="35"/>
        <v>0.85459222222222198</v>
      </c>
    </row>
    <row r="545" spans="1:8" x14ac:dyDescent="0.25">
      <c r="A545">
        <v>1046</v>
      </c>
      <c r="B545">
        <v>8</v>
      </c>
      <c r="C545">
        <v>17.13556777777778</v>
      </c>
      <c r="D545">
        <v>17.000321908212499</v>
      </c>
      <c r="E545">
        <f t="shared" si="32"/>
        <v>7.139819907407409E-2</v>
      </c>
      <c r="F545">
        <f t="shared" si="33"/>
        <v>7.0834674617552079E-2</v>
      </c>
      <c r="G545">
        <f t="shared" si="34"/>
        <v>1</v>
      </c>
      <c r="H545">
        <f t="shared" si="35"/>
        <v>0.85677838888888913</v>
      </c>
    </row>
    <row r="546" spans="1:8" x14ac:dyDescent="0.25">
      <c r="A546">
        <v>1046</v>
      </c>
      <c r="B546">
        <v>9</v>
      </c>
      <c r="C546">
        <v>17.093886944444449</v>
      </c>
      <c r="D546">
        <v>16.94923269444444</v>
      </c>
      <c r="E546">
        <f t="shared" si="32"/>
        <v>7.1224528935185202E-2</v>
      </c>
      <c r="F546">
        <f t="shared" si="33"/>
        <v>7.0621802893518507E-2</v>
      </c>
      <c r="G546">
        <f t="shared" si="34"/>
        <v>1</v>
      </c>
      <c r="H546">
        <f t="shared" si="35"/>
        <v>0.85469434722222237</v>
      </c>
    </row>
    <row r="547" spans="1:8" x14ac:dyDescent="0.25">
      <c r="A547">
        <v>1046</v>
      </c>
      <c r="B547">
        <v>10</v>
      </c>
      <c r="C547">
        <v>17.106024999999999</v>
      </c>
      <c r="D547">
        <v>16.947866477272498</v>
      </c>
      <c r="E547">
        <f t="shared" si="32"/>
        <v>7.1275104166666658E-2</v>
      </c>
      <c r="F547">
        <f t="shared" si="33"/>
        <v>7.0616110321968739E-2</v>
      </c>
      <c r="G547">
        <f t="shared" si="34"/>
        <v>1</v>
      </c>
      <c r="H547">
        <f t="shared" si="35"/>
        <v>0.8553012499999999</v>
      </c>
    </row>
    <row r="548" spans="1:8" x14ac:dyDescent="0.25">
      <c r="A548">
        <v>1046</v>
      </c>
      <c r="B548">
        <v>11</v>
      </c>
      <c r="C548">
        <v>17.093556388888889</v>
      </c>
      <c r="D548">
        <v>16.949380732323061</v>
      </c>
      <c r="E548">
        <f t="shared" si="32"/>
        <v>7.1223151620370365E-2</v>
      </c>
      <c r="F548">
        <f t="shared" si="33"/>
        <v>7.0622419718012752E-2</v>
      </c>
      <c r="G548">
        <f t="shared" si="34"/>
        <v>1</v>
      </c>
      <c r="H548">
        <f t="shared" si="35"/>
        <v>0.85467781944444443</v>
      </c>
    </row>
    <row r="549" spans="1:8" x14ac:dyDescent="0.25">
      <c r="A549">
        <v>1046</v>
      </c>
      <c r="B549">
        <v>12</v>
      </c>
      <c r="C549">
        <v>17.107840833333331</v>
      </c>
      <c r="D549">
        <v>16.700742962962781</v>
      </c>
      <c r="E549">
        <f t="shared" si="32"/>
        <v>7.1282670138888879E-2</v>
      </c>
      <c r="F549">
        <f t="shared" si="33"/>
        <v>6.9586429012344922E-2</v>
      </c>
      <c r="G549">
        <f t="shared" si="34"/>
        <v>1</v>
      </c>
      <c r="H549">
        <f t="shared" si="35"/>
        <v>0.85539204166666649</v>
      </c>
    </row>
    <row r="550" spans="1:8" x14ac:dyDescent="0.25">
      <c r="A550">
        <v>1047</v>
      </c>
      <c r="B550">
        <v>1</v>
      </c>
      <c r="C550">
        <v>15.520833333333334</v>
      </c>
      <c r="D550">
        <v>11.71388888888889</v>
      </c>
      <c r="E550">
        <f t="shared" si="32"/>
        <v>6.4670138888888895E-2</v>
      </c>
      <c r="F550">
        <f t="shared" si="33"/>
        <v>4.8807870370370376E-2</v>
      </c>
      <c r="G550">
        <f t="shared" si="34"/>
        <v>1</v>
      </c>
      <c r="H550">
        <f t="shared" si="35"/>
        <v>0.77604166666666674</v>
      </c>
    </row>
    <row r="551" spans="1:8" x14ac:dyDescent="0.25">
      <c r="A551">
        <v>1047</v>
      </c>
      <c r="B551">
        <v>2</v>
      </c>
      <c r="C551">
        <v>16.966576944444441</v>
      </c>
      <c r="D551">
        <v>11.71505689153417</v>
      </c>
      <c r="E551">
        <f t="shared" si="32"/>
        <v>7.069407060185183E-2</v>
      </c>
      <c r="F551">
        <f t="shared" si="33"/>
        <v>4.8812737048059045E-2</v>
      </c>
      <c r="G551">
        <f t="shared" si="34"/>
        <v>1</v>
      </c>
      <c r="H551">
        <f t="shared" si="35"/>
        <v>0.8483288472222219</v>
      </c>
    </row>
    <row r="552" spans="1:8" x14ac:dyDescent="0.25">
      <c r="A552">
        <v>1047</v>
      </c>
      <c r="B552">
        <v>3</v>
      </c>
      <c r="C552">
        <v>16.948344444444441</v>
      </c>
      <c r="D552">
        <v>9.1822879722222215</v>
      </c>
      <c r="E552">
        <f t="shared" si="32"/>
        <v>7.0618101851851842E-2</v>
      </c>
      <c r="F552">
        <f t="shared" si="33"/>
        <v>3.8259533217592588E-2</v>
      </c>
      <c r="G552">
        <f t="shared" si="34"/>
        <v>1</v>
      </c>
      <c r="H552">
        <f t="shared" si="35"/>
        <v>0.84741722222222204</v>
      </c>
    </row>
    <row r="553" spans="1:8" x14ac:dyDescent="0.25">
      <c r="A553">
        <v>1047</v>
      </c>
      <c r="B553">
        <v>4</v>
      </c>
      <c r="C553">
        <v>16.68852694444444</v>
      </c>
      <c r="D553">
        <v>9.6473021296294448</v>
      </c>
      <c r="E553">
        <f t="shared" si="32"/>
        <v>6.9535528935185165E-2</v>
      </c>
      <c r="F553">
        <f t="shared" si="33"/>
        <v>4.0197092206789353E-2</v>
      </c>
      <c r="G553">
        <f t="shared" si="34"/>
        <v>1</v>
      </c>
      <c r="H553">
        <f t="shared" si="35"/>
        <v>0.83442634722222198</v>
      </c>
    </row>
    <row r="554" spans="1:8" x14ac:dyDescent="0.25">
      <c r="A554">
        <v>1047</v>
      </c>
      <c r="B554">
        <v>5</v>
      </c>
      <c r="C554">
        <v>17.001862222222218</v>
      </c>
      <c r="D554">
        <v>11.61990683862417</v>
      </c>
      <c r="E554">
        <f t="shared" si="32"/>
        <v>7.0841092592592581E-2</v>
      </c>
      <c r="F554">
        <f t="shared" si="33"/>
        <v>4.8416278494267377E-2</v>
      </c>
      <c r="G554">
        <f t="shared" si="34"/>
        <v>1</v>
      </c>
      <c r="H554">
        <f t="shared" si="35"/>
        <v>0.85009311111111097</v>
      </c>
    </row>
    <row r="555" spans="1:8" x14ac:dyDescent="0.25">
      <c r="A555">
        <v>1047</v>
      </c>
      <c r="B555">
        <v>6</v>
      </c>
      <c r="C555">
        <v>16.953123055555551</v>
      </c>
      <c r="D555">
        <v>13.609690608465559</v>
      </c>
      <c r="E555">
        <f t="shared" si="32"/>
        <v>7.0638012731481459E-2</v>
      </c>
      <c r="F555">
        <f t="shared" si="33"/>
        <v>5.6707044201939831E-2</v>
      </c>
      <c r="G555">
        <f t="shared" si="34"/>
        <v>1</v>
      </c>
      <c r="H555">
        <f t="shared" si="35"/>
        <v>0.84765615277777751</v>
      </c>
    </row>
    <row r="556" spans="1:8" x14ac:dyDescent="0.25">
      <c r="A556">
        <v>1047</v>
      </c>
      <c r="B556">
        <v>7</v>
      </c>
      <c r="C556">
        <v>17.00084166666667</v>
      </c>
      <c r="D556">
        <v>16.78828566666667</v>
      </c>
      <c r="E556">
        <f t="shared" si="32"/>
        <v>7.0836840277777799E-2</v>
      </c>
      <c r="F556">
        <f t="shared" si="33"/>
        <v>6.9951190277777797E-2</v>
      </c>
      <c r="G556">
        <f t="shared" si="34"/>
        <v>1</v>
      </c>
      <c r="H556">
        <f t="shared" si="35"/>
        <v>0.85004208333333353</v>
      </c>
    </row>
    <row r="557" spans="1:8" x14ac:dyDescent="0.25">
      <c r="A557">
        <v>1047</v>
      </c>
      <c r="B557">
        <v>8</v>
      </c>
      <c r="C557">
        <v>17.067453611111109</v>
      </c>
      <c r="D557">
        <v>12.96409152173889</v>
      </c>
      <c r="E557">
        <f t="shared" si="32"/>
        <v>7.1114390046296286E-2</v>
      </c>
      <c r="F557">
        <f t="shared" si="33"/>
        <v>5.4017048007245376E-2</v>
      </c>
      <c r="G557">
        <f t="shared" si="34"/>
        <v>1</v>
      </c>
      <c r="H557">
        <f t="shared" si="35"/>
        <v>0.85337268055555549</v>
      </c>
    </row>
    <row r="558" spans="1:8" x14ac:dyDescent="0.25">
      <c r="A558">
        <v>1047</v>
      </c>
      <c r="B558">
        <v>9</v>
      </c>
      <c r="C558">
        <v>16.92801555555555</v>
      </c>
      <c r="D558">
        <v>14.02755907894722</v>
      </c>
      <c r="E558">
        <f t="shared" si="32"/>
        <v>7.053339814814813E-2</v>
      </c>
      <c r="F558">
        <f t="shared" si="33"/>
        <v>5.8448162828946749E-2</v>
      </c>
      <c r="G558">
        <f t="shared" si="34"/>
        <v>1</v>
      </c>
      <c r="H558">
        <f t="shared" si="35"/>
        <v>0.84640077777777756</v>
      </c>
    </row>
    <row r="559" spans="1:8" x14ac:dyDescent="0.25">
      <c r="A559">
        <v>1047</v>
      </c>
      <c r="B559">
        <v>10</v>
      </c>
      <c r="C559">
        <v>16.947633611111112</v>
      </c>
      <c r="D559">
        <v>13.562445896464441</v>
      </c>
      <c r="E559">
        <f t="shared" si="32"/>
        <v>7.0615140046296307E-2</v>
      </c>
      <c r="F559">
        <f t="shared" si="33"/>
        <v>5.6510191235268507E-2</v>
      </c>
      <c r="G559">
        <f t="shared" si="34"/>
        <v>1</v>
      </c>
      <c r="H559">
        <f t="shared" si="35"/>
        <v>0.84738168055555563</v>
      </c>
    </row>
    <row r="560" spans="1:8" x14ac:dyDescent="0.25">
      <c r="A560">
        <v>1047</v>
      </c>
      <c r="B560">
        <v>11</v>
      </c>
      <c r="C560">
        <v>16.955263611111111</v>
      </c>
      <c r="D560">
        <v>13.62987873188389</v>
      </c>
      <c r="E560">
        <f t="shared" si="32"/>
        <v>7.0646931712962963E-2</v>
      </c>
      <c r="F560">
        <f t="shared" si="33"/>
        <v>5.6791161382849543E-2</v>
      </c>
      <c r="G560">
        <f t="shared" si="34"/>
        <v>1</v>
      </c>
      <c r="H560">
        <f t="shared" si="35"/>
        <v>0.84776318055555555</v>
      </c>
    </row>
    <row r="561" spans="1:8" x14ac:dyDescent="0.25">
      <c r="A561">
        <v>1047</v>
      </c>
      <c r="B561">
        <v>12</v>
      </c>
      <c r="C561">
        <v>16.791410277777779</v>
      </c>
      <c r="D561">
        <v>13.817337361111109</v>
      </c>
      <c r="E561">
        <f t="shared" si="32"/>
        <v>6.9964209490740739E-2</v>
      </c>
      <c r="F561">
        <f t="shared" si="33"/>
        <v>5.757223900462962E-2</v>
      </c>
      <c r="G561">
        <f t="shared" si="34"/>
        <v>1</v>
      </c>
      <c r="H561">
        <f t="shared" si="35"/>
        <v>0.83957051388888893</v>
      </c>
    </row>
    <row r="562" spans="1:8" x14ac:dyDescent="0.25">
      <c r="A562">
        <v>1048</v>
      </c>
      <c r="B562">
        <v>1</v>
      </c>
      <c r="C562">
        <v>26.032500000000002</v>
      </c>
      <c r="D562">
        <v>25.758611111111112</v>
      </c>
      <c r="E562">
        <f t="shared" si="32"/>
        <v>0.10846875</v>
      </c>
      <c r="F562">
        <f t="shared" si="33"/>
        <v>0.1073275462962963</v>
      </c>
      <c r="G562">
        <f t="shared" si="34"/>
        <v>2</v>
      </c>
      <c r="H562">
        <f t="shared" si="35"/>
        <v>1.301625</v>
      </c>
    </row>
    <row r="563" spans="1:8" x14ac:dyDescent="0.25">
      <c r="A563">
        <v>1048</v>
      </c>
      <c r="B563">
        <v>2</v>
      </c>
      <c r="C563">
        <v>30.354767500000001</v>
      </c>
      <c r="D563">
        <v>29.908473131313059</v>
      </c>
      <c r="E563">
        <f t="shared" si="32"/>
        <v>0.12647819791666667</v>
      </c>
      <c r="F563">
        <f t="shared" si="33"/>
        <v>0.12461863804713774</v>
      </c>
      <c r="G563">
        <f t="shared" si="34"/>
        <v>2</v>
      </c>
      <c r="H563">
        <f t="shared" si="35"/>
        <v>1.517738375</v>
      </c>
    </row>
    <row r="564" spans="1:8" x14ac:dyDescent="0.25">
      <c r="A564">
        <v>1048</v>
      </c>
      <c r="B564">
        <v>3</v>
      </c>
      <c r="C564">
        <v>30.358602777777779</v>
      </c>
      <c r="D564">
        <v>30.282320083333332</v>
      </c>
      <c r="E564">
        <f t="shared" si="32"/>
        <v>0.12649417824074075</v>
      </c>
      <c r="F564">
        <f t="shared" si="33"/>
        <v>0.12617633368055556</v>
      </c>
      <c r="G564">
        <f t="shared" si="34"/>
        <v>2</v>
      </c>
      <c r="H564">
        <f t="shared" si="35"/>
        <v>1.5179301388888891</v>
      </c>
    </row>
    <row r="565" spans="1:8" x14ac:dyDescent="0.25">
      <c r="A565">
        <v>1048</v>
      </c>
      <c r="B565">
        <v>4</v>
      </c>
      <c r="C565">
        <v>30.35307944444444</v>
      </c>
      <c r="D565">
        <v>29.454593584655829</v>
      </c>
      <c r="E565">
        <f t="shared" si="32"/>
        <v>0.12647116435185182</v>
      </c>
      <c r="F565">
        <f t="shared" si="33"/>
        <v>0.1227274732693993</v>
      </c>
      <c r="G565">
        <f t="shared" si="34"/>
        <v>2</v>
      </c>
      <c r="H565">
        <f t="shared" si="35"/>
        <v>1.517653972222222</v>
      </c>
    </row>
    <row r="566" spans="1:8" x14ac:dyDescent="0.25">
      <c r="A566">
        <v>1048</v>
      </c>
      <c r="B566">
        <v>5</v>
      </c>
      <c r="C566">
        <v>30.431925833333331</v>
      </c>
      <c r="D566">
        <v>30.060740777777781</v>
      </c>
      <c r="E566">
        <f t="shared" si="32"/>
        <v>0.12679969097222221</v>
      </c>
      <c r="F566">
        <f t="shared" si="33"/>
        <v>0.12525308657407408</v>
      </c>
      <c r="G566">
        <f t="shared" si="34"/>
        <v>2</v>
      </c>
      <c r="H566">
        <f t="shared" si="35"/>
        <v>1.5215962916666665</v>
      </c>
    </row>
    <row r="567" spans="1:8" x14ac:dyDescent="0.25">
      <c r="A567">
        <v>1048</v>
      </c>
      <c r="B567">
        <v>6</v>
      </c>
      <c r="C567">
        <v>30.36451527777778</v>
      </c>
      <c r="D567">
        <v>30.278725013888891</v>
      </c>
      <c r="E567">
        <f t="shared" si="32"/>
        <v>0.12651881365740741</v>
      </c>
      <c r="F567">
        <f t="shared" si="33"/>
        <v>0.12616135422453703</v>
      </c>
      <c r="G567">
        <f t="shared" si="34"/>
        <v>2</v>
      </c>
      <c r="H567">
        <f t="shared" si="35"/>
        <v>1.518225763888889</v>
      </c>
    </row>
    <row r="568" spans="1:8" x14ac:dyDescent="0.25">
      <c r="A568">
        <v>1048</v>
      </c>
      <c r="B568">
        <v>7</v>
      </c>
      <c r="C568">
        <v>30.364051666666668</v>
      </c>
      <c r="D568">
        <v>30.323909292929169</v>
      </c>
      <c r="E568">
        <f t="shared" si="32"/>
        <v>0.12651688194444446</v>
      </c>
      <c r="F568">
        <f t="shared" si="33"/>
        <v>0.12634962205387154</v>
      </c>
      <c r="G568">
        <f t="shared" si="34"/>
        <v>2</v>
      </c>
      <c r="H568">
        <f t="shared" si="35"/>
        <v>1.5182025833333337</v>
      </c>
    </row>
    <row r="569" spans="1:8" x14ac:dyDescent="0.25">
      <c r="A569">
        <v>1049</v>
      </c>
      <c r="B569">
        <v>1</v>
      </c>
      <c r="C569">
        <v>14.851666666666667</v>
      </c>
      <c r="D569">
        <v>10.916388888888889</v>
      </c>
      <c r="E569">
        <f t="shared" si="32"/>
        <v>6.1881944444444448E-2</v>
      </c>
      <c r="F569">
        <f t="shared" si="33"/>
        <v>4.5484953703703701E-2</v>
      </c>
      <c r="G569">
        <f t="shared" si="34"/>
        <v>1</v>
      </c>
      <c r="H569">
        <f t="shared" si="35"/>
        <v>0.74258333333333337</v>
      </c>
    </row>
    <row r="570" spans="1:8" x14ac:dyDescent="0.25">
      <c r="A570">
        <v>1049</v>
      </c>
      <c r="B570">
        <v>2</v>
      </c>
      <c r="C570">
        <v>17.34613638888889</v>
      </c>
      <c r="D570">
        <v>11.56321580808055</v>
      </c>
      <c r="E570">
        <f t="shared" si="32"/>
        <v>7.2275568287037045E-2</v>
      </c>
      <c r="F570">
        <f t="shared" si="33"/>
        <v>4.818006586700229E-2</v>
      </c>
      <c r="G570">
        <f t="shared" si="34"/>
        <v>1</v>
      </c>
      <c r="H570">
        <f t="shared" si="35"/>
        <v>0.86730681944444454</v>
      </c>
    </row>
    <row r="571" spans="1:8" x14ac:dyDescent="0.25">
      <c r="A571">
        <v>1049</v>
      </c>
      <c r="B571">
        <v>3</v>
      </c>
      <c r="C571">
        <v>15.10809805555555</v>
      </c>
      <c r="D571">
        <v>11.550417250000001</v>
      </c>
      <c r="E571">
        <f t="shared" si="32"/>
        <v>6.2950408564814792E-2</v>
      </c>
      <c r="F571">
        <f t="shared" si="33"/>
        <v>4.8126738541666665E-2</v>
      </c>
      <c r="G571">
        <f t="shared" si="34"/>
        <v>1</v>
      </c>
      <c r="H571">
        <f t="shared" si="35"/>
        <v>0.7554049027777775</v>
      </c>
    </row>
    <row r="572" spans="1:8" x14ac:dyDescent="0.25">
      <c r="A572">
        <v>1049</v>
      </c>
      <c r="B572">
        <v>4</v>
      </c>
      <c r="C572">
        <v>14.174160000000001</v>
      </c>
      <c r="D572">
        <v>10.479136058200829</v>
      </c>
      <c r="E572">
        <f t="shared" si="32"/>
        <v>5.9059E-2</v>
      </c>
      <c r="F572">
        <f t="shared" si="33"/>
        <v>4.3663066909170122E-2</v>
      </c>
      <c r="G572">
        <f t="shared" si="34"/>
        <v>1</v>
      </c>
      <c r="H572">
        <f t="shared" si="35"/>
        <v>0.708708</v>
      </c>
    </row>
    <row r="573" spans="1:8" x14ac:dyDescent="0.25">
      <c r="A573">
        <v>1049</v>
      </c>
      <c r="B573">
        <v>5</v>
      </c>
      <c r="C573">
        <v>12.979881666666669</v>
      </c>
      <c r="D573">
        <v>10.65267651388889</v>
      </c>
      <c r="E573">
        <f t="shared" si="32"/>
        <v>5.4082840277777787E-2</v>
      </c>
      <c r="F573">
        <f t="shared" si="33"/>
        <v>4.4386152141203707E-2</v>
      </c>
      <c r="G573">
        <f t="shared" si="34"/>
        <v>1</v>
      </c>
      <c r="H573">
        <f t="shared" si="35"/>
        <v>0.64899408333333342</v>
      </c>
    </row>
    <row r="574" spans="1:8" x14ac:dyDescent="0.25">
      <c r="A574">
        <v>1049</v>
      </c>
      <c r="B574">
        <v>6</v>
      </c>
      <c r="C574">
        <v>17.357399166666671</v>
      </c>
      <c r="D574">
        <v>10.855224208333331</v>
      </c>
      <c r="E574">
        <f t="shared" si="32"/>
        <v>7.2322496527777794E-2</v>
      </c>
      <c r="F574">
        <f t="shared" si="33"/>
        <v>4.5230100868055546E-2</v>
      </c>
      <c r="G574">
        <f t="shared" si="34"/>
        <v>1</v>
      </c>
      <c r="H574">
        <f t="shared" si="35"/>
        <v>0.86786995833333358</v>
      </c>
    </row>
    <row r="575" spans="1:8" x14ac:dyDescent="0.25">
      <c r="A575">
        <v>1049</v>
      </c>
      <c r="B575">
        <v>7</v>
      </c>
      <c r="C575">
        <v>16.593368333333331</v>
      </c>
      <c r="D575">
        <v>12.335216180555561</v>
      </c>
      <c r="E575">
        <f t="shared" si="32"/>
        <v>6.9139034722222215E-2</v>
      </c>
      <c r="F575">
        <f t="shared" si="33"/>
        <v>5.1396734085648176E-2</v>
      </c>
      <c r="G575">
        <f t="shared" si="34"/>
        <v>1</v>
      </c>
      <c r="H575">
        <f t="shared" si="35"/>
        <v>0.82966841666666657</v>
      </c>
    </row>
    <row r="576" spans="1:8" x14ac:dyDescent="0.25">
      <c r="A576">
        <v>1049</v>
      </c>
      <c r="B576">
        <v>8</v>
      </c>
      <c r="C576">
        <v>13.72922111111111</v>
      </c>
      <c r="D576">
        <v>11.47574672705306</v>
      </c>
      <c r="E576">
        <f t="shared" si="32"/>
        <v>5.7205087962962954E-2</v>
      </c>
      <c r="F576">
        <f t="shared" si="33"/>
        <v>4.7815611362721083E-2</v>
      </c>
      <c r="G576">
        <f t="shared" si="34"/>
        <v>1</v>
      </c>
      <c r="H576">
        <f t="shared" si="35"/>
        <v>0.68646105555555548</v>
      </c>
    </row>
    <row r="577" spans="1:8" x14ac:dyDescent="0.25">
      <c r="A577">
        <v>1049</v>
      </c>
      <c r="B577">
        <v>9</v>
      </c>
      <c r="C577">
        <v>17.680891111111109</v>
      </c>
      <c r="D577">
        <v>13.16489884722222</v>
      </c>
      <c r="E577">
        <f t="shared" si="32"/>
        <v>7.367037962962962E-2</v>
      </c>
      <c r="F577">
        <f t="shared" si="33"/>
        <v>5.485374519675925E-2</v>
      </c>
      <c r="G577">
        <f t="shared" si="34"/>
        <v>1</v>
      </c>
      <c r="H577">
        <f t="shared" si="35"/>
        <v>0.88404455555555539</v>
      </c>
    </row>
    <row r="578" spans="1:8" x14ac:dyDescent="0.25">
      <c r="A578">
        <v>1049</v>
      </c>
      <c r="B578">
        <v>10</v>
      </c>
      <c r="C578">
        <v>17.601320277777781</v>
      </c>
      <c r="D578">
        <v>13.248754053030281</v>
      </c>
      <c r="E578">
        <f t="shared" ref="E578:E641" si="36">+C578/20/12</f>
        <v>7.3338834490740759E-2</v>
      </c>
      <c r="F578">
        <f t="shared" ref="F578:F641" si="37">+D578/20/12</f>
        <v>5.5203141887626171E-2</v>
      </c>
      <c r="G578">
        <f t="shared" ref="G578:G641" si="38">+ROUNDUP(E578*12,0)</f>
        <v>1</v>
      </c>
      <c r="H578">
        <f t="shared" ref="H578:H641" si="39">+E578*12</f>
        <v>0.88006601388888916</v>
      </c>
    </row>
    <row r="579" spans="1:8" x14ac:dyDescent="0.25">
      <c r="A579">
        <v>1049</v>
      </c>
      <c r="B579">
        <v>11</v>
      </c>
      <c r="C579">
        <v>19.598459999999999</v>
      </c>
      <c r="D579">
        <v>13.22634842171694</v>
      </c>
      <c r="E579">
        <f t="shared" si="36"/>
        <v>8.1660250000000004E-2</v>
      </c>
      <c r="F579">
        <f t="shared" si="37"/>
        <v>5.5109785090487251E-2</v>
      </c>
      <c r="G579">
        <f t="shared" si="38"/>
        <v>1</v>
      </c>
      <c r="H579">
        <f t="shared" si="39"/>
        <v>0.9799230000000001</v>
      </c>
    </row>
    <row r="580" spans="1:8" x14ac:dyDescent="0.25">
      <c r="A580">
        <v>1049</v>
      </c>
      <c r="B580">
        <v>12</v>
      </c>
      <c r="C580">
        <v>16.04776722222222</v>
      </c>
      <c r="D580">
        <v>12.443660912698331</v>
      </c>
      <c r="E580">
        <f t="shared" si="36"/>
        <v>6.6865696759259255E-2</v>
      </c>
      <c r="F580">
        <f t="shared" si="37"/>
        <v>5.1848587136243046E-2</v>
      </c>
      <c r="G580">
        <f t="shared" si="38"/>
        <v>1</v>
      </c>
      <c r="H580">
        <f t="shared" si="39"/>
        <v>0.80238836111111111</v>
      </c>
    </row>
    <row r="581" spans="1:8" x14ac:dyDescent="0.25">
      <c r="A581">
        <v>1050</v>
      </c>
      <c r="B581">
        <v>1</v>
      </c>
      <c r="C581">
        <v>14.684444444444445</v>
      </c>
      <c r="D581">
        <v>10.894166666666667</v>
      </c>
      <c r="E581">
        <f t="shared" si="36"/>
        <v>6.1185185185185183E-2</v>
      </c>
      <c r="F581">
        <f t="shared" si="37"/>
        <v>4.5392361111111112E-2</v>
      </c>
      <c r="G581">
        <f t="shared" si="38"/>
        <v>1</v>
      </c>
      <c r="H581">
        <f t="shared" si="39"/>
        <v>0.73422222222222222</v>
      </c>
    </row>
    <row r="582" spans="1:8" x14ac:dyDescent="0.25">
      <c r="A582">
        <v>1050</v>
      </c>
      <c r="B582">
        <v>2</v>
      </c>
      <c r="C582">
        <v>9.6003377777777779</v>
      </c>
      <c r="D582">
        <v>7.4022895299144444</v>
      </c>
      <c r="E582">
        <f t="shared" si="36"/>
        <v>4.0001407407407409E-2</v>
      </c>
      <c r="F582">
        <f t="shared" si="37"/>
        <v>3.0842873041310184E-2</v>
      </c>
      <c r="G582">
        <f t="shared" si="38"/>
        <v>1</v>
      </c>
      <c r="H582">
        <f t="shared" si="39"/>
        <v>0.48001688888888894</v>
      </c>
    </row>
    <row r="583" spans="1:8" x14ac:dyDescent="0.25">
      <c r="A583">
        <v>1050</v>
      </c>
      <c r="B583">
        <v>3</v>
      </c>
      <c r="C583">
        <v>9.545601944444444</v>
      </c>
      <c r="D583">
        <v>9.464731347222223</v>
      </c>
      <c r="E583">
        <f t="shared" si="36"/>
        <v>3.9773341435185183E-2</v>
      </c>
      <c r="F583">
        <f t="shared" si="37"/>
        <v>3.9436380613425928E-2</v>
      </c>
      <c r="G583">
        <f t="shared" si="38"/>
        <v>1</v>
      </c>
      <c r="H583">
        <f t="shared" si="39"/>
        <v>0.4772800972222222</v>
      </c>
    </row>
    <row r="584" spans="1:8" x14ac:dyDescent="0.25">
      <c r="A584">
        <v>1050</v>
      </c>
      <c r="B584">
        <v>4</v>
      </c>
      <c r="C584">
        <v>42.918204444444441</v>
      </c>
      <c r="D584">
        <v>11.260877711639999</v>
      </c>
      <c r="E584">
        <f t="shared" si="36"/>
        <v>0.17882585185185185</v>
      </c>
      <c r="F584">
        <f t="shared" si="37"/>
        <v>4.6920323798499995E-2</v>
      </c>
      <c r="G584">
        <f t="shared" si="38"/>
        <v>3</v>
      </c>
      <c r="H584">
        <f t="shared" si="39"/>
        <v>2.1459102222222222</v>
      </c>
    </row>
    <row r="585" spans="1:8" x14ac:dyDescent="0.25">
      <c r="A585">
        <v>1050</v>
      </c>
      <c r="B585">
        <v>5</v>
      </c>
      <c r="C585">
        <v>13.16068055555556</v>
      </c>
      <c r="D585">
        <v>13.006821597222221</v>
      </c>
      <c r="E585">
        <f t="shared" si="36"/>
        <v>5.4836168981481498E-2</v>
      </c>
      <c r="F585">
        <f t="shared" si="37"/>
        <v>5.4195089988425919E-2</v>
      </c>
      <c r="G585">
        <f t="shared" si="38"/>
        <v>1</v>
      </c>
      <c r="H585">
        <f t="shared" si="39"/>
        <v>0.65803402777777797</v>
      </c>
    </row>
    <row r="586" spans="1:8" x14ac:dyDescent="0.25">
      <c r="A586">
        <v>1050</v>
      </c>
      <c r="B586">
        <v>6</v>
      </c>
      <c r="C586">
        <v>13.15212861111111</v>
      </c>
      <c r="D586">
        <v>13.002234194444441</v>
      </c>
      <c r="E586">
        <f t="shared" si="36"/>
        <v>5.4800535879629624E-2</v>
      </c>
      <c r="F586">
        <f t="shared" si="37"/>
        <v>5.4175975810185163E-2</v>
      </c>
      <c r="G586">
        <f t="shared" si="38"/>
        <v>1</v>
      </c>
      <c r="H586">
        <f t="shared" si="39"/>
        <v>0.65760643055555545</v>
      </c>
    </row>
    <row r="587" spans="1:8" x14ac:dyDescent="0.25">
      <c r="A587">
        <v>1050</v>
      </c>
      <c r="B587">
        <v>7</v>
      </c>
      <c r="C587">
        <v>13.132167777777781</v>
      </c>
      <c r="D587">
        <v>11.121267305555561</v>
      </c>
      <c r="E587">
        <f t="shared" si="36"/>
        <v>5.4717365740740757E-2</v>
      </c>
      <c r="F587">
        <f t="shared" si="37"/>
        <v>4.6338613773148164E-2</v>
      </c>
      <c r="G587">
        <f t="shared" si="38"/>
        <v>1</v>
      </c>
      <c r="H587">
        <f t="shared" si="39"/>
        <v>0.65660838888888906</v>
      </c>
    </row>
    <row r="588" spans="1:8" x14ac:dyDescent="0.25">
      <c r="A588">
        <v>1050</v>
      </c>
      <c r="B588">
        <v>8</v>
      </c>
      <c r="C588">
        <v>13.325907777777781</v>
      </c>
      <c r="D588">
        <v>12.92850115942028</v>
      </c>
      <c r="E588">
        <f t="shared" si="36"/>
        <v>5.5524615740740753E-2</v>
      </c>
      <c r="F588">
        <f t="shared" si="37"/>
        <v>5.3868754830917832E-2</v>
      </c>
      <c r="G588">
        <f t="shared" si="38"/>
        <v>1</v>
      </c>
      <c r="H588">
        <f t="shared" si="39"/>
        <v>0.66629538888888906</v>
      </c>
    </row>
    <row r="589" spans="1:8" x14ac:dyDescent="0.25">
      <c r="A589">
        <v>1050</v>
      </c>
      <c r="B589">
        <v>9</v>
      </c>
      <c r="C589">
        <v>13.323318333333329</v>
      </c>
      <c r="D589">
        <v>13.121152458333331</v>
      </c>
      <c r="E589">
        <f t="shared" si="36"/>
        <v>5.5513826388888875E-2</v>
      </c>
      <c r="F589">
        <f t="shared" si="37"/>
        <v>5.4671468576388882E-2</v>
      </c>
      <c r="G589">
        <f t="shared" si="38"/>
        <v>1</v>
      </c>
      <c r="H589">
        <f t="shared" si="39"/>
        <v>0.66616591666666647</v>
      </c>
    </row>
    <row r="590" spans="1:8" x14ac:dyDescent="0.25">
      <c r="A590">
        <v>1050</v>
      </c>
      <c r="B590">
        <v>10</v>
      </c>
      <c r="C590">
        <v>13.454924999999999</v>
      </c>
      <c r="D590">
        <v>13.048861830808059</v>
      </c>
      <c r="E590">
        <f t="shared" si="36"/>
        <v>5.6062187499999999E-2</v>
      </c>
      <c r="F590">
        <f t="shared" si="37"/>
        <v>5.4370257628366912E-2</v>
      </c>
      <c r="G590">
        <f t="shared" si="38"/>
        <v>1</v>
      </c>
      <c r="H590">
        <f t="shared" si="39"/>
        <v>0.67274624999999999</v>
      </c>
    </row>
    <row r="591" spans="1:8" x14ac:dyDescent="0.25">
      <c r="A591">
        <v>1050</v>
      </c>
      <c r="B591">
        <v>11</v>
      </c>
      <c r="C591">
        <v>13.325850000000001</v>
      </c>
      <c r="D591">
        <v>13.006762070706939</v>
      </c>
      <c r="E591">
        <f t="shared" si="36"/>
        <v>5.5524375000000008E-2</v>
      </c>
      <c r="F591">
        <f t="shared" si="37"/>
        <v>5.4194841961278911E-2</v>
      </c>
      <c r="G591">
        <f t="shared" si="38"/>
        <v>1</v>
      </c>
      <c r="H591">
        <f t="shared" si="39"/>
        <v>0.66629250000000007</v>
      </c>
    </row>
    <row r="592" spans="1:8" x14ac:dyDescent="0.25">
      <c r="A592">
        <v>1050</v>
      </c>
      <c r="B592">
        <v>12</v>
      </c>
      <c r="C592">
        <v>21.272573888888889</v>
      </c>
      <c r="D592">
        <v>13.36525477513222</v>
      </c>
      <c r="E592">
        <f t="shared" si="36"/>
        <v>8.8635724537037039E-2</v>
      </c>
      <c r="F592">
        <f t="shared" si="37"/>
        <v>5.5688561563050916E-2</v>
      </c>
      <c r="G592">
        <f t="shared" si="38"/>
        <v>2</v>
      </c>
      <c r="H592">
        <f t="shared" si="39"/>
        <v>1.0636286944444444</v>
      </c>
    </row>
    <row r="593" spans="1:8" x14ac:dyDescent="0.25">
      <c r="A593">
        <v>1051</v>
      </c>
      <c r="B593">
        <v>1</v>
      </c>
      <c r="C593">
        <v>14.566666666666666</v>
      </c>
      <c r="D593">
        <v>8.0280555555555555</v>
      </c>
      <c r="E593">
        <f t="shared" si="36"/>
        <v>6.069444444444444E-2</v>
      </c>
      <c r="F593">
        <f t="shared" si="37"/>
        <v>3.3450231481481484E-2</v>
      </c>
      <c r="G593">
        <f t="shared" si="38"/>
        <v>1</v>
      </c>
      <c r="H593">
        <f t="shared" si="39"/>
        <v>0.72833333333333328</v>
      </c>
    </row>
    <row r="594" spans="1:8" x14ac:dyDescent="0.25">
      <c r="A594">
        <v>1051</v>
      </c>
      <c r="B594">
        <v>2</v>
      </c>
      <c r="C594">
        <v>13.96949</v>
      </c>
      <c r="D594">
        <v>6.1758196212119447</v>
      </c>
      <c r="E594">
        <f t="shared" si="36"/>
        <v>5.8206208333333335E-2</v>
      </c>
      <c r="F594">
        <f t="shared" si="37"/>
        <v>2.5732581755049767E-2</v>
      </c>
      <c r="G594">
        <f t="shared" si="38"/>
        <v>1</v>
      </c>
      <c r="H594">
        <f t="shared" si="39"/>
        <v>0.6984745</v>
      </c>
    </row>
    <row r="595" spans="1:8" x14ac:dyDescent="0.25">
      <c r="A595">
        <v>1051</v>
      </c>
      <c r="B595">
        <v>3</v>
      </c>
      <c r="C595">
        <v>32.021357500000001</v>
      </c>
      <c r="D595">
        <v>9.7168595138888882</v>
      </c>
      <c r="E595">
        <f t="shared" si="36"/>
        <v>0.13342232291666667</v>
      </c>
      <c r="F595">
        <f t="shared" si="37"/>
        <v>4.04869146412037E-2</v>
      </c>
      <c r="G595">
        <f t="shared" si="38"/>
        <v>2</v>
      </c>
      <c r="H595">
        <f t="shared" si="39"/>
        <v>1.601067875</v>
      </c>
    </row>
    <row r="596" spans="1:8" x14ac:dyDescent="0.25">
      <c r="A596">
        <v>1051</v>
      </c>
      <c r="B596">
        <v>4</v>
      </c>
      <c r="C596">
        <v>17.882138055555551</v>
      </c>
      <c r="D596">
        <v>9.6291054722222214</v>
      </c>
      <c r="E596">
        <f t="shared" si="36"/>
        <v>7.4508908564814791E-2</v>
      </c>
      <c r="F596">
        <f t="shared" si="37"/>
        <v>4.0121272800925922E-2</v>
      </c>
      <c r="G596">
        <f t="shared" si="38"/>
        <v>1</v>
      </c>
      <c r="H596">
        <f t="shared" si="39"/>
        <v>0.89410690277777749</v>
      </c>
    </row>
    <row r="597" spans="1:8" x14ac:dyDescent="0.25">
      <c r="A597">
        <v>1051</v>
      </c>
      <c r="B597">
        <v>5</v>
      </c>
      <c r="C597">
        <v>10.02828388888889</v>
      </c>
      <c r="D597">
        <v>7.3027788888888887</v>
      </c>
      <c r="E597">
        <f t="shared" si="36"/>
        <v>4.1784516203703707E-2</v>
      </c>
      <c r="F597">
        <f t="shared" si="37"/>
        <v>3.0428245370370369E-2</v>
      </c>
      <c r="G597">
        <f t="shared" si="38"/>
        <v>1</v>
      </c>
      <c r="H597">
        <f t="shared" si="39"/>
        <v>0.50141419444444446</v>
      </c>
    </row>
    <row r="598" spans="1:8" x14ac:dyDescent="0.25">
      <c r="A598">
        <v>1051</v>
      </c>
      <c r="B598">
        <v>6</v>
      </c>
      <c r="C598">
        <v>11.995795277777781</v>
      </c>
      <c r="D598">
        <v>8.5565870555555552</v>
      </c>
      <c r="E598">
        <f t="shared" si="36"/>
        <v>4.998248032407409E-2</v>
      </c>
      <c r="F598">
        <f t="shared" si="37"/>
        <v>3.5652446064814818E-2</v>
      </c>
      <c r="G598">
        <f t="shared" si="38"/>
        <v>1</v>
      </c>
      <c r="H598">
        <f t="shared" si="39"/>
        <v>0.59978976388888905</v>
      </c>
    </row>
    <row r="599" spans="1:8" x14ac:dyDescent="0.25">
      <c r="A599">
        <v>1051</v>
      </c>
      <c r="B599">
        <v>7</v>
      </c>
      <c r="C599">
        <v>10.033844444444441</v>
      </c>
      <c r="D599">
        <v>7.2592264166666656</v>
      </c>
      <c r="E599">
        <f t="shared" si="36"/>
        <v>4.1807685185185163E-2</v>
      </c>
      <c r="F599">
        <f t="shared" si="37"/>
        <v>3.0246776736111106E-2</v>
      </c>
      <c r="G599">
        <f t="shared" si="38"/>
        <v>1</v>
      </c>
      <c r="H599">
        <f t="shared" si="39"/>
        <v>0.50169222222222198</v>
      </c>
    </row>
    <row r="600" spans="1:8" x14ac:dyDescent="0.25">
      <c r="A600">
        <v>1051</v>
      </c>
      <c r="B600">
        <v>8</v>
      </c>
      <c r="C600">
        <v>13.830320555555559</v>
      </c>
      <c r="D600">
        <v>9.0908884178741669</v>
      </c>
      <c r="E600">
        <f t="shared" si="36"/>
        <v>5.7626335648148168E-2</v>
      </c>
      <c r="F600">
        <f t="shared" si="37"/>
        <v>3.7878701741142363E-2</v>
      </c>
      <c r="G600">
        <f t="shared" si="38"/>
        <v>1</v>
      </c>
      <c r="H600">
        <f t="shared" si="39"/>
        <v>0.69151602777777799</v>
      </c>
    </row>
    <row r="601" spans="1:8" x14ac:dyDescent="0.25">
      <c r="A601">
        <v>1051</v>
      </c>
      <c r="B601">
        <v>9</v>
      </c>
      <c r="C601">
        <v>16.307461944444441</v>
      </c>
      <c r="D601">
        <v>10.310764444444439</v>
      </c>
      <c r="E601">
        <f t="shared" si="36"/>
        <v>6.7947758101851843E-2</v>
      </c>
      <c r="F601">
        <f t="shared" si="37"/>
        <v>4.2961518518518503E-2</v>
      </c>
      <c r="G601">
        <f t="shared" si="38"/>
        <v>1</v>
      </c>
      <c r="H601">
        <f t="shared" si="39"/>
        <v>0.81537309722222218</v>
      </c>
    </row>
    <row r="602" spans="1:8" x14ac:dyDescent="0.25">
      <c r="A602">
        <v>1051</v>
      </c>
      <c r="B602">
        <v>10</v>
      </c>
      <c r="C602">
        <v>13.90837277777778</v>
      </c>
      <c r="D602">
        <v>9.6611181818180558</v>
      </c>
      <c r="E602">
        <f t="shared" si="36"/>
        <v>5.795155324074075E-2</v>
      </c>
      <c r="F602">
        <f t="shared" si="37"/>
        <v>4.0254659090908564E-2</v>
      </c>
      <c r="G602">
        <f t="shared" si="38"/>
        <v>1</v>
      </c>
      <c r="H602">
        <f t="shared" si="39"/>
        <v>0.695418638888889</v>
      </c>
    </row>
    <row r="603" spans="1:8" x14ac:dyDescent="0.25">
      <c r="A603">
        <v>1051</v>
      </c>
      <c r="B603">
        <v>11</v>
      </c>
      <c r="C603">
        <v>19.599599166666671</v>
      </c>
      <c r="D603">
        <v>8.6000298106058342</v>
      </c>
      <c r="E603">
        <f t="shared" si="36"/>
        <v>8.1664996527777797E-2</v>
      </c>
      <c r="F603">
        <f t="shared" si="37"/>
        <v>3.5833457544190976E-2</v>
      </c>
      <c r="G603">
        <f t="shared" si="38"/>
        <v>1</v>
      </c>
      <c r="H603">
        <f t="shared" si="39"/>
        <v>0.97997995833333351</v>
      </c>
    </row>
    <row r="604" spans="1:8" x14ac:dyDescent="0.25">
      <c r="A604">
        <v>1051</v>
      </c>
      <c r="B604">
        <v>12</v>
      </c>
      <c r="C604">
        <v>15.222419444444441</v>
      </c>
      <c r="D604">
        <v>10.03124591269833</v>
      </c>
      <c r="E604">
        <f t="shared" si="36"/>
        <v>6.3426747685185178E-2</v>
      </c>
      <c r="F604">
        <f t="shared" si="37"/>
        <v>4.1796857969576377E-2</v>
      </c>
      <c r="G604">
        <f t="shared" si="38"/>
        <v>1</v>
      </c>
      <c r="H604">
        <f t="shared" si="39"/>
        <v>0.76112097222222208</v>
      </c>
    </row>
    <row r="605" spans="1:8" x14ac:dyDescent="0.25">
      <c r="A605">
        <v>1052</v>
      </c>
      <c r="B605">
        <v>1</v>
      </c>
      <c r="C605">
        <v>14.477777777777778</v>
      </c>
      <c r="D605">
        <v>14.315555555555555</v>
      </c>
      <c r="E605">
        <f t="shared" si="36"/>
        <v>6.0324074074074079E-2</v>
      </c>
      <c r="F605">
        <f t="shared" si="37"/>
        <v>5.9648148148148145E-2</v>
      </c>
      <c r="G605">
        <f t="shared" si="38"/>
        <v>1</v>
      </c>
      <c r="H605">
        <f t="shared" si="39"/>
        <v>0.72388888888888892</v>
      </c>
    </row>
    <row r="606" spans="1:8" x14ac:dyDescent="0.25">
      <c r="A606">
        <v>1052</v>
      </c>
      <c r="B606">
        <v>2</v>
      </c>
      <c r="C606">
        <v>15.770145555555549</v>
      </c>
      <c r="D606">
        <v>15.536729595959439</v>
      </c>
      <c r="E606">
        <f t="shared" si="36"/>
        <v>6.5708939814814793E-2</v>
      </c>
      <c r="F606">
        <f t="shared" si="37"/>
        <v>6.4736373316497661E-2</v>
      </c>
      <c r="G606">
        <f t="shared" si="38"/>
        <v>1</v>
      </c>
      <c r="H606">
        <f t="shared" si="39"/>
        <v>0.78850727777777752</v>
      </c>
    </row>
    <row r="607" spans="1:8" x14ac:dyDescent="0.25">
      <c r="A607">
        <v>1052</v>
      </c>
      <c r="B607">
        <v>3</v>
      </c>
      <c r="C607">
        <v>15.78242777777778</v>
      </c>
      <c r="D607">
        <v>15.767101</v>
      </c>
      <c r="E607">
        <f t="shared" si="36"/>
        <v>6.5760115740740754E-2</v>
      </c>
      <c r="F607">
        <f t="shared" si="37"/>
        <v>6.5696254166666676E-2</v>
      </c>
      <c r="G607">
        <f t="shared" si="38"/>
        <v>1</v>
      </c>
      <c r="H607">
        <f t="shared" si="39"/>
        <v>0.78912138888888905</v>
      </c>
    </row>
    <row r="608" spans="1:8" x14ac:dyDescent="0.25">
      <c r="A608">
        <v>1052</v>
      </c>
      <c r="B608">
        <v>4</v>
      </c>
      <c r="C608">
        <v>15.78218777777778</v>
      </c>
      <c r="D608">
        <v>15.61230119047611</v>
      </c>
      <c r="E608">
        <f t="shared" si="36"/>
        <v>6.5759115740740753E-2</v>
      </c>
      <c r="F608">
        <f t="shared" si="37"/>
        <v>6.505125496031712E-2</v>
      </c>
      <c r="G608">
        <f t="shared" si="38"/>
        <v>1</v>
      </c>
      <c r="H608">
        <f t="shared" si="39"/>
        <v>0.78910938888888904</v>
      </c>
    </row>
    <row r="609" spans="1:8" x14ac:dyDescent="0.25">
      <c r="A609">
        <v>1052</v>
      </c>
      <c r="B609">
        <v>5</v>
      </c>
      <c r="C609">
        <v>15.80016555555556</v>
      </c>
      <c r="D609">
        <v>15.75645466666667</v>
      </c>
      <c r="E609">
        <f t="shared" si="36"/>
        <v>6.5834023148148166E-2</v>
      </c>
      <c r="F609">
        <f t="shared" si="37"/>
        <v>6.5651894444444456E-2</v>
      </c>
      <c r="G609">
        <f t="shared" si="38"/>
        <v>1</v>
      </c>
      <c r="H609">
        <f t="shared" si="39"/>
        <v>0.79000827777777793</v>
      </c>
    </row>
    <row r="610" spans="1:8" x14ac:dyDescent="0.25">
      <c r="A610">
        <v>1052</v>
      </c>
      <c r="B610">
        <v>6</v>
      </c>
      <c r="C610">
        <v>15.79431388888889</v>
      </c>
      <c r="D610">
        <v>15.01385197089945</v>
      </c>
      <c r="E610">
        <f t="shared" si="36"/>
        <v>6.5809641203703709E-2</v>
      </c>
      <c r="F610">
        <f t="shared" si="37"/>
        <v>6.255771654541438E-2</v>
      </c>
      <c r="G610">
        <f t="shared" si="38"/>
        <v>1</v>
      </c>
      <c r="H610">
        <f t="shared" si="39"/>
        <v>0.78971569444444456</v>
      </c>
    </row>
    <row r="611" spans="1:8" x14ac:dyDescent="0.25">
      <c r="A611">
        <v>1052</v>
      </c>
      <c r="B611">
        <v>7</v>
      </c>
      <c r="C611">
        <v>15.77345638888889</v>
      </c>
      <c r="D611">
        <v>15.746185899470831</v>
      </c>
      <c r="E611">
        <f t="shared" si="36"/>
        <v>6.5722734953703718E-2</v>
      </c>
      <c r="F611">
        <f t="shared" si="37"/>
        <v>6.5609107914461798E-2</v>
      </c>
      <c r="G611">
        <f t="shared" si="38"/>
        <v>1</v>
      </c>
      <c r="H611">
        <f t="shared" si="39"/>
        <v>0.78867281944444456</v>
      </c>
    </row>
    <row r="612" spans="1:8" x14ac:dyDescent="0.25">
      <c r="A612">
        <v>1052</v>
      </c>
      <c r="B612">
        <v>8</v>
      </c>
      <c r="C612">
        <v>16.04641361111111</v>
      </c>
      <c r="D612">
        <v>15.729696763285</v>
      </c>
      <c r="E612">
        <f t="shared" si="36"/>
        <v>6.6860056712962954E-2</v>
      </c>
      <c r="F612">
        <f t="shared" si="37"/>
        <v>6.5540403180354159E-2</v>
      </c>
      <c r="G612">
        <f t="shared" si="38"/>
        <v>1</v>
      </c>
      <c r="H612">
        <f t="shared" si="39"/>
        <v>0.80232068055555539</v>
      </c>
    </row>
    <row r="613" spans="1:8" x14ac:dyDescent="0.25">
      <c r="A613">
        <v>1052</v>
      </c>
      <c r="B613">
        <v>9</v>
      </c>
      <c r="C613">
        <v>15.708997500000001</v>
      </c>
      <c r="D613">
        <v>15.69746702777778</v>
      </c>
      <c r="E613">
        <f t="shared" si="36"/>
        <v>6.5454156250000006E-2</v>
      </c>
      <c r="F613">
        <f t="shared" si="37"/>
        <v>6.5406112615740752E-2</v>
      </c>
      <c r="G613">
        <f t="shared" si="38"/>
        <v>1</v>
      </c>
      <c r="H613">
        <f t="shared" si="39"/>
        <v>0.78544987500000008</v>
      </c>
    </row>
    <row r="614" spans="1:8" x14ac:dyDescent="0.25">
      <c r="A614">
        <v>1052</v>
      </c>
      <c r="B614">
        <v>10</v>
      </c>
      <c r="C614">
        <v>15.73821361111111</v>
      </c>
      <c r="D614">
        <v>15.683162424242219</v>
      </c>
      <c r="E614">
        <f t="shared" si="36"/>
        <v>6.5575890046296284E-2</v>
      </c>
      <c r="F614">
        <f t="shared" si="37"/>
        <v>6.5346510101009239E-2</v>
      </c>
      <c r="G614">
        <f t="shared" si="38"/>
        <v>1</v>
      </c>
      <c r="H614">
        <f t="shared" si="39"/>
        <v>0.78691068055555546</v>
      </c>
    </row>
    <row r="615" spans="1:8" x14ac:dyDescent="0.25">
      <c r="A615">
        <v>1052</v>
      </c>
      <c r="B615">
        <v>11</v>
      </c>
      <c r="C615">
        <v>15.741690555555561</v>
      </c>
      <c r="D615">
        <v>15.6387385144925</v>
      </c>
      <c r="E615">
        <f t="shared" si="36"/>
        <v>6.5590377314814832E-2</v>
      </c>
      <c r="F615">
        <f t="shared" si="37"/>
        <v>6.5161410477052081E-2</v>
      </c>
      <c r="G615">
        <f t="shared" si="38"/>
        <v>1</v>
      </c>
      <c r="H615">
        <f t="shared" si="39"/>
        <v>0.78708452777777804</v>
      </c>
    </row>
    <row r="616" spans="1:8" x14ac:dyDescent="0.25">
      <c r="A616">
        <v>1052</v>
      </c>
      <c r="B616">
        <v>12</v>
      </c>
      <c r="C616">
        <v>15.79442583333333</v>
      </c>
      <c r="D616">
        <v>15.60373850529083</v>
      </c>
      <c r="E616">
        <f t="shared" si="36"/>
        <v>6.5810107638888879E-2</v>
      </c>
      <c r="F616">
        <f t="shared" si="37"/>
        <v>6.5015577105378461E-2</v>
      </c>
      <c r="G616">
        <f t="shared" si="38"/>
        <v>1</v>
      </c>
      <c r="H616">
        <f t="shared" si="39"/>
        <v>0.78972129166666649</v>
      </c>
    </row>
    <row r="617" spans="1:8" x14ac:dyDescent="0.25">
      <c r="A617">
        <v>1053</v>
      </c>
      <c r="B617">
        <v>1</v>
      </c>
      <c r="C617">
        <v>14.095833333333333</v>
      </c>
      <c r="D617">
        <v>11.676111111111112</v>
      </c>
      <c r="E617">
        <f t="shared" si="36"/>
        <v>5.873263888888889E-2</v>
      </c>
      <c r="F617">
        <f t="shared" si="37"/>
        <v>4.8650462962962965E-2</v>
      </c>
      <c r="G617">
        <f t="shared" si="38"/>
        <v>1</v>
      </c>
      <c r="H617">
        <f t="shared" si="39"/>
        <v>0.70479166666666671</v>
      </c>
    </row>
    <row r="618" spans="1:8" x14ac:dyDescent="0.25">
      <c r="A618">
        <v>1053</v>
      </c>
      <c r="B618">
        <v>2</v>
      </c>
      <c r="C618">
        <v>5.5089736111111112</v>
      </c>
      <c r="D618">
        <v>4.9218261559138892</v>
      </c>
      <c r="E618">
        <f t="shared" si="36"/>
        <v>2.2954056712962963E-2</v>
      </c>
      <c r="F618">
        <f t="shared" si="37"/>
        <v>2.0507608982974539E-2</v>
      </c>
      <c r="G618">
        <f t="shared" si="38"/>
        <v>1</v>
      </c>
      <c r="H618">
        <f t="shared" si="39"/>
        <v>0.27544868055555555</v>
      </c>
    </row>
    <row r="619" spans="1:8" x14ac:dyDescent="0.25">
      <c r="A619">
        <v>1053</v>
      </c>
      <c r="B619">
        <v>3</v>
      </c>
      <c r="C619">
        <v>5.1460502777777766</v>
      </c>
      <c r="D619">
        <v>4.4504886805555559</v>
      </c>
      <c r="E619">
        <f t="shared" si="36"/>
        <v>2.1441876157407402E-2</v>
      </c>
      <c r="F619">
        <f t="shared" si="37"/>
        <v>1.854370283564815E-2</v>
      </c>
      <c r="G619">
        <f t="shared" si="38"/>
        <v>1</v>
      </c>
      <c r="H619">
        <f t="shared" si="39"/>
        <v>0.25730251388888881</v>
      </c>
    </row>
    <row r="620" spans="1:8" x14ac:dyDescent="0.25">
      <c r="A620">
        <v>1053</v>
      </c>
      <c r="B620">
        <v>4</v>
      </c>
      <c r="C620">
        <v>4.4903908333333344</v>
      </c>
      <c r="D620">
        <v>4.1524172311827776</v>
      </c>
      <c r="E620">
        <f t="shared" si="36"/>
        <v>1.870996180555556E-2</v>
      </c>
      <c r="F620">
        <f t="shared" si="37"/>
        <v>1.7301738463261575E-2</v>
      </c>
      <c r="G620">
        <f t="shared" si="38"/>
        <v>1</v>
      </c>
      <c r="H620">
        <f t="shared" si="39"/>
        <v>0.22451954166666671</v>
      </c>
    </row>
    <row r="621" spans="1:8" x14ac:dyDescent="0.25">
      <c r="A621">
        <v>1053</v>
      </c>
      <c r="B621">
        <v>5</v>
      </c>
      <c r="C621">
        <v>4.7301180555555558</v>
      </c>
      <c r="D621">
        <v>4.3993162685183336</v>
      </c>
      <c r="E621">
        <f t="shared" si="36"/>
        <v>1.9708825231481483E-2</v>
      </c>
      <c r="F621">
        <f t="shared" si="37"/>
        <v>1.8330484452159724E-2</v>
      </c>
      <c r="G621">
        <f t="shared" si="38"/>
        <v>1</v>
      </c>
      <c r="H621">
        <f t="shared" si="39"/>
        <v>0.23650590277777778</v>
      </c>
    </row>
    <row r="622" spans="1:8" x14ac:dyDescent="0.25">
      <c r="A622">
        <v>1053</v>
      </c>
      <c r="B622">
        <v>6</v>
      </c>
      <c r="C622">
        <v>8.2867016666666675</v>
      </c>
      <c r="D622">
        <v>5.3308149641574998</v>
      </c>
      <c r="E622">
        <f t="shared" si="36"/>
        <v>3.4527923611111115E-2</v>
      </c>
      <c r="F622">
        <f t="shared" si="37"/>
        <v>2.2211729017322917E-2</v>
      </c>
      <c r="G622">
        <f t="shared" si="38"/>
        <v>1</v>
      </c>
      <c r="H622">
        <f t="shared" si="39"/>
        <v>0.41433508333333335</v>
      </c>
    </row>
    <row r="623" spans="1:8" x14ac:dyDescent="0.25">
      <c r="A623">
        <v>1053</v>
      </c>
      <c r="B623">
        <v>7</v>
      </c>
      <c r="C623">
        <v>7.9296749999999996</v>
      </c>
      <c r="D623">
        <v>7.3266188148147222</v>
      </c>
      <c r="E623">
        <f t="shared" si="36"/>
        <v>3.3040312499999995E-2</v>
      </c>
      <c r="F623">
        <f t="shared" si="37"/>
        <v>3.0527578395061344E-2</v>
      </c>
      <c r="G623">
        <f t="shared" si="38"/>
        <v>1</v>
      </c>
      <c r="H623">
        <f t="shared" si="39"/>
        <v>0.39648374999999991</v>
      </c>
    </row>
    <row r="624" spans="1:8" x14ac:dyDescent="0.25">
      <c r="A624">
        <v>1053</v>
      </c>
      <c r="B624">
        <v>8</v>
      </c>
      <c r="C624">
        <v>39.091947222222217</v>
      </c>
      <c r="D624">
        <v>16.764661416666669</v>
      </c>
      <c r="E624">
        <f t="shared" si="36"/>
        <v>0.1628831134259259</v>
      </c>
      <c r="F624">
        <f t="shared" si="37"/>
        <v>6.9852755902777786E-2</v>
      </c>
      <c r="G624">
        <f t="shared" si="38"/>
        <v>2</v>
      </c>
      <c r="H624">
        <f t="shared" si="39"/>
        <v>1.9545973611111109</v>
      </c>
    </row>
    <row r="625" spans="1:8" x14ac:dyDescent="0.25">
      <c r="A625">
        <v>1053</v>
      </c>
      <c r="B625">
        <v>9</v>
      </c>
      <c r="C625">
        <v>23.490918611111109</v>
      </c>
      <c r="D625">
        <v>23.44272806481472</v>
      </c>
      <c r="E625">
        <f t="shared" si="36"/>
        <v>9.7878827546296288E-2</v>
      </c>
      <c r="F625">
        <f t="shared" si="37"/>
        <v>9.7678033603394665E-2</v>
      </c>
      <c r="G625">
        <f t="shared" si="38"/>
        <v>2</v>
      </c>
      <c r="H625">
        <f t="shared" si="39"/>
        <v>1.1745459305555555</v>
      </c>
    </row>
    <row r="626" spans="1:8" x14ac:dyDescent="0.25">
      <c r="A626">
        <v>1053</v>
      </c>
      <c r="B626">
        <v>10</v>
      </c>
      <c r="C626">
        <v>23.486948333333331</v>
      </c>
      <c r="D626">
        <v>23.442702259259171</v>
      </c>
      <c r="E626">
        <f t="shared" si="36"/>
        <v>9.7862284722222206E-2</v>
      </c>
      <c r="F626">
        <f t="shared" si="37"/>
        <v>9.7677926080246544E-2</v>
      </c>
      <c r="G626">
        <f t="shared" si="38"/>
        <v>2</v>
      </c>
      <c r="H626">
        <f t="shared" si="39"/>
        <v>1.1743474166666665</v>
      </c>
    </row>
    <row r="627" spans="1:8" x14ac:dyDescent="0.25">
      <c r="A627">
        <v>1053</v>
      </c>
      <c r="B627">
        <v>11</v>
      </c>
      <c r="C627">
        <v>23.511228611111111</v>
      </c>
      <c r="D627">
        <v>23.393027777777782</v>
      </c>
      <c r="E627">
        <f t="shared" si="36"/>
        <v>9.7963452546296292E-2</v>
      </c>
      <c r="F627">
        <f t="shared" si="37"/>
        <v>9.7470949074074095E-2</v>
      </c>
      <c r="G627">
        <f t="shared" si="38"/>
        <v>2</v>
      </c>
      <c r="H627">
        <f t="shared" si="39"/>
        <v>1.1755614305555555</v>
      </c>
    </row>
    <row r="628" spans="1:8" x14ac:dyDescent="0.25">
      <c r="A628">
        <v>1053</v>
      </c>
      <c r="B628">
        <v>12</v>
      </c>
      <c r="C628">
        <v>23.473931666666669</v>
      </c>
      <c r="D628">
        <v>22.48610270609306</v>
      </c>
      <c r="E628">
        <f t="shared" si="36"/>
        <v>9.7808048611111129E-2</v>
      </c>
      <c r="F628">
        <f t="shared" si="37"/>
        <v>9.3692094608721077E-2</v>
      </c>
      <c r="G628">
        <f t="shared" si="38"/>
        <v>2</v>
      </c>
      <c r="H628">
        <f t="shared" si="39"/>
        <v>1.1736965833333335</v>
      </c>
    </row>
    <row r="629" spans="1:8" x14ac:dyDescent="0.25">
      <c r="A629">
        <v>1054</v>
      </c>
      <c r="B629">
        <v>1</v>
      </c>
      <c r="C629">
        <v>12.732777777777779</v>
      </c>
      <c r="D629">
        <v>12.513611111111112</v>
      </c>
      <c r="E629">
        <f t="shared" si="36"/>
        <v>5.3053240740740748E-2</v>
      </c>
      <c r="F629">
        <f t="shared" si="37"/>
        <v>5.2140046296296295E-2</v>
      </c>
      <c r="G629">
        <f t="shared" si="38"/>
        <v>1</v>
      </c>
      <c r="H629">
        <f t="shared" si="39"/>
        <v>0.63663888888888898</v>
      </c>
    </row>
    <row r="630" spans="1:8" x14ac:dyDescent="0.25">
      <c r="A630">
        <v>1054</v>
      </c>
      <c r="B630">
        <v>2</v>
      </c>
      <c r="C630">
        <v>13.8746925</v>
      </c>
      <c r="D630">
        <v>13.813719595959441</v>
      </c>
      <c r="E630">
        <f t="shared" si="36"/>
        <v>5.7811218750000004E-2</v>
      </c>
      <c r="F630">
        <f t="shared" si="37"/>
        <v>5.7557164983164343E-2</v>
      </c>
      <c r="G630">
        <f t="shared" si="38"/>
        <v>1</v>
      </c>
      <c r="H630">
        <f t="shared" si="39"/>
        <v>0.69373462500000005</v>
      </c>
    </row>
    <row r="631" spans="1:8" x14ac:dyDescent="0.25">
      <c r="A631">
        <v>1054</v>
      </c>
      <c r="B631">
        <v>3</v>
      </c>
      <c r="C631">
        <v>13.90127027777778</v>
      </c>
      <c r="D631">
        <v>13.829346597222219</v>
      </c>
      <c r="E631">
        <f t="shared" si="36"/>
        <v>5.7921959490740749E-2</v>
      </c>
      <c r="F631">
        <f t="shared" si="37"/>
        <v>5.762227748842591E-2</v>
      </c>
      <c r="G631">
        <f t="shared" si="38"/>
        <v>1</v>
      </c>
      <c r="H631">
        <f t="shared" si="39"/>
        <v>0.69506351388888898</v>
      </c>
    </row>
    <row r="632" spans="1:8" x14ac:dyDescent="0.25">
      <c r="A632">
        <v>1054</v>
      </c>
      <c r="B632">
        <v>4</v>
      </c>
      <c r="C632">
        <v>14.02643055555555</v>
      </c>
      <c r="D632">
        <v>13.770529510581939</v>
      </c>
      <c r="E632">
        <f t="shared" si="36"/>
        <v>5.8443460648148121E-2</v>
      </c>
      <c r="F632">
        <f t="shared" si="37"/>
        <v>5.7377206294091411E-2</v>
      </c>
      <c r="G632">
        <f t="shared" si="38"/>
        <v>1</v>
      </c>
      <c r="H632">
        <f t="shared" si="39"/>
        <v>0.70132152777777745</v>
      </c>
    </row>
    <row r="633" spans="1:8" x14ac:dyDescent="0.25">
      <c r="A633">
        <v>1054</v>
      </c>
      <c r="B633">
        <v>5</v>
      </c>
      <c r="C633">
        <v>13.880548888888891</v>
      </c>
      <c r="D633">
        <v>13.863624680555549</v>
      </c>
      <c r="E633">
        <f t="shared" si="36"/>
        <v>5.7835620370370378E-2</v>
      </c>
      <c r="F633">
        <f t="shared" si="37"/>
        <v>5.7765102835648119E-2</v>
      </c>
      <c r="G633">
        <f t="shared" si="38"/>
        <v>1</v>
      </c>
      <c r="H633">
        <f t="shared" si="39"/>
        <v>0.69402744444444453</v>
      </c>
    </row>
    <row r="634" spans="1:8" x14ac:dyDescent="0.25">
      <c r="A634">
        <v>1054</v>
      </c>
      <c r="B634">
        <v>6</v>
      </c>
      <c r="C634">
        <v>13.8889175</v>
      </c>
      <c r="D634">
        <v>12.566244791666669</v>
      </c>
      <c r="E634">
        <f t="shared" si="36"/>
        <v>5.787048958333333E-2</v>
      </c>
      <c r="F634">
        <f t="shared" si="37"/>
        <v>5.2359353298611126E-2</v>
      </c>
      <c r="G634">
        <f t="shared" si="38"/>
        <v>1</v>
      </c>
      <c r="H634">
        <f t="shared" si="39"/>
        <v>0.69444587499999999</v>
      </c>
    </row>
    <row r="635" spans="1:8" x14ac:dyDescent="0.25">
      <c r="A635">
        <v>1054</v>
      </c>
      <c r="B635">
        <v>7</v>
      </c>
      <c r="C635">
        <v>13.88283805555556</v>
      </c>
      <c r="D635">
        <v>13.228370251322501</v>
      </c>
      <c r="E635">
        <f t="shared" si="36"/>
        <v>5.7845158564814834E-2</v>
      </c>
      <c r="F635">
        <f t="shared" si="37"/>
        <v>5.5118209380510423E-2</v>
      </c>
      <c r="G635">
        <f t="shared" si="38"/>
        <v>1</v>
      </c>
      <c r="H635">
        <f t="shared" si="39"/>
        <v>0.69414190277777799</v>
      </c>
    </row>
    <row r="636" spans="1:8" x14ac:dyDescent="0.25">
      <c r="A636">
        <v>1054</v>
      </c>
      <c r="B636">
        <v>8</v>
      </c>
      <c r="C636">
        <v>13.900561111111109</v>
      </c>
      <c r="D636">
        <v>13.87727880434778</v>
      </c>
      <c r="E636">
        <f t="shared" si="36"/>
        <v>5.7919004629629622E-2</v>
      </c>
      <c r="F636">
        <f t="shared" si="37"/>
        <v>5.7821995018115746E-2</v>
      </c>
      <c r="G636">
        <f t="shared" si="38"/>
        <v>1</v>
      </c>
      <c r="H636">
        <f t="shared" si="39"/>
        <v>0.69502805555555547</v>
      </c>
    </row>
    <row r="637" spans="1:8" x14ac:dyDescent="0.25">
      <c r="A637">
        <v>1054</v>
      </c>
      <c r="B637">
        <v>9</v>
      </c>
      <c r="C637">
        <v>13.84396666666667</v>
      </c>
      <c r="D637">
        <v>13.80135583333333</v>
      </c>
      <c r="E637">
        <f t="shared" si="36"/>
        <v>5.7683194444444454E-2</v>
      </c>
      <c r="F637">
        <f t="shared" si="37"/>
        <v>5.7505649305555545E-2</v>
      </c>
      <c r="G637">
        <f t="shared" si="38"/>
        <v>1</v>
      </c>
      <c r="H637">
        <f t="shared" si="39"/>
        <v>0.69219833333333347</v>
      </c>
    </row>
    <row r="638" spans="1:8" x14ac:dyDescent="0.25">
      <c r="A638">
        <v>1054</v>
      </c>
      <c r="B638">
        <v>10</v>
      </c>
      <c r="C638">
        <v>13.85466555555556</v>
      </c>
      <c r="D638">
        <v>13.824823573232219</v>
      </c>
      <c r="E638">
        <f t="shared" si="36"/>
        <v>5.7727773148148163E-2</v>
      </c>
      <c r="F638">
        <f t="shared" si="37"/>
        <v>5.7603431555134248E-2</v>
      </c>
      <c r="G638">
        <f t="shared" si="38"/>
        <v>1</v>
      </c>
      <c r="H638">
        <f t="shared" si="39"/>
        <v>0.69273327777777793</v>
      </c>
    </row>
    <row r="639" spans="1:8" x14ac:dyDescent="0.25">
      <c r="A639">
        <v>1054</v>
      </c>
      <c r="B639">
        <v>11</v>
      </c>
      <c r="C639">
        <v>13.852604722222219</v>
      </c>
      <c r="D639">
        <v>13.760350467171669</v>
      </c>
      <c r="E639">
        <f t="shared" si="36"/>
        <v>5.7719186342592578E-2</v>
      </c>
      <c r="F639">
        <f t="shared" si="37"/>
        <v>5.7334793613215286E-2</v>
      </c>
      <c r="G639">
        <f t="shared" si="38"/>
        <v>1</v>
      </c>
      <c r="H639">
        <f t="shared" si="39"/>
        <v>0.69263023611111096</v>
      </c>
    </row>
    <row r="640" spans="1:8" x14ac:dyDescent="0.25">
      <c r="A640">
        <v>1054</v>
      </c>
      <c r="B640">
        <v>12</v>
      </c>
      <c r="C640">
        <v>13.884965833333331</v>
      </c>
      <c r="D640">
        <v>13.82647384920611</v>
      </c>
      <c r="E640">
        <f t="shared" si="36"/>
        <v>5.785402430555555E-2</v>
      </c>
      <c r="F640">
        <f t="shared" si="37"/>
        <v>5.7610307705025454E-2</v>
      </c>
      <c r="G640">
        <f t="shared" si="38"/>
        <v>1</v>
      </c>
      <c r="H640">
        <f t="shared" si="39"/>
        <v>0.69424829166666657</v>
      </c>
    </row>
    <row r="641" spans="1:8" x14ac:dyDescent="0.25">
      <c r="A641">
        <v>1055</v>
      </c>
      <c r="B641">
        <v>1</v>
      </c>
      <c r="C641">
        <v>12.646944444444445</v>
      </c>
      <c r="D641">
        <v>12.043333333333333</v>
      </c>
      <c r="E641">
        <f t="shared" si="36"/>
        <v>5.2695601851851855E-2</v>
      </c>
      <c r="F641">
        <f t="shared" si="37"/>
        <v>5.0180555555555555E-2</v>
      </c>
      <c r="G641">
        <f t="shared" si="38"/>
        <v>1</v>
      </c>
      <c r="H641">
        <f t="shared" si="39"/>
        <v>0.63234722222222228</v>
      </c>
    </row>
    <row r="642" spans="1:8" x14ac:dyDescent="0.25">
      <c r="A642">
        <v>1055</v>
      </c>
      <c r="B642">
        <v>2</v>
      </c>
      <c r="C642">
        <v>13.39355277777778</v>
      </c>
      <c r="D642">
        <v>13.271636401515</v>
      </c>
      <c r="E642">
        <f t="shared" ref="E642:E705" si="40">+C642/20/12</f>
        <v>5.5806469907407417E-2</v>
      </c>
      <c r="F642">
        <f t="shared" ref="F642:F705" si="41">+D642/20/12</f>
        <v>5.5298485006312494E-2</v>
      </c>
      <c r="G642">
        <f t="shared" ref="G642:G705" si="42">+ROUNDUP(E642*12,0)</f>
        <v>1</v>
      </c>
      <c r="H642">
        <f t="shared" ref="H642:H705" si="43">+E642*12</f>
        <v>0.66967763888888898</v>
      </c>
    </row>
    <row r="643" spans="1:8" x14ac:dyDescent="0.25">
      <c r="A643">
        <v>1055</v>
      </c>
      <c r="B643">
        <v>3</v>
      </c>
      <c r="C643">
        <v>13.783700833333331</v>
      </c>
      <c r="D643">
        <v>13.35659026388889</v>
      </c>
      <c r="E643">
        <f t="shared" si="40"/>
        <v>5.7432086805555539E-2</v>
      </c>
      <c r="F643">
        <f t="shared" si="41"/>
        <v>5.5652459432870373E-2</v>
      </c>
      <c r="G643">
        <f t="shared" si="42"/>
        <v>1</v>
      </c>
      <c r="H643">
        <f t="shared" si="43"/>
        <v>0.6891850416666665</v>
      </c>
    </row>
    <row r="644" spans="1:8" x14ac:dyDescent="0.25">
      <c r="A644">
        <v>1055</v>
      </c>
      <c r="B644">
        <v>4</v>
      </c>
      <c r="C644">
        <v>13.43283111111111</v>
      </c>
      <c r="D644">
        <v>13.322490436507779</v>
      </c>
      <c r="E644">
        <f t="shared" si="40"/>
        <v>5.5970129629629627E-2</v>
      </c>
      <c r="F644">
        <f t="shared" si="41"/>
        <v>5.551037681878241E-2</v>
      </c>
      <c r="G644">
        <f t="shared" si="42"/>
        <v>1</v>
      </c>
      <c r="H644">
        <f t="shared" si="43"/>
        <v>0.67164155555555549</v>
      </c>
    </row>
    <row r="645" spans="1:8" x14ac:dyDescent="0.25">
      <c r="A645">
        <v>1055</v>
      </c>
      <c r="B645">
        <v>5</v>
      </c>
      <c r="C645">
        <v>13.53530472222222</v>
      </c>
      <c r="D645">
        <v>13.31304314814806</v>
      </c>
      <c r="E645">
        <f t="shared" si="40"/>
        <v>5.6397103009259243E-2</v>
      </c>
      <c r="F645">
        <f t="shared" si="41"/>
        <v>5.5471013117283585E-2</v>
      </c>
      <c r="G645">
        <f t="shared" si="42"/>
        <v>1</v>
      </c>
      <c r="H645">
        <f t="shared" si="43"/>
        <v>0.67676523611111095</v>
      </c>
    </row>
    <row r="646" spans="1:8" x14ac:dyDescent="0.25">
      <c r="A646">
        <v>1055</v>
      </c>
      <c r="B646">
        <v>6</v>
      </c>
      <c r="C646">
        <v>13.39953805555556</v>
      </c>
      <c r="D646">
        <v>12.92260968253944</v>
      </c>
      <c r="E646">
        <f t="shared" si="40"/>
        <v>5.5831408564814833E-2</v>
      </c>
      <c r="F646">
        <f t="shared" si="41"/>
        <v>5.3844207010580993E-2</v>
      </c>
      <c r="G646">
        <f t="shared" si="42"/>
        <v>1</v>
      </c>
      <c r="H646">
        <f t="shared" si="43"/>
        <v>0.66997690277777799</v>
      </c>
    </row>
    <row r="647" spans="1:8" x14ac:dyDescent="0.25">
      <c r="A647">
        <v>1055</v>
      </c>
      <c r="B647">
        <v>7</v>
      </c>
      <c r="C647">
        <v>13.52733444444444</v>
      </c>
      <c r="D647">
        <v>13.37705484126972</v>
      </c>
      <c r="E647">
        <f t="shared" si="40"/>
        <v>5.6363893518518504E-2</v>
      </c>
      <c r="F647">
        <f t="shared" si="41"/>
        <v>5.5737728505290497E-2</v>
      </c>
      <c r="G647">
        <f t="shared" si="42"/>
        <v>1</v>
      </c>
      <c r="H647">
        <f t="shared" si="43"/>
        <v>0.67636672222222205</v>
      </c>
    </row>
    <row r="648" spans="1:8" x14ac:dyDescent="0.25">
      <c r="A648">
        <v>1055</v>
      </c>
      <c r="B648">
        <v>8</v>
      </c>
      <c r="C648">
        <v>13.39665944444444</v>
      </c>
      <c r="D648">
        <v>12.200061691919171</v>
      </c>
      <c r="E648">
        <f t="shared" si="40"/>
        <v>5.5819414351851837E-2</v>
      </c>
      <c r="F648">
        <f t="shared" si="41"/>
        <v>5.0833590382996542E-2</v>
      </c>
      <c r="G648">
        <f t="shared" si="42"/>
        <v>1</v>
      </c>
      <c r="H648">
        <f t="shared" si="43"/>
        <v>0.66983297222222205</v>
      </c>
    </row>
    <row r="649" spans="1:8" x14ac:dyDescent="0.25">
      <c r="A649">
        <v>1055</v>
      </c>
      <c r="B649">
        <v>9</v>
      </c>
      <c r="C649">
        <v>13.676976944444441</v>
      </c>
      <c r="D649">
        <v>13.30122575</v>
      </c>
      <c r="E649">
        <f t="shared" si="40"/>
        <v>5.6987403935185171E-2</v>
      </c>
      <c r="F649">
        <f t="shared" si="41"/>
        <v>5.5421773958333337E-2</v>
      </c>
      <c r="G649">
        <f t="shared" si="42"/>
        <v>1</v>
      </c>
      <c r="H649">
        <f t="shared" si="43"/>
        <v>0.68384884722222206</v>
      </c>
    </row>
    <row r="650" spans="1:8" x14ac:dyDescent="0.25">
      <c r="A650">
        <v>1055</v>
      </c>
      <c r="B650">
        <v>10</v>
      </c>
      <c r="C650">
        <v>13.52138055555556</v>
      </c>
      <c r="D650">
        <v>13.21785176767667</v>
      </c>
      <c r="E650">
        <f t="shared" si="40"/>
        <v>5.6339085648148164E-2</v>
      </c>
      <c r="F650">
        <f t="shared" si="41"/>
        <v>5.5074382365319453E-2</v>
      </c>
      <c r="G650">
        <f t="shared" si="42"/>
        <v>1</v>
      </c>
      <c r="H650">
        <f t="shared" si="43"/>
        <v>0.676069027777778</v>
      </c>
    </row>
    <row r="651" spans="1:8" x14ac:dyDescent="0.25">
      <c r="A651">
        <v>1055</v>
      </c>
      <c r="B651">
        <v>11</v>
      </c>
      <c r="C651">
        <v>13.97818777777778</v>
      </c>
      <c r="D651">
        <v>13.29339917874389</v>
      </c>
      <c r="E651">
        <f t="shared" si="40"/>
        <v>5.8242449074074082E-2</v>
      </c>
      <c r="F651">
        <f t="shared" si="41"/>
        <v>5.5389163244766206E-2</v>
      </c>
      <c r="G651">
        <f t="shared" si="42"/>
        <v>1</v>
      </c>
      <c r="H651">
        <f t="shared" si="43"/>
        <v>0.69890938888888898</v>
      </c>
    </row>
    <row r="652" spans="1:8" x14ac:dyDescent="0.25">
      <c r="A652">
        <v>1055</v>
      </c>
      <c r="B652">
        <v>12</v>
      </c>
      <c r="C652">
        <v>16.114556388888889</v>
      </c>
      <c r="D652">
        <v>12.943544047618889</v>
      </c>
      <c r="E652">
        <f t="shared" si="40"/>
        <v>6.7143984953703703E-2</v>
      </c>
      <c r="F652">
        <f t="shared" si="41"/>
        <v>5.3931433531745371E-2</v>
      </c>
      <c r="G652">
        <f t="shared" si="42"/>
        <v>1</v>
      </c>
      <c r="H652">
        <f t="shared" si="43"/>
        <v>0.80572781944444438</v>
      </c>
    </row>
    <row r="653" spans="1:8" x14ac:dyDescent="0.25">
      <c r="A653">
        <v>1056</v>
      </c>
      <c r="B653">
        <v>1</v>
      </c>
      <c r="C653">
        <v>12.580277777777779</v>
      </c>
      <c r="D653">
        <v>12.213611111111112</v>
      </c>
      <c r="E653">
        <f t="shared" si="40"/>
        <v>5.2417824074074082E-2</v>
      </c>
      <c r="F653">
        <f t="shared" si="41"/>
        <v>5.0890046296296294E-2</v>
      </c>
      <c r="G653">
        <f t="shared" si="42"/>
        <v>1</v>
      </c>
      <c r="H653">
        <f t="shared" si="43"/>
        <v>0.62901388888888898</v>
      </c>
    </row>
    <row r="654" spans="1:8" x14ac:dyDescent="0.25">
      <c r="A654">
        <v>1056</v>
      </c>
      <c r="B654">
        <v>2</v>
      </c>
      <c r="C654">
        <v>13.681032500000001</v>
      </c>
      <c r="D654">
        <v>13.554720050505001</v>
      </c>
      <c r="E654">
        <f t="shared" si="40"/>
        <v>5.700430208333334E-2</v>
      </c>
      <c r="F654">
        <f t="shared" si="41"/>
        <v>5.6478000210437501E-2</v>
      </c>
      <c r="G654">
        <f t="shared" si="42"/>
        <v>1</v>
      </c>
      <c r="H654">
        <f t="shared" si="43"/>
        <v>0.68405162500000005</v>
      </c>
    </row>
    <row r="655" spans="1:8" x14ac:dyDescent="0.25">
      <c r="A655">
        <v>1056</v>
      </c>
      <c r="B655">
        <v>3</v>
      </c>
      <c r="C655">
        <v>13.667314722222221</v>
      </c>
      <c r="D655">
        <v>13.08237583333333</v>
      </c>
      <c r="E655">
        <f t="shared" si="40"/>
        <v>5.6947144675925924E-2</v>
      </c>
      <c r="F655">
        <f t="shared" si="41"/>
        <v>5.4509899305555547E-2</v>
      </c>
      <c r="G655">
        <f t="shared" si="42"/>
        <v>1</v>
      </c>
      <c r="H655">
        <f t="shared" si="43"/>
        <v>0.68336573611111107</v>
      </c>
    </row>
    <row r="656" spans="1:8" x14ac:dyDescent="0.25">
      <c r="A656">
        <v>1056</v>
      </c>
      <c r="B656">
        <v>4</v>
      </c>
      <c r="C656">
        <v>13.689256666666671</v>
      </c>
      <c r="D656">
        <v>12.83638080687806</v>
      </c>
      <c r="E656">
        <f t="shared" si="40"/>
        <v>5.7038569444444465E-2</v>
      </c>
      <c r="F656">
        <f t="shared" si="41"/>
        <v>5.3484920028658588E-2</v>
      </c>
      <c r="G656">
        <f t="shared" si="42"/>
        <v>1</v>
      </c>
      <c r="H656">
        <f t="shared" si="43"/>
        <v>0.68446283333333358</v>
      </c>
    </row>
    <row r="657" spans="1:8" x14ac:dyDescent="0.25">
      <c r="A657">
        <v>1056</v>
      </c>
      <c r="B657">
        <v>5</v>
      </c>
      <c r="C657">
        <v>13.868501666666671</v>
      </c>
      <c r="D657">
        <v>12.789554603174439</v>
      </c>
      <c r="E657">
        <f t="shared" si="40"/>
        <v>5.7785423611111129E-2</v>
      </c>
      <c r="F657">
        <f t="shared" si="41"/>
        <v>5.3289810846560169E-2</v>
      </c>
      <c r="G657">
        <f t="shared" si="42"/>
        <v>1</v>
      </c>
      <c r="H657">
        <f t="shared" si="43"/>
        <v>0.69342508333333353</v>
      </c>
    </row>
    <row r="658" spans="1:8" x14ac:dyDescent="0.25">
      <c r="A658">
        <v>1056</v>
      </c>
      <c r="B658">
        <v>6</v>
      </c>
      <c r="C658">
        <v>13.731816666666671</v>
      </c>
      <c r="D658">
        <v>13.14733969576695</v>
      </c>
      <c r="E658">
        <f t="shared" si="40"/>
        <v>5.7215902777777793E-2</v>
      </c>
      <c r="F658">
        <f t="shared" si="41"/>
        <v>5.4780582065695631E-2</v>
      </c>
      <c r="G658">
        <f t="shared" si="42"/>
        <v>1</v>
      </c>
      <c r="H658">
        <f t="shared" si="43"/>
        <v>0.68659083333333348</v>
      </c>
    </row>
    <row r="659" spans="1:8" x14ac:dyDescent="0.25">
      <c r="A659">
        <v>1056</v>
      </c>
      <c r="B659">
        <v>7</v>
      </c>
      <c r="C659">
        <v>13.671864722222219</v>
      </c>
      <c r="D659">
        <v>13.461591177248611</v>
      </c>
      <c r="E659">
        <f t="shared" si="40"/>
        <v>5.696610300925925E-2</v>
      </c>
      <c r="F659">
        <f t="shared" si="41"/>
        <v>5.6089963238535878E-2</v>
      </c>
      <c r="G659">
        <f t="shared" si="42"/>
        <v>1</v>
      </c>
      <c r="H659">
        <f t="shared" si="43"/>
        <v>0.683593236111111</v>
      </c>
    </row>
    <row r="660" spans="1:8" x14ac:dyDescent="0.25">
      <c r="A660">
        <v>1056</v>
      </c>
      <c r="B660">
        <v>8</v>
      </c>
      <c r="C660">
        <v>13.667990833333331</v>
      </c>
      <c r="D660">
        <v>13.57658950483083</v>
      </c>
      <c r="E660">
        <f t="shared" si="40"/>
        <v>5.6949961805555539E-2</v>
      </c>
      <c r="F660">
        <f t="shared" si="41"/>
        <v>5.656912293679512E-2</v>
      </c>
      <c r="G660">
        <f t="shared" si="42"/>
        <v>1</v>
      </c>
      <c r="H660">
        <f t="shared" si="43"/>
        <v>0.6833995416666665</v>
      </c>
    </row>
    <row r="661" spans="1:8" x14ac:dyDescent="0.25">
      <c r="A661">
        <v>1056</v>
      </c>
      <c r="B661">
        <v>9</v>
      </c>
      <c r="C661">
        <v>13.87870194444444</v>
      </c>
      <c r="D661">
        <v>13.535021499999999</v>
      </c>
      <c r="E661">
        <f t="shared" si="40"/>
        <v>5.7827924768518502E-2</v>
      </c>
      <c r="F661">
        <f t="shared" si="41"/>
        <v>5.6395922916666667E-2</v>
      </c>
      <c r="G661">
        <f t="shared" si="42"/>
        <v>1</v>
      </c>
      <c r="H661">
        <f t="shared" si="43"/>
        <v>0.69393509722222202</v>
      </c>
    </row>
    <row r="662" spans="1:8" x14ac:dyDescent="0.25">
      <c r="A662">
        <v>1056</v>
      </c>
      <c r="B662">
        <v>10</v>
      </c>
      <c r="C662">
        <v>13.68199083333333</v>
      </c>
      <c r="D662">
        <v>13.490465770201951</v>
      </c>
      <c r="E662">
        <f t="shared" si="40"/>
        <v>5.700829513888888E-2</v>
      </c>
      <c r="F662">
        <f t="shared" si="41"/>
        <v>5.6210274042508133E-2</v>
      </c>
      <c r="G662">
        <f t="shared" si="42"/>
        <v>1</v>
      </c>
      <c r="H662">
        <f t="shared" si="43"/>
        <v>0.68409954166666653</v>
      </c>
    </row>
    <row r="663" spans="1:8" x14ac:dyDescent="0.25">
      <c r="A663">
        <v>1056</v>
      </c>
      <c r="B663">
        <v>11</v>
      </c>
      <c r="C663">
        <v>13.719976944444451</v>
      </c>
      <c r="D663">
        <v>13.50606371980667</v>
      </c>
      <c r="E663">
        <f t="shared" si="40"/>
        <v>5.7166570601851874E-2</v>
      </c>
      <c r="F663">
        <f t="shared" si="41"/>
        <v>5.6275265499194461E-2</v>
      </c>
      <c r="G663">
        <f t="shared" si="42"/>
        <v>1</v>
      </c>
      <c r="H663">
        <f t="shared" si="43"/>
        <v>0.68599884722222249</v>
      </c>
    </row>
    <row r="664" spans="1:8" x14ac:dyDescent="0.25">
      <c r="A664">
        <v>1056</v>
      </c>
      <c r="B664">
        <v>12</v>
      </c>
      <c r="C664">
        <v>13.7026675</v>
      </c>
      <c r="D664">
        <v>13.5820352248675</v>
      </c>
      <c r="E664">
        <f t="shared" si="40"/>
        <v>5.7094447916666673E-2</v>
      </c>
      <c r="F664">
        <f t="shared" si="41"/>
        <v>5.6591813436947913E-2</v>
      </c>
      <c r="G664">
        <f t="shared" si="42"/>
        <v>1</v>
      </c>
      <c r="H664">
        <f t="shared" si="43"/>
        <v>0.68513337500000004</v>
      </c>
    </row>
    <row r="665" spans="1:8" x14ac:dyDescent="0.25">
      <c r="A665">
        <v>1057</v>
      </c>
      <c r="B665">
        <v>1</v>
      </c>
      <c r="C665">
        <v>12.451388888888889</v>
      </c>
      <c r="D665">
        <v>8.0169444444444444</v>
      </c>
      <c r="E665">
        <f t="shared" si="40"/>
        <v>5.1880787037037045E-2</v>
      </c>
      <c r="F665">
        <f t="shared" si="41"/>
        <v>3.3403935185185189E-2</v>
      </c>
      <c r="G665">
        <f t="shared" si="42"/>
        <v>1</v>
      </c>
      <c r="H665">
        <f t="shared" si="43"/>
        <v>0.62256944444444451</v>
      </c>
    </row>
    <row r="666" spans="1:8" x14ac:dyDescent="0.25">
      <c r="A666">
        <v>1057</v>
      </c>
      <c r="B666">
        <v>2</v>
      </c>
      <c r="C666">
        <v>13.290702222222221</v>
      </c>
      <c r="D666">
        <v>8.8425436489897216</v>
      </c>
      <c r="E666">
        <f t="shared" si="40"/>
        <v>5.5377925925925921E-2</v>
      </c>
      <c r="F666">
        <f t="shared" si="41"/>
        <v>3.6843931870790506E-2</v>
      </c>
      <c r="G666">
        <f t="shared" si="42"/>
        <v>1</v>
      </c>
      <c r="H666">
        <f t="shared" si="43"/>
        <v>0.66453511111111108</v>
      </c>
    </row>
    <row r="667" spans="1:8" x14ac:dyDescent="0.25">
      <c r="A667">
        <v>1057</v>
      </c>
      <c r="B667">
        <v>3</v>
      </c>
      <c r="C667">
        <v>14.82720111111111</v>
      </c>
      <c r="D667">
        <v>9.198168013888889</v>
      </c>
      <c r="E667">
        <f t="shared" si="40"/>
        <v>6.1780004629629626E-2</v>
      </c>
      <c r="F667">
        <f t="shared" si="41"/>
        <v>3.8325700057870372E-2</v>
      </c>
      <c r="G667">
        <f t="shared" si="42"/>
        <v>1</v>
      </c>
      <c r="H667">
        <f t="shared" si="43"/>
        <v>0.74136005555555551</v>
      </c>
    </row>
    <row r="668" spans="1:8" x14ac:dyDescent="0.25">
      <c r="A668">
        <v>1057</v>
      </c>
      <c r="B668">
        <v>4</v>
      </c>
      <c r="C668">
        <v>14.73188722222222</v>
      </c>
      <c r="D668">
        <v>8.930368214285556</v>
      </c>
      <c r="E668">
        <f t="shared" si="40"/>
        <v>6.1382863425925915E-2</v>
      </c>
      <c r="F668">
        <f t="shared" si="41"/>
        <v>3.7209867559523151E-2</v>
      </c>
      <c r="G668">
        <f t="shared" si="42"/>
        <v>1</v>
      </c>
      <c r="H668">
        <f t="shared" si="43"/>
        <v>0.73659436111111098</v>
      </c>
    </row>
    <row r="669" spans="1:8" x14ac:dyDescent="0.25">
      <c r="A669">
        <v>1057</v>
      </c>
      <c r="B669">
        <v>5</v>
      </c>
      <c r="C669">
        <v>12.68362138888889</v>
      </c>
      <c r="D669">
        <v>8.9315030138888893</v>
      </c>
      <c r="E669">
        <f t="shared" si="40"/>
        <v>5.2848422453703713E-2</v>
      </c>
      <c r="F669">
        <f t="shared" si="41"/>
        <v>3.7214595891203704E-2</v>
      </c>
      <c r="G669">
        <f t="shared" si="42"/>
        <v>1</v>
      </c>
      <c r="H669">
        <f t="shared" si="43"/>
        <v>0.63418106944444452</v>
      </c>
    </row>
    <row r="670" spans="1:8" x14ac:dyDescent="0.25">
      <c r="A670">
        <v>1057</v>
      </c>
      <c r="B670">
        <v>6</v>
      </c>
      <c r="C670">
        <v>11.70252138888889</v>
      </c>
      <c r="D670">
        <v>8.2507471111111119</v>
      </c>
      <c r="E670">
        <f t="shared" si="40"/>
        <v>4.8760505787037035E-2</v>
      </c>
      <c r="F670">
        <f t="shared" si="41"/>
        <v>3.4378112962962969E-2</v>
      </c>
      <c r="G670">
        <f t="shared" si="42"/>
        <v>1</v>
      </c>
      <c r="H670">
        <f t="shared" si="43"/>
        <v>0.58512606944444445</v>
      </c>
    </row>
    <row r="671" spans="1:8" x14ac:dyDescent="0.25">
      <c r="A671">
        <v>1057</v>
      </c>
      <c r="B671">
        <v>7</v>
      </c>
      <c r="C671">
        <v>12.641318333333331</v>
      </c>
      <c r="D671">
        <v>7.6846592083333336</v>
      </c>
      <c r="E671">
        <f t="shared" si="40"/>
        <v>5.2672159722222216E-2</v>
      </c>
      <c r="F671">
        <f t="shared" si="41"/>
        <v>3.2019413368055555E-2</v>
      </c>
      <c r="G671">
        <f t="shared" si="42"/>
        <v>1</v>
      </c>
      <c r="H671">
        <f t="shared" si="43"/>
        <v>0.63206591666666656</v>
      </c>
    </row>
    <row r="672" spans="1:8" x14ac:dyDescent="0.25">
      <c r="A672">
        <v>1057</v>
      </c>
      <c r="B672">
        <v>8</v>
      </c>
      <c r="C672">
        <v>10.26472583333333</v>
      </c>
      <c r="D672">
        <v>7.7726263405794436</v>
      </c>
      <c r="E672">
        <f t="shared" si="40"/>
        <v>4.2769690972222212E-2</v>
      </c>
      <c r="F672">
        <f t="shared" si="41"/>
        <v>3.238594308574768E-2</v>
      </c>
      <c r="G672">
        <f t="shared" si="42"/>
        <v>1</v>
      </c>
      <c r="H672">
        <f t="shared" si="43"/>
        <v>0.51323629166666651</v>
      </c>
    </row>
    <row r="673" spans="1:8" x14ac:dyDescent="0.25">
      <c r="A673">
        <v>1057</v>
      </c>
      <c r="B673">
        <v>9</v>
      </c>
      <c r="C673">
        <v>14.75944944444444</v>
      </c>
      <c r="D673">
        <v>9.0537131944444447</v>
      </c>
      <c r="E673">
        <f t="shared" si="40"/>
        <v>6.1497706018518505E-2</v>
      </c>
      <c r="F673">
        <f t="shared" si="41"/>
        <v>3.7723804976851856E-2</v>
      </c>
      <c r="G673">
        <f t="shared" si="42"/>
        <v>1</v>
      </c>
      <c r="H673">
        <f t="shared" si="43"/>
        <v>0.73797247222222206</v>
      </c>
    </row>
    <row r="674" spans="1:8" x14ac:dyDescent="0.25">
      <c r="A674">
        <v>1057</v>
      </c>
      <c r="B674">
        <v>10</v>
      </c>
      <c r="C674">
        <v>16.615956944444449</v>
      </c>
      <c r="D674">
        <v>9.5582919318180561</v>
      </c>
      <c r="E674">
        <f t="shared" si="40"/>
        <v>6.9233153935185199E-2</v>
      </c>
      <c r="F674">
        <f t="shared" si="41"/>
        <v>3.9826216382575233E-2</v>
      </c>
      <c r="G674">
        <f t="shared" si="42"/>
        <v>1</v>
      </c>
      <c r="H674">
        <f t="shared" si="43"/>
        <v>0.83079784722222239</v>
      </c>
    </row>
    <row r="675" spans="1:8" x14ac:dyDescent="0.25">
      <c r="A675">
        <v>1057</v>
      </c>
      <c r="B675">
        <v>11</v>
      </c>
      <c r="C675">
        <v>15.83661166666667</v>
      </c>
      <c r="D675">
        <v>9.0683389898988889</v>
      </c>
      <c r="E675">
        <f t="shared" si="40"/>
        <v>6.5985881944444449E-2</v>
      </c>
      <c r="F675">
        <f t="shared" si="41"/>
        <v>3.7784745791245369E-2</v>
      </c>
      <c r="G675">
        <f t="shared" si="42"/>
        <v>1</v>
      </c>
      <c r="H675">
        <f t="shared" si="43"/>
        <v>0.79183058333333345</v>
      </c>
    </row>
    <row r="676" spans="1:8" x14ac:dyDescent="0.25">
      <c r="A676">
        <v>1057</v>
      </c>
      <c r="B676">
        <v>12</v>
      </c>
      <c r="C676">
        <v>12.06203472222222</v>
      </c>
      <c r="D676">
        <v>8.9097342328041673</v>
      </c>
      <c r="E676">
        <f t="shared" si="40"/>
        <v>5.0258478009259255E-2</v>
      </c>
      <c r="F676">
        <f t="shared" si="41"/>
        <v>3.712389263668403E-2</v>
      </c>
      <c r="G676">
        <f t="shared" si="42"/>
        <v>1</v>
      </c>
      <c r="H676">
        <f t="shared" si="43"/>
        <v>0.60310173611111106</v>
      </c>
    </row>
    <row r="677" spans="1:8" x14ac:dyDescent="0.25">
      <c r="A677">
        <v>1058</v>
      </c>
      <c r="B677">
        <v>1</v>
      </c>
      <c r="C677">
        <v>11.758055555555556</v>
      </c>
      <c r="D677">
        <v>8.0522222222222215</v>
      </c>
      <c r="E677">
        <f t="shared" si="40"/>
        <v>4.8991898148148146E-2</v>
      </c>
      <c r="F677">
        <f t="shared" si="41"/>
        <v>3.3550925925925922E-2</v>
      </c>
      <c r="G677">
        <f t="shared" si="42"/>
        <v>1</v>
      </c>
      <c r="H677">
        <f t="shared" si="43"/>
        <v>0.58790277777777777</v>
      </c>
    </row>
    <row r="678" spans="1:8" x14ac:dyDescent="0.25">
      <c r="A678">
        <v>1058</v>
      </c>
      <c r="B678">
        <v>2</v>
      </c>
      <c r="C678">
        <v>11.25673416666667</v>
      </c>
      <c r="D678">
        <v>7.0577227020200004</v>
      </c>
      <c r="E678">
        <f t="shared" si="40"/>
        <v>4.6903059027777784E-2</v>
      </c>
      <c r="F678">
        <f t="shared" si="41"/>
        <v>2.9407177925083336E-2</v>
      </c>
      <c r="G678">
        <f t="shared" si="42"/>
        <v>1</v>
      </c>
      <c r="H678">
        <f t="shared" si="43"/>
        <v>0.56283670833333344</v>
      </c>
    </row>
    <row r="679" spans="1:8" x14ac:dyDescent="0.25">
      <c r="A679">
        <v>1058</v>
      </c>
      <c r="B679">
        <v>3</v>
      </c>
      <c r="C679">
        <v>13.82448555555556</v>
      </c>
      <c r="D679">
        <v>6.4139831944444454</v>
      </c>
      <c r="E679">
        <f t="shared" si="40"/>
        <v>5.7602023148148163E-2</v>
      </c>
      <c r="F679">
        <f t="shared" si="41"/>
        <v>2.6724929976851858E-2</v>
      </c>
      <c r="G679">
        <f t="shared" si="42"/>
        <v>1</v>
      </c>
      <c r="H679">
        <f t="shared" si="43"/>
        <v>0.69122427777777795</v>
      </c>
    </row>
    <row r="680" spans="1:8" x14ac:dyDescent="0.25">
      <c r="A680">
        <v>1058</v>
      </c>
      <c r="B680">
        <v>4</v>
      </c>
      <c r="C680">
        <v>9.621554166666666</v>
      </c>
      <c r="D680">
        <v>6.9643203439152774</v>
      </c>
      <c r="E680">
        <f t="shared" si="40"/>
        <v>4.0089809027777777E-2</v>
      </c>
      <c r="F680">
        <f t="shared" si="41"/>
        <v>2.9018001432980323E-2</v>
      </c>
      <c r="G680">
        <f t="shared" si="42"/>
        <v>1</v>
      </c>
      <c r="H680">
        <f t="shared" si="43"/>
        <v>0.4810777083333333</v>
      </c>
    </row>
    <row r="681" spans="1:8" x14ac:dyDescent="0.25">
      <c r="A681">
        <v>1058</v>
      </c>
      <c r="B681">
        <v>5</v>
      </c>
      <c r="C681">
        <v>10.060593055555559</v>
      </c>
      <c r="D681">
        <v>7.7957803888888888</v>
      </c>
      <c r="E681">
        <f t="shared" si="40"/>
        <v>4.1919137731481503E-2</v>
      </c>
      <c r="F681">
        <f t="shared" si="41"/>
        <v>3.2482418287037039E-2</v>
      </c>
      <c r="G681">
        <f t="shared" si="42"/>
        <v>1</v>
      </c>
      <c r="H681">
        <f t="shared" si="43"/>
        <v>0.503029652777778</v>
      </c>
    </row>
    <row r="682" spans="1:8" x14ac:dyDescent="0.25">
      <c r="A682">
        <v>1058</v>
      </c>
      <c r="B682">
        <v>6</v>
      </c>
      <c r="C682">
        <v>11.742895000000001</v>
      </c>
      <c r="D682">
        <v>7.8589270138888887</v>
      </c>
      <c r="E682">
        <f t="shared" si="40"/>
        <v>4.8928729166666664E-2</v>
      </c>
      <c r="F682">
        <f t="shared" si="41"/>
        <v>3.2745529224537037E-2</v>
      </c>
      <c r="G682">
        <f t="shared" si="42"/>
        <v>1</v>
      </c>
      <c r="H682">
        <f t="shared" si="43"/>
        <v>0.58714474999999999</v>
      </c>
    </row>
    <row r="683" spans="1:8" x14ac:dyDescent="0.25">
      <c r="A683">
        <v>1058</v>
      </c>
      <c r="B683">
        <v>7</v>
      </c>
      <c r="C683">
        <v>11.07063138888889</v>
      </c>
      <c r="D683">
        <v>8.6152959656083326</v>
      </c>
      <c r="E683">
        <f t="shared" si="40"/>
        <v>4.6127630787037043E-2</v>
      </c>
      <c r="F683">
        <f t="shared" si="41"/>
        <v>3.5897066523368056E-2</v>
      </c>
      <c r="G683">
        <f t="shared" si="42"/>
        <v>1</v>
      </c>
      <c r="H683">
        <f t="shared" si="43"/>
        <v>0.55353156944444448</v>
      </c>
    </row>
    <row r="684" spans="1:8" x14ac:dyDescent="0.25">
      <c r="A684">
        <v>1058</v>
      </c>
      <c r="B684">
        <v>8</v>
      </c>
      <c r="C684">
        <v>12.261491111111109</v>
      </c>
      <c r="D684">
        <v>9.7176916666666671</v>
      </c>
      <c r="E684">
        <f t="shared" si="40"/>
        <v>5.1089546296296286E-2</v>
      </c>
      <c r="F684">
        <f t="shared" si="41"/>
        <v>4.0490381944444445E-2</v>
      </c>
      <c r="G684">
        <f t="shared" si="42"/>
        <v>1</v>
      </c>
      <c r="H684">
        <f t="shared" si="43"/>
        <v>0.61307455555555546</v>
      </c>
    </row>
    <row r="685" spans="1:8" x14ac:dyDescent="0.25">
      <c r="A685">
        <v>1058</v>
      </c>
      <c r="B685">
        <v>9</v>
      </c>
      <c r="C685">
        <v>12.38711972222222</v>
      </c>
      <c r="D685">
        <v>9.3553143472222224</v>
      </c>
      <c r="E685">
        <f t="shared" si="40"/>
        <v>5.1612998842592579E-2</v>
      </c>
      <c r="F685">
        <f t="shared" si="41"/>
        <v>3.8980476446759262E-2</v>
      </c>
      <c r="G685">
        <f t="shared" si="42"/>
        <v>1</v>
      </c>
      <c r="H685">
        <f t="shared" si="43"/>
        <v>0.61935598611111098</v>
      </c>
    </row>
    <row r="686" spans="1:8" x14ac:dyDescent="0.25">
      <c r="A686">
        <v>1058</v>
      </c>
      <c r="B686">
        <v>10</v>
      </c>
      <c r="C686">
        <v>16.320891388888889</v>
      </c>
      <c r="D686">
        <v>10.832511161616109</v>
      </c>
      <c r="E686">
        <f t="shared" si="40"/>
        <v>6.8003714120370373E-2</v>
      </c>
      <c r="F686">
        <f t="shared" si="41"/>
        <v>4.5135463173400454E-2</v>
      </c>
      <c r="G686">
        <f t="shared" si="42"/>
        <v>1</v>
      </c>
      <c r="H686">
        <f t="shared" si="43"/>
        <v>0.81604456944444448</v>
      </c>
    </row>
    <row r="687" spans="1:8" x14ac:dyDescent="0.25">
      <c r="A687">
        <v>1058</v>
      </c>
      <c r="B687">
        <v>11</v>
      </c>
      <c r="C687">
        <v>17.58442472222222</v>
      </c>
      <c r="D687">
        <v>12.13658747474722</v>
      </c>
      <c r="E687">
        <f t="shared" si="40"/>
        <v>7.3268436342592586E-2</v>
      </c>
      <c r="F687">
        <f t="shared" si="41"/>
        <v>5.0569114478113415E-2</v>
      </c>
      <c r="G687">
        <f t="shared" si="42"/>
        <v>1</v>
      </c>
      <c r="H687">
        <f t="shared" si="43"/>
        <v>0.87922123611111103</v>
      </c>
    </row>
    <row r="688" spans="1:8" x14ac:dyDescent="0.25">
      <c r="A688">
        <v>1058</v>
      </c>
      <c r="B688">
        <v>12</v>
      </c>
      <c r="C688">
        <v>14.96311527777778</v>
      </c>
      <c r="D688">
        <v>9.8767555687830555</v>
      </c>
      <c r="E688">
        <f t="shared" si="40"/>
        <v>6.2346313657407414E-2</v>
      </c>
      <c r="F688">
        <f t="shared" si="41"/>
        <v>4.1153148203262734E-2</v>
      </c>
      <c r="G688">
        <f t="shared" si="42"/>
        <v>1</v>
      </c>
      <c r="H688">
        <f t="shared" si="43"/>
        <v>0.74815576388888894</v>
      </c>
    </row>
    <row r="689" spans="1:8" x14ac:dyDescent="0.25">
      <c r="A689">
        <v>1059</v>
      </c>
      <c r="B689">
        <v>1</v>
      </c>
      <c r="C689">
        <v>20.0825</v>
      </c>
      <c r="D689">
        <v>19.345555555555556</v>
      </c>
      <c r="E689">
        <f t="shared" si="40"/>
        <v>8.3677083333333332E-2</v>
      </c>
      <c r="F689">
        <f t="shared" si="41"/>
        <v>8.0606481481481487E-2</v>
      </c>
      <c r="G689">
        <f t="shared" si="42"/>
        <v>2</v>
      </c>
      <c r="H689">
        <f t="shared" si="43"/>
        <v>1.0041249999999999</v>
      </c>
    </row>
    <row r="690" spans="1:8" x14ac:dyDescent="0.25">
      <c r="A690">
        <v>1059</v>
      </c>
      <c r="B690">
        <v>2</v>
      </c>
      <c r="C690">
        <v>23.39906222222222</v>
      </c>
      <c r="D690">
        <v>22.002903773148059</v>
      </c>
      <c r="E690">
        <f t="shared" si="40"/>
        <v>9.7496092592592579E-2</v>
      </c>
      <c r="F690">
        <f t="shared" si="41"/>
        <v>9.1678765721450242E-2</v>
      </c>
      <c r="G690">
        <f t="shared" si="42"/>
        <v>2</v>
      </c>
      <c r="H690">
        <f t="shared" si="43"/>
        <v>1.169953111111111</v>
      </c>
    </row>
    <row r="691" spans="1:8" x14ac:dyDescent="0.25">
      <c r="A691">
        <v>1059</v>
      </c>
      <c r="B691">
        <v>3</v>
      </c>
      <c r="C691">
        <v>23.399848055555559</v>
      </c>
      <c r="D691">
        <v>23.32454238888889</v>
      </c>
      <c r="E691">
        <f t="shared" si="40"/>
        <v>9.7499366898148157E-2</v>
      </c>
      <c r="F691">
        <f t="shared" si="41"/>
        <v>9.7185593287037034E-2</v>
      </c>
      <c r="G691">
        <f t="shared" si="42"/>
        <v>2</v>
      </c>
      <c r="H691">
        <f t="shared" si="43"/>
        <v>1.1699924027777779</v>
      </c>
    </row>
    <row r="692" spans="1:8" x14ac:dyDescent="0.25">
      <c r="A692">
        <v>1059</v>
      </c>
      <c r="B692">
        <v>4</v>
      </c>
      <c r="C692">
        <v>23.407655555555561</v>
      </c>
      <c r="D692">
        <v>23.04647714285694</v>
      </c>
      <c r="E692">
        <f t="shared" si="40"/>
        <v>9.7531898148148166E-2</v>
      </c>
      <c r="F692">
        <f t="shared" si="41"/>
        <v>9.6026988095237242E-2</v>
      </c>
      <c r="G692">
        <f t="shared" si="42"/>
        <v>2</v>
      </c>
      <c r="H692">
        <f t="shared" si="43"/>
        <v>1.170382777777778</v>
      </c>
    </row>
    <row r="693" spans="1:8" x14ac:dyDescent="0.25">
      <c r="A693">
        <v>1059</v>
      </c>
      <c r="B693">
        <v>5</v>
      </c>
      <c r="C693">
        <v>23.46573888888889</v>
      </c>
      <c r="D693">
        <v>23.337015252524999</v>
      </c>
      <c r="E693">
        <f t="shared" si="40"/>
        <v>9.7773912037037045E-2</v>
      </c>
      <c r="F693">
        <f t="shared" si="41"/>
        <v>9.7237563552187489E-2</v>
      </c>
      <c r="G693">
        <f t="shared" si="42"/>
        <v>2</v>
      </c>
      <c r="H693">
        <f t="shared" si="43"/>
        <v>1.1732869444444445</v>
      </c>
    </row>
    <row r="694" spans="1:8" x14ac:dyDescent="0.25">
      <c r="A694">
        <v>1059</v>
      </c>
      <c r="B694">
        <v>6</v>
      </c>
      <c r="C694">
        <v>23.508916666666671</v>
      </c>
      <c r="D694">
        <v>22.92086243686861</v>
      </c>
      <c r="E694">
        <f t="shared" si="40"/>
        <v>9.7953819444444465E-2</v>
      </c>
      <c r="F694">
        <f t="shared" si="41"/>
        <v>9.5503593486952545E-2</v>
      </c>
      <c r="G694">
        <f t="shared" si="42"/>
        <v>2</v>
      </c>
      <c r="H694">
        <f t="shared" si="43"/>
        <v>1.1754458333333335</v>
      </c>
    </row>
    <row r="695" spans="1:8" x14ac:dyDescent="0.25">
      <c r="A695">
        <v>1059</v>
      </c>
      <c r="B695">
        <v>7</v>
      </c>
      <c r="C695">
        <v>23.396047222222219</v>
      </c>
      <c r="D695">
        <v>20.786919722222219</v>
      </c>
      <c r="E695">
        <f t="shared" si="40"/>
        <v>9.7483530092592585E-2</v>
      </c>
      <c r="F695">
        <f t="shared" si="41"/>
        <v>8.6612165509259251E-2</v>
      </c>
      <c r="G695">
        <f t="shared" si="42"/>
        <v>2</v>
      </c>
      <c r="H695">
        <f t="shared" si="43"/>
        <v>1.169802361111111</v>
      </c>
    </row>
    <row r="696" spans="1:8" x14ac:dyDescent="0.25">
      <c r="A696">
        <v>1060</v>
      </c>
      <c r="B696">
        <v>1</v>
      </c>
      <c r="C696">
        <v>11.567222222222222</v>
      </c>
      <c r="D696">
        <v>11.389999999999999</v>
      </c>
      <c r="E696">
        <f t="shared" si="40"/>
        <v>4.8196759259259259E-2</v>
      </c>
      <c r="F696">
        <f t="shared" si="41"/>
        <v>4.7458333333333325E-2</v>
      </c>
      <c r="G696">
        <f t="shared" si="42"/>
        <v>1</v>
      </c>
      <c r="H696">
        <f t="shared" si="43"/>
        <v>0.5783611111111111</v>
      </c>
    </row>
    <row r="697" spans="1:8" x14ac:dyDescent="0.25">
      <c r="A697">
        <v>1060</v>
      </c>
      <c r="B697">
        <v>2</v>
      </c>
      <c r="C697">
        <v>12.618105555555561</v>
      </c>
      <c r="D697">
        <v>12.40403045454528</v>
      </c>
      <c r="E697">
        <f t="shared" si="40"/>
        <v>5.2575439814814835E-2</v>
      </c>
      <c r="F697">
        <f t="shared" si="41"/>
        <v>5.1683460227272E-2</v>
      </c>
      <c r="G697">
        <f t="shared" si="42"/>
        <v>1</v>
      </c>
      <c r="H697">
        <f t="shared" si="43"/>
        <v>0.63090527777777805</v>
      </c>
    </row>
    <row r="698" spans="1:8" x14ac:dyDescent="0.25">
      <c r="A698">
        <v>1060</v>
      </c>
      <c r="B698">
        <v>3</v>
      </c>
      <c r="C698">
        <v>12.60590083333333</v>
      </c>
      <c r="D698">
        <v>12.548573736111109</v>
      </c>
      <c r="E698">
        <f t="shared" si="40"/>
        <v>5.2524586805555544E-2</v>
      </c>
      <c r="F698">
        <f t="shared" si="41"/>
        <v>5.2285723900462953E-2</v>
      </c>
      <c r="G698">
        <f t="shared" si="42"/>
        <v>1</v>
      </c>
      <c r="H698">
        <f t="shared" si="43"/>
        <v>0.6302950416666665</v>
      </c>
    </row>
    <row r="699" spans="1:8" x14ac:dyDescent="0.25">
      <c r="A699">
        <v>1060</v>
      </c>
      <c r="B699">
        <v>4</v>
      </c>
      <c r="C699">
        <v>12.59140638888889</v>
      </c>
      <c r="D699">
        <v>12.431620026455001</v>
      </c>
      <c r="E699">
        <f t="shared" si="40"/>
        <v>5.2464193287037046E-2</v>
      </c>
      <c r="F699">
        <f t="shared" si="41"/>
        <v>5.1798416776895839E-2</v>
      </c>
      <c r="G699">
        <f t="shared" si="42"/>
        <v>1</v>
      </c>
      <c r="H699">
        <f t="shared" si="43"/>
        <v>0.62957031944444453</v>
      </c>
    </row>
    <row r="700" spans="1:8" x14ac:dyDescent="0.25">
      <c r="A700">
        <v>1060</v>
      </c>
      <c r="B700">
        <v>5</v>
      </c>
      <c r="C700">
        <v>12.614082222222221</v>
      </c>
      <c r="D700">
        <v>12.54744654166667</v>
      </c>
      <c r="E700">
        <f t="shared" si="40"/>
        <v>5.2558675925925918E-2</v>
      </c>
      <c r="F700">
        <f t="shared" si="41"/>
        <v>5.2281027256944453E-2</v>
      </c>
      <c r="G700">
        <f t="shared" si="42"/>
        <v>1</v>
      </c>
      <c r="H700">
        <f t="shared" si="43"/>
        <v>0.63070411111111102</v>
      </c>
    </row>
    <row r="701" spans="1:8" x14ac:dyDescent="0.25">
      <c r="A701">
        <v>1060</v>
      </c>
      <c r="B701">
        <v>6</v>
      </c>
      <c r="C701">
        <v>12.60891972222222</v>
      </c>
      <c r="D701">
        <v>12.481101180555561</v>
      </c>
      <c r="E701">
        <f t="shared" si="40"/>
        <v>5.253716550925925E-2</v>
      </c>
      <c r="F701">
        <f t="shared" si="41"/>
        <v>5.2004588252314833E-2</v>
      </c>
      <c r="G701">
        <f t="shared" si="42"/>
        <v>1</v>
      </c>
      <c r="H701">
        <f t="shared" si="43"/>
        <v>0.63044598611111102</v>
      </c>
    </row>
    <row r="702" spans="1:8" x14ac:dyDescent="0.25">
      <c r="A702">
        <v>1060</v>
      </c>
      <c r="B702">
        <v>7</v>
      </c>
      <c r="C702">
        <v>12.57964833333333</v>
      </c>
      <c r="D702">
        <v>12.003976838624171</v>
      </c>
      <c r="E702">
        <f t="shared" si="40"/>
        <v>5.2415201388888867E-2</v>
      </c>
      <c r="F702">
        <f t="shared" si="41"/>
        <v>5.0016570160934047E-2</v>
      </c>
      <c r="G702">
        <f t="shared" si="42"/>
        <v>1</v>
      </c>
      <c r="H702">
        <f t="shared" si="43"/>
        <v>0.62898241666666643</v>
      </c>
    </row>
    <row r="703" spans="1:8" x14ac:dyDescent="0.25">
      <c r="A703">
        <v>1060</v>
      </c>
      <c r="B703">
        <v>8</v>
      </c>
      <c r="C703">
        <v>12.589665555555561</v>
      </c>
      <c r="D703">
        <v>12.57531756038639</v>
      </c>
      <c r="E703">
        <f t="shared" si="40"/>
        <v>5.2456939814814835E-2</v>
      </c>
      <c r="F703">
        <f t="shared" si="41"/>
        <v>5.2397156501609955E-2</v>
      </c>
      <c r="G703">
        <f t="shared" si="42"/>
        <v>1</v>
      </c>
      <c r="H703">
        <f t="shared" si="43"/>
        <v>0.62948327777777802</v>
      </c>
    </row>
    <row r="704" spans="1:8" x14ac:dyDescent="0.25">
      <c r="A704">
        <v>1060</v>
      </c>
      <c r="B704">
        <v>9</v>
      </c>
      <c r="C704">
        <v>12.52335444444445</v>
      </c>
      <c r="D704">
        <v>12.364517291666671</v>
      </c>
      <c r="E704">
        <f t="shared" si="40"/>
        <v>5.2180643518518539E-2</v>
      </c>
      <c r="F704">
        <f t="shared" si="41"/>
        <v>5.1518822048611128E-2</v>
      </c>
      <c r="G704">
        <f t="shared" si="42"/>
        <v>1</v>
      </c>
      <c r="H704">
        <f t="shared" si="43"/>
        <v>0.6261677222222225</v>
      </c>
    </row>
    <row r="705" spans="1:8" x14ac:dyDescent="0.25">
      <c r="A705">
        <v>1060</v>
      </c>
      <c r="B705">
        <v>10</v>
      </c>
      <c r="C705">
        <v>12.56098166666667</v>
      </c>
      <c r="D705">
        <v>12.45441710858583</v>
      </c>
      <c r="E705">
        <f t="shared" si="40"/>
        <v>5.2337423611111128E-2</v>
      </c>
      <c r="F705">
        <f t="shared" si="41"/>
        <v>5.1893404619107623E-2</v>
      </c>
      <c r="G705">
        <f t="shared" si="42"/>
        <v>1</v>
      </c>
      <c r="H705">
        <f t="shared" si="43"/>
        <v>0.62804908333333354</v>
      </c>
    </row>
    <row r="706" spans="1:8" x14ac:dyDescent="0.25">
      <c r="A706">
        <v>1060</v>
      </c>
      <c r="B706">
        <v>11</v>
      </c>
      <c r="C706">
        <v>12.6077175</v>
      </c>
      <c r="D706">
        <v>12.32433050505028</v>
      </c>
      <c r="E706">
        <f t="shared" ref="E706:E769" si="44">+C706/20/12</f>
        <v>5.2532156249999996E-2</v>
      </c>
      <c r="F706">
        <f t="shared" ref="F706:F769" si="45">+D706/20/12</f>
        <v>5.1351377104376171E-2</v>
      </c>
      <c r="G706">
        <f t="shared" ref="G706:G769" si="46">+ROUNDUP(E706*12,0)</f>
        <v>1</v>
      </c>
      <c r="H706">
        <f t="shared" ref="H706:H769" si="47">+E706*12</f>
        <v>0.63038587499999998</v>
      </c>
    </row>
    <row r="707" spans="1:8" x14ac:dyDescent="0.25">
      <c r="A707">
        <v>1060</v>
      </c>
      <c r="B707">
        <v>12</v>
      </c>
      <c r="C707">
        <v>12.90454222222222</v>
      </c>
      <c r="D707">
        <v>12.54260880952361</v>
      </c>
      <c r="E707">
        <f t="shared" si="44"/>
        <v>5.3768925925925914E-2</v>
      </c>
      <c r="F707">
        <f t="shared" si="45"/>
        <v>5.226087003968171E-2</v>
      </c>
      <c r="G707">
        <f t="shared" si="46"/>
        <v>1</v>
      </c>
      <c r="H707">
        <f t="shared" si="47"/>
        <v>0.64522711111111097</v>
      </c>
    </row>
    <row r="708" spans="1:8" x14ac:dyDescent="0.25">
      <c r="A708">
        <v>1061</v>
      </c>
      <c r="B708">
        <v>1</v>
      </c>
      <c r="C708">
        <v>11.511388888888888</v>
      </c>
      <c r="D708">
        <v>11.371666666666666</v>
      </c>
      <c r="E708">
        <f t="shared" si="44"/>
        <v>4.7964120370370365E-2</v>
      </c>
      <c r="F708">
        <f t="shared" si="45"/>
        <v>4.7381944444444442E-2</v>
      </c>
      <c r="G708">
        <f t="shared" si="46"/>
        <v>1</v>
      </c>
      <c r="H708">
        <f t="shared" si="47"/>
        <v>0.57556944444444436</v>
      </c>
    </row>
    <row r="709" spans="1:8" x14ac:dyDescent="0.25">
      <c r="A709">
        <v>1061</v>
      </c>
      <c r="B709">
        <v>2</v>
      </c>
      <c r="C709">
        <v>12.475874166666671</v>
      </c>
      <c r="D709">
        <v>12.35205477272722</v>
      </c>
      <c r="E709">
        <f t="shared" si="44"/>
        <v>5.1982809027777799E-2</v>
      </c>
      <c r="F709">
        <f t="shared" si="45"/>
        <v>5.1466894886363412E-2</v>
      </c>
      <c r="G709">
        <f t="shared" si="46"/>
        <v>1</v>
      </c>
      <c r="H709">
        <f t="shared" si="47"/>
        <v>0.62379370833333359</v>
      </c>
    </row>
    <row r="710" spans="1:8" x14ac:dyDescent="0.25">
      <c r="A710">
        <v>1061</v>
      </c>
      <c r="B710">
        <v>3</v>
      </c>
      <c r="C710">
        <v>12.48069555555556</v>
      </c>
      <c r="D710">
        <v>12.41939572222222</v>
      </c>
      <c r="E710">
        <f t="shared" si="44"/>
        <v>5.2002898148148159E-2</v>
      </c>
      <c r="F710">
        <f t="shared" si="45"/>
        <v>5.1747482175925917E-2</v>
      </c>
      <c r="G710">
        <f t="shared" si="46"/>
        <v>1</v>
      </c>
      <c r="H710">
        <f t="shared" si="47"/>
        <v>0.62403477777777794</v>
      </c>
    </row>
    <row r="711" spans="1:8" x14ac:dyDescent="0.25">
      <c r="A711">
        <v>1061</v>
      </c>
      <c r="B711">
        <v>4</v>
      </c>
      <c r="C711">
        <v>12.51324638888889</v>
      </c>
      <c r="D711">
        <v>12.41687920634917</v>
      </c>
      <c r="E711">
        <f t="shared" si="44"/>
        <v>5.2138526620370378E-2</v>
      </c>
      <c r="F711">
        <f t="shared" si="45"/>
        <v>5.173699669312154E-2</v>
      </c>
      <c r="G711">
        <f t="shared" si="46"/>
        <v>1</v>
      </c>
      <c r="H711">
        <f t="shared" si="47"/>
        <v>0.6256623194444445</v>
      </c>
    </row>
    <row r="712" spans="1:8" x14ac:dyDescent="0.25">
      <c r="A712">
        <v>1061</v>
      </c>
      <c r="B712">
        <v>5</v>
      </c>
      <c r="C712">
        <v>12.477420555555559</v>
      </c>
      <c r="D712">
        <v>12.42204604166667</v>
      </c>
      <c r="E712">
        <f t="shared" si="44"/>
        <v>5.1989252314814827E-2</v>
      </c>
      <c r="F712">
        <f t="shared" si="45"/>
        <v>5.1758525173611125E-2</v>
      </c>
      <c r="G712">
        <f t="shared" si="46"/>
        <v>1</v>
      </c>
      <c r="H712">
        <f t="shared" si="47"/>
        <v>0.62387102777777792</v>
      </c>
    </row>
    <row r="713" spans="1:8" x14ac:dyDescent="0.25">
      <c r="A713">
        <v>1061</v>
      </c>
      <c r="B713">
        <v>6</v>
      </c>
      <c r="C713">
        <v>12.73016333333333</v>
      </c>
      <c r="D713">
        <v>12.41164851388889</v>
      </c>
      <c r="E713">
        <f t="shared" si="44"/>
        <v>5.3042347222222209E-2</v>
      </c>
      <c r="F713">
        <f t="shared" si="45"/>
        <v>5.171520214120371E-2</v>
      </c>
      <c r="G713">
        <f t="shared" si="46"/>
        <v>1</v>
      </c>
      <c r="H713">
        <f t="shared" si="47"/>
        <v>0.63650816666666654</v>
      </c>
    </row>
    <row r="714" spans="1:8" x14ac:dyDescent="0.25">
      <c r="A714">
        <v>1061</v>
      </c>
      <c r="B714">
        <v>7</v>
      </c>
      <c r="C714">
        <v>12.72639</v>
      </c>
      <c r="D714">
        <v>12.45251305555556</v>
      </c>
      <c r="E714">
        <f t="shared" si="44"/>
        <v>5.3026625000000001E-2</v>
      </c>
      <c r="F714">
        <f t="shared" si="45"/>
        <v>5.1885471064814837E-2</v>
      </c>
      <c r="G714">
        <f t="shared" si="46"/>
        <v>1</v>
      </c>
      <c r="H714">
        <f t="shared" si="47"/>
        <v>0.63631950000000004</v>
      </c>
    </row>
    <row r="715" spans="1:8" x14ac:dyDescent="0.25">
      <c r="A715">
        <v>1061</v>
      </c>
      <c r="B715">
        <v>8</v>
      </c>
      <c r="C715">
        <v>12.563948888888889</v>
      </c>
      <c r="D715">
        <v>12.49437799516889</v>
      </c>
      <c r="E715">
        <f t="shared" si="44"/>
        <v>5.2349787037037042E-2</v>
      </c>
      <c r="F715">
        <f t="shared" si="45"/>
        <v>5.2059908313203708E-2</v>
      </c>
      <c r="G715">
        <f t="shared" si="46"/>
        <v>1</v>
      </c>
      <c r="H715">
        <f t="shared" si="47"/>
        <v>0.62819744444444447</v>
      </c>
    </row>
    <row r="716" spans="1:8" x14ac:dyDescent="0.25">
      <c r="A716">
        <v>1061</v>
      </c>
      <c r="B716">
        <v>9</v>
      </c>
      <c r="C716">
        <v>12.540370277777781</v>
      </c>
      <c r="D716">
        <v>12.29419316666667</v>
      </c>
      <c r="E716">
        <f t="shared" si="44"/>
        <v>5.2251542824074092E-2</v>
      </c>
      <c r="F716">
        <f t="shared" si="45"/>
        <v>5.122580486111112E-2</v>
      </c>
      <c r="G716">
        <f t="shared" si="46"/>
        <v>1</v>
      </c>
      <c r="H716">
        <f t="shared" si="47"/>
        <v>0.62701851388888907</v>
      </c>
    </row>
    <row r="717" spans="1:8" x14ac:dyDescent="0.25">
      <c r="A717">
        <v>1061</v>
      </c>
      <c r="B717">
        <v>10</v>
      </c>
      <c r="C717">
        <v>12.534616388888891</v>
      </c>
      <c r="D717">
        <v>12.454326767676671</v>
      </c>
      <c r="E717">
        <f t="shared" si="44"/>
        <v>5.2227568287037042E-2</v>
      </c>
      <c r="F717">
        <f t="shared" si="45"/>
        <v>5.1893028198652796E-2</v>
      </c>
      <c r="G717">
        <f t="shared" si="46"/>
        <v>1</v>
      </c>
      <c r="H717">
        <f t="shared" si="47"/>
        <v>0.62673081944444453</v>
      </c>
    </row>
    <row r="718" spans="1:8" x14ac:dyDescent="0.25">
      <c r="A718">
        <v>1061</v>
      </c>
      <c r="B718">
        <v>11</v>
      </c>
      <c r="C718">
        <v>12.536664999999999</v>
      </c>
      <c r="D718">
        <v>12.44173263888889</v>
      </c>
      <c r="E718">
        <f t="shared" si="44"/>
        <v>5.2236104166666665E-2</v>
      </c>
      <c r="F718">
        <f t="shared" si="45"/>
        <v>5.1840552662037041E-2</v>
      </c>
      <c r="G718">
        <f t="shared" si="46"/>
        <v>1</v>
      </c>
      <c r="H718">
        <f t="shared" si="47"/>
        <v>0.62683325000000001</v>
      </c>
    </row>
    <row r="719" spans="1:8" x14ac:dyDescent="0.25">
      <c r="A719">
        <v>1061</v>
      </c>
      <c r="B719">
        <v>12</v>
      </c>
      <c r="C719">
        <v>12.55476</v>
      </c>
      <c r="D719">
        <v>12.299469417989171</v>
      </c>
      <c r="E719">
        <f t="shared" si="44"/>
        <v>5.2311500000000004E-2</v>
      </c>
      <c r="F719">
        <f t="shared" si="45"/>
        <v>5.1247789241621544E-2</v>
      </c>
      <c r="G719">
        <f t="shared" si="46"/>
        <v>1</v>
      </c>
      <c r="H719">
        <f t="shared" si="47"/>
        <v>0.62773800000000002</v>
      </c>
    </row>
    <row r="720" spans="1:8" x14ac:dyDescent="0.25">
      <c r="A720">
        <v>1062</v>
      </c>
      <c r="B720">
        <v>1</v>
      </c>
      <c r="C720">
        <v>11.467777777777778</v>
      </c>
      <c r="D720">
        <v>4.7958333333333334</v>
      </c>
      <c r="E720">
        <f t="shared" si="44"/>
        <v>4.7782407407407412E-2</v>
      </c>
      <c r="F720">
        <f t="shared" si="45"/>
        <v>1.998263888888889E-2</v>
      </c>
      <c r="G720">
        <f t="shared" si="46"/>
        <v>1</v>
      </c>
      <c r="H720">
        <f t="shared" si="47"/>
        <v>0.57338888888888895</v>
      </c>
    </row>
    <row r="721" spans="1:8" x14ac:dyDescent="0.25">
      <c r="A721">
        <v>1062</v>
      </c>
      <c r="B721">
        <v>2</v>
      </c>
      <c r="C721">
        <v>10.27565166666667</v>
      </c>
      <c r="D721">
        <v>3.7735719570705561</v>
      </c>
      <c r="E721">
        <f t="shared" si="44"/>
        <v>4.2815215277777791E-2</v>
      </c>
      <c r="F721">
        <f t="shared" si="45"/>
        <v>1.5723216487793984E-2</v>
      </c>
      <c r="G721">
        <f t="shared" si="46"/>
        <v>1</v>
      </c>
      <c r="H721">
        <f t="shared" si="47"/>
        <v>0.51378258333333349</v>
      </c>
    </row>
    <row r="722" spans="1:8" x14ac:dyDescent="0.25">
      <c r="A722">
        <v>1062</v>
      </c>
      <c r="B722">
        <v>3</v>
      </c>
      <c r="C722">
        <v>12.053159722222221</v>
      </c>
      <c r="D722">
        <v>4.667661166666667</v>
      </c>
      <c r="E722">
        <f t="shared" si="44"/>
        <v>5.0221498842592582E-2</v>
      </c>
      <c r="F722">
        <f t="shared" si="45"/>
        <v>1.9448588194444446E-2</v>
      </c>
      <c r="G722">
        <f t="shared" si="46"/>
        <v>1</v>
      </c>
      <c r="H722">
        <f t="shared" si="47"/>
        <v>0.60265798611111099</v>
      </c>
    </row>
    <row r="723" spans="1:8" x14ac:dyDescent="0.25">
      <c r="A723">
        <v>1062</v>
      </c>
      <c r="B723">
        <v>4</v>
      </c>
      <c r="C723">
        <v>11.487465555555559</v>
      </c>
      <c r="D723">
        <v>3.838567089946944</v>
      </c>
      <c r="E723">
        <f t="shared" si="44"/>
        <v>4.7864439814814828E-2</v>
      </c>
      <c r="F723">
        <f t="shared" si="45"/>
        <v>1.59940295414456E-2</v>
      </c>
      <c r="G723">
        <f t="shared" si="46"/>
        <v>1</v>
      </c>
      <c r="H723">
        <f t="shared" si="47"/>
        <v>0.57437327777777791</v>
      </c>
    </row>
    <row r="724" spans="1:8" x14ac:dyDescent="0.25">
      <c r="A724">
        <v>1062</v>
      </c>
      <c r="B724">
        <v>5</v>
      </c>
      <c r="C724">
        <v>12.615023055555559</v>
      </c>
      <c r="D724">
        <v>4.5263890972222223</v>
      </c>
      <c r="E724">
        <f t="shared" si="44"/>
        <v>5.256259606481483E-2</v>
      </c>
      <c r="F724">
        <f t="shared" si="45"/>
        <v>1.885995457175926E-2</v>
      </c>
      <c r="G724">
        <f t="shared" si="46"/>
        <v>1</v>
      </c>
      <c r="H724">
        <f t="shared" si="47"/>
        <v>0.63075115277777793</v>
      </c>
    </row>
    <row r="725" spans="1:8" x14ac:dyDescent="0.25">
      <c r="A725">
        <v>1062</v>
      </c>
      <c r="B725">
        <v>6</v>
      </c>
      <c r="C725">
        <v>12.480189722222219</v>
      </c>
      <c r="D725">
        <v>4.1749338611111124</v>
      </c>
      <c r="E725">
        <f t="shared" si="44"/>
        <v>5.2000790509259244E-2</v>
      </c>
      <c r="F725">
        <f t="shared" si="45"/>
        <v>1.7395557754629636E-2</v>
      </c>
      <c r="G725">
        <f t="shared" si="46"/>
        <v>1</v>
      </c>
      <c r="H725">
        <f t="shared" si="47"/>
        <v>0.62400948611111096</v>
      </c>
    </row>
    <row r="726" spans="1:8" x14ac:dyDescent="0.25">
      <c r="A726">
        <v>1062</v>
      </c>
      <c r="B726">
        <v>7</v>
      </c>
      <c r="C726">
        <v>11.70416555555556</v>
      </c>
      <c r="D726">
        <v>4.7670563888888893</v>
      </c>
      <c r="E726">
        <f t="shared" si="44"/>
        <v>4.8767356481481505E-2</v>
      </c>
      <c r="F726">
        <f t="shared" si="45"/>
        <v>1.9862734953703706E-2</v>
      </c>
      <c r="G726">
        <f t="shared" si="46"/>
        <v>1</v>
      </c>
      <c r="H726">
        <f t="shared" si="47"/>
        <v>0.58520827777777806</v>
      </c>
    </row>
    <row r="727" spans="1:8" x14ac:dyDescent="0.25">
      <c r="A727">
        <v>1062</v>
      </c>
      <c r="B727">
        <v>8</v>
      </c>
      <c r="C727">
        <v>12.44752583333333</v>
      </c>
      <c r="D727">
        <v>7.0799197584538893</v>
      </c>
      <c r="E727">
        <f t="shared" si="44"/>
        <v>5.186469097222221E-2</v>
      </c>
      <c r="F727">
        <f t="shared" si="45"/>
        <v>2.949966566022454E-2</v>
      </c>
      <c r="G727">
        <f t="shared" si="46"/>
        <v>1</v>
      </c>
      <c r="H727">
        <f t="shared" si="47"/>
        <v>0.62237629166666653</v>
      </c>
    </row>
    <row r="728" spans="1:8" x14ac:dyDescent="0.25">
      <c r="A728">
        <v>1062</v>
      </c>
      <c r="B728">
        <v>9</v>
      </c>
      <c r="C728">
        <v>12.455462499999999</v>
      </c>
      <c r="D728">
        <v>4.8709083194444442</v>
      </c>
      <c r="E728">
        <f t="shared" si="44"/>
        <v>5.1897760416666661E-2</v>
      </c>
      <c r="F728">
        <f t="shared" si="45"/>
        <v>2.0295451331018517E-2</v>
      </c>
      <c r="G728">
        <f t="shared" si="46"/>
        <v>1</v>
      </c>
      <c r="H728">
        <f t="shared" si="47"/>
        <v>0.62277312499999993</v>
      </c>
    </row>
    <row r="729" spans="1:8" x14ac:dyDescent="0.25">
      <c r="A729">
        <v>1062</v>
      </c>
      <c r="B729">
        <v>10</v>
      </c>
      <c r="C729">
        <v>15.295419444444439</v>
      </c>
      <c r="D729">
        <v>6.7420574873736108</v>
      </c>
      <c r="E729">
        <f t="shared" si="44"/>
        <v>6.3730914351851839E-2</v>
      </c>
      <c r="F729">
        <f t="shared" si="45"/>
        <v>2.8091906197390045E-2</v>
      </c>
      <c r="G729">
        <f t="shared" si="46"/>
        <v>1</v>
      </c>
      <c r="H729">
        <f t="shared" si="47"/>
        <v>0.76477097222222201</v>
      </c>
    </row>
    <row r="730" spans="1:8" x14ac:dyDescent="0.25">
      <c r="A730">
        <v>1062</v>
      </c>
      <c r="B730">
        <v>11</v>
      </c>
      <c r="C730">
        <v>14.08173138888889</v>
      </c>
      <c r="D730">
        <v>6.5655067045452782</v>
      </c>
      <c r="E730">
        <f t="shared" si="44"/>
        <v>5.8673880787037037E-2</v>
      </c>
      <c r="F730">
        <f t="shared" si="45"/>
        <v>2.7356277935605328E-2</v>
      </c>
      <c r="G730">
        <f t="shared" si="46"/>
        <v>1</v>
      </c>
      <c r="H730">
        <f t="shared" si="47"/>
        <v>0.70408656944444448</v>
      </c>
    </row>
    <row r="731" spans="1:8" x14ac:dyDescent="0.25">
      <c r="A731">
        <v>1062</v>
      </c>
      <c r="B731">
        <v>12</v>
      </c>
      <c r="C731">
        <v>12.716170277777779</v>
      </c>
      <c r="D731">
        <v>6.543169087301389</v>
      </c>
      <c r="E731">
        <f t="shared" si="44"/>
        <v>5.2984042824074075E-2</v>
      </c>
      <c r="F731">
        <f t="shared" si="45"/>
        <v>2.7263204530422455E-2</v>
      </c>
      <c r="G731">
        <f t="shared" si="46"/>
        <v>1</v>
      </c>
      <c r="H731">
        <f t="shared" si="47"/>
        <v>0.63580851388888893</v>
      </c>
    </row>
    <row r="732" spans="1:8" x14ac:dyDescent="0.25">
      <c r="A732">
        <v>1063</v>
      </c>
      <c r="B732">
        <v>1</v>
      </c>
      <c r="C732">
        <v>11.419166666666666</v>
      </c>
      <c r="D732">
        <v>7.7791666666666668</v>
      </c>
      <c r="E732">
        <f t="shared" si="44"/>
        <v>4.7579861111111101E-2</v>
      </c>
      <c r="F732">
        <f t="shared" si="45"/>
        <v>3.2413194444444446E-2</v>
      </c>
      <c r="G732">
        <f t="shared" si="46"/>
        <v>1</v>
      </c>
      <c r="H732">
        <f t="shared" si="47"/>
        <v>0.57095833333333323</v>
      </c>
    </row>
    <row r="733" spans="1:8" x14ac:dyDescent="0.25">
      <c r="A733">
        <v>1063</v>
      </c>
      <c r="B733">
        <v>2</v>
      </c>
      <c r="C733">
        <v>17.878525833333331</v>
      </c>
      <c r="D733">
        <v>17.551390340908888</v>
      </c>
      <c r="E733">
        <f t="shared" si="44"/>
        <v>7.4493857638888883E-2</v>
      </c>
      <c r="F733">
        <f t="shared" si="45"/>
        <v>7.3130793087120366E-2</v>
      </c>
      <c r="G733">
        <f t="shared" si="46"/>
        <v>1</v>
      </c>
      <c r="H733">
        <f t="shared" si="47"/>
        <v>0.89392629166666659</v>
      </c>
    </row>
    <row r="734" spans="1:8" x14ac:dyDescent="0.25">
      <c r="A734">
        <v>1063</v>
      </c>
      <c r="B734">
        <v>3</v>
      </c>
      <c r="C734">
        <v>17.902474166666671</v>
      </c>
      <c r="D734">
        <v>17.819764194444449</v>
      </c>
      <c r="E734">
        <f t="shared" si="44"/>
        <v>7.4593642361111129E-2</v>
      </c>
      <c r="F734">
        <f t="shared" si="45"/>
        <v>7.4249017476851878E-2</v>
      </c>
      <c r="G734">
        <f t="shared" si="46"/>
        <v>1</v>
      </c>
      <c r="H734">
        <f t="shared" si="47"/>
        <v>0.89512370833333355</v>
      </c>
    </row>
    <row r="735" spans="1:8" x14ac:dyDescent="0.25">
      <c r="A735">
        <v>1063</v>
      </c>
      <c r="B735">
        <v>4</v>
      </c>
      <c r="C735">
        <v>17.86393305555556</v>
      </c>
      <c r="D735">
        <v>8.3152007936505559</v>
      </c>
      <c r="E735">
        <f t="shared" si="44"/>
        <v>7.4433054398148166E-2</v>
      </c>
      <c r="F735">
        <f t="shared" si="45"/>
        <v>3.464666997354398E-2</v>
      </c>
      <c r="G735">
        <f t="shared" si="46"/>
        <v>1</v>
      </c>
      <c r="H735">
        <f t="shared" si="47"/>
        <v>0.89319665277777793</v>
      </c>
    </row>
    <row r="736" spans="1:8" x14ac:dyDescent="0.25">
      <c r="A736">
        <v>1063</v>
      </c>
      <c r="B736">
        <v>5</v>
      </c>
      <c r="C736">
        <v>10.17379722222222</v>
      </c>
      <c r="D736">
        <v>5.857066486111111</v>
      </c>
      <c r="E736">
        <f t="shared" si="44"/>
        <v>4.2390821759259255E-2</v>
      </c>
      <c r="F736">
        <f t="shared" si="45"/>
        <v>2.4404443692129629E-2</v>
      </c>
      <c r="G736">
        <f t="shared" si="46"/>
        <v>1</v>
      </c>
      <c r="H736">
        <f t="shared" si="47"/>
        <v>0.50868986111111103</v>
      </c>
    </row>
    <row r="737" spans="1:8" x14ac:dyDescent="0.25">
      <c r="A737">
        <v>1063</v>
      </c>
      <c r="B737">
        <v>6</v>
      </c>
      <c r="C737">
        <v>10.44087666666667</v>
      </c>
      <c r="D737">
        <v>6.4856464583333331</v>
      </c>
      <c r="E737">
        <f t="shared" si="44"/>
        <v>4.350365277777779E-2</v>
      </c>
      <c r="F737">
        <f t="shared" si="45"/>
        <v>2.702352690972222E-2</v>
      </c>
      <c r="G737">
        <f t="shared" si="46"/>
        <v>1</v>
      </c>
      <c r="H737">
        <f t="shared" si="47"/>
        <v>0.52204383333333348</v>
      </c>
    </row>
    <row r="738" spans="1:8" x14ac:dyDescent="0.25">
      <c r="A738">
        <v>1063</v>
      </c>
      <c r="B738">
        <v>7</v>
      </c>
      <c r="C738">
        <v>9.3349063888888892</v>
      </c>
      <c r="D738">
        <v>6.6441307936505556</v>
      </c>
      <c r="E738">
        <f t="shared" si="44"/>
        <v>3.8895443287037042E-2</v>
      </c>
      <c r="F738">
        <f t="shared" si="45"/>
        <v>2.7683878306877314E-2</v>
      </c>
      <c r="G738">
        <f t="shared" si="46"/>
        <v>1</v>
      </c>
      <c r="H738">
        <f t="shared" si="47"/>
        <v>0.46674531944444453</v>
      </c>
    </row>
    <row r="739" spans="1:8" x14ac:dyDescent="0.25">
      <c r="A739">
        <v>1063</v>
      </c>
      <c r="B739">
        <v>8</v>
      </c>
      <c r="C739">
        <v>10.659776666666669</v>
      </c>
      <c r="D739">
        <v>6.6270493115941669</v>
      </c>
      <c r="E739">
        <f t="shared" si="44"/>
        <v>4.4415736111111125E-2</v>
      </c>
      <c r="F739">
        <f t="shared" si="45"/>
        <v>2.7612705464975695E-2</v>
      </c>
      <c r="G739">
        <f t="shared" si="46"/>
        <v>1</v>
      </c>
      <c r="H739">
        <f t="shared" si="47"/>
        <v>0.53298883333333347</v>
      </c>
    </row>
    <row r="740" spans="1:8" x14ac:dyDescent="0.25">
      <c r="A740">
        <v>1063</v>
      </c>
      <c r="B740">
        <v>9</v>
      </c>
      <c r="C740">
        <v>9.3173761111111109</v>
      </c>
      <c r="D740">
        <v>5.9099301909722222</v>
      </c>
      <c r="E740">
        <f t="shared" si="44"/>
        <v>3.882240046296296E-2</v>
      </c>
      <c r="F740">
        <f t="shared" si="45"/>
        <v>2.4624709129050928E-2</v>
      </c>
      <c r="G740">
        <f t="shared" si="46"/>
        <v>1</v>
      </c>
      <c r="H740">
        <f t="shared" si="47"/>
        <v>0.46586880555555554</v>
      </c>
    </row>
    <row r="741" spans="1:8" x14ac:dyDescent="0.25">
      <c r="A741">
        <v>1063</v>
      </c>
      <c r="B741">
        <v>10</v>
      </c>
      <c r="C741">
        <v>9.3741516666666662</v>
      </c>
      <c r="D741">
        <v>5.8875026136361113</v>
      </c>
      <c r="E741">
        <f t="shared" si="44"/>
        <v>3.9058965277777774E-2</v>
      </c>
      <c r="F741">
        <f t="shared" si="45"/>
        <v>2.4531260890150463E-2</v>
      </c>
      <c r="G741">
        <f t="shared" si="46"/>
        <v>1</v>
      </c>
      <c r="H741">
        <f t="shared" si="47"/>
        <v>0.46870758333333329</v>
      </c>
    </row>
    <row r="742" spans="1:8" x14ac:dyDescent="0.25">
      <c r="A742">
        <v>1063</v>
      </c>
      <c r="B742">
        <v>11</v>
      </c>
      <c r="C742">
        <v>8.9586722222222228</v>
      </c>
      <c r="D742">
        <v>5.905882159090833</v>
      </c>
      <c r="E742">
        <f t="shared" si="44"/>
        <v>3.7327800925925927E-2</v>
      </c>
      <c r="F742">
        <f t="shared" si="45"/>
        <v>2.4607842329545136E-2</v>
      </c>
      <c r="G742">
        <f t="shared" si="46"/>
        <v>1</v>
      </c>
      <c r="H742">
        <f t="shared" si="47"/>
        <v>0.44793361111111113</v>
      </c>
    </row>
    <row r="743" spans="1:8" x14ac:dyDescent="0.25">
      <c r="A743">
        <v>1063</v>
      </c>
      <c r="B743">
        <v>12</v>
      </c>
      <c r="C743">
        <v>15.123420833333331</v>
      </c>
      <c r="D743">
        <v>6.3445890740738893</v>
      </c>
      <c r="E743">
        <f t="shared" si="44"/>
        <v>6.3014253472222212E-2</v>
      </c>
      <c r="F743">
        <f t="shared" si="45"/>
        <v>2.6435787808641208E-2</v>
      </c>
      <c r="G743">
        <f t="shared" si="46"/>
        <v>1</v>
      </c>
      <c r="H743">
        <f t="shared" si="47"/>
        <v>0.75617104166666649</v>
      </c>
    </row>
    <row r="744" spans="1:8" x14ac:dyDescent="0.25">
      <c r="A744">
        <v>1064</v>
      </c>
      <c r="B744">
        <v>1</v>
      </c>
      <c r="C744">
        <v>11.31</v>
      </c>
      <c r="D744">
        <v>10.589444444444444</v>
      </c>
      <c r="E744">
        <f t="shared" si="44"/>
        <v>4.7125E-2</v>
      </c>
      <c r="F744">
        <f t="shared" si="45"/>
        <v>4.4122685185185188E-2</v>
      </c>
      <c r="G744">
        <f t="shared" si="46"/>
        <v>1</v>
      </c>
      <c r="H744">
        <f t="shared" si="47"/>
        <v>0.5655</v>
      </c>
    </row>
    <row r="745" spans="1:8" x14ac:dyDescent="0.25">
      <c r="A745">
        <v>1064</v>
      </c>
      <c r="B745">
        <v>2</v>
      </c>
      <c r="C745">
        <v>13.784017499999999</v>
      </c>
      <c r="D745">
        <v>13.61344715909083</v>
      </c>
      <c r="E745">
        <f t="shared" si="44"/>
        <v>5.7433406249999992E-2</v>
      </c>
      <c r="F745">
        <f t="shared" si="45"/>
        <v>5.672269649621179E-2</v>
      </c>
      <c r="G745">
        <f t="shared" si="46"/>
        <v>1</v>
      </c>
      <c r="H745">
        <f t="shared" si="47"/>
        <v>0.68920087499999994</v>
      </c>
    </row>
    <row r="746" spans="1:8" x14ac:dyDescent="0.25">
      <c r="A746">
        <v>1064</v>
      </c>
      <c r="B746">
        <v>3</v>
      </c>
      <c r="C746">
        <v>13.632862777777779</v>
      </c>
      <c r="D746">
        <v>13.13499276388889</v>
      </c>
      <c r="E746">
        <f t="shared" si="44"/>
        <v>5.6803594907407412E-2</v>
      </c>
      <c r="F746">
        <f t="shared" si="45"/>
        <v>5.4729136516203709E-2</v>
      </c>
      <c r="G746">
        <f t="shared" si="46"/>
        <v>1</v>
      </c>
      <c r="H746">
        <f t="shared" si="47"/>
        <v>0.68164313888888894</v>
      </c>
    </row>
    <row r="747" spans="1:8" x14ac:dyDescent="0.25">
      <c r="A747">
        <v>1064</v>
      </c>
      <c r="B747">
        <v>4</v>
      </c>
      <c r="C747">
        <v>13.630762777777781</v>
      </c>
      <c r="D747">
        <v>13.290369920634721</v>
      </c>
      <c r="E747">
        <f t="shared" si="44"/>
        <v>5.6794844907407417E-2</v>
      </c>
      <c r="F747">
        <f t="shared" si="45"/>
        <v>5.5376541335978004E-2</v>
      </c>
      <c r="G747">
        <f t="shared" si="46"/>
        <v>1</v>
      </c>
      <c r="H747">
        <f t="shared" si="47"/>
        <v>0.68153813888888903</v>
      </c>
    </row>
    <row r="748" spans="1:8" x14ac:dyDescent="0.25">
      <c r="A748">
        <v>1064</v>
      </c>
      <c r="B748">
        <v>5</v>
      </c>
      <c r="C748">
        <v>13.628294444444441</v>
      </c>
      <c r="D748">
        <v>12.82574929166667</v>
      </c>
      <c r="E748">
        <f t="shared" si="44"/>
        <v>5.6784560185185164E-2</v>
      </c>
      <c r="F748">
        <f t="shared" si="45"/>
        <v>5.3440622048611129E-2</v>
      </c>
      <c r="G748">
        <f t="shared" si="46"/>
        <v>1</v>
      </c>
      <c r="H748">
        <f t="shared" si="47"/>
        <v>0.68141472222222199</v>
      </c>
    </row>
    <row r="749" spans="1:8" x14ac:dyDescent="0.25">
      <c r="A749">
        <v>1064</v>
      </c>
      <c r="B749">
        <v>6</v>
      </c>
      <c r="C749">
        <v>13.65145083333333</v>
      </c>
      <c r="D749">
        <v>13.359672097222219</v>
      </c>
      <c r="E749">
        <f t="shared" si="44"/>
        <v>5.6881045138888871E-2</v>
      </c>
      <c r="F749">
        <f t="shared" si="45"/>
        <v>5.5665300405092578E-2</v>
      </c>
      <c r="G749">
        <f t="shared" si="46"/>
        <v>1</v>
      </c>
      <c r="H749">
        <f t="shared" si="47"/>
        <v>0.68257254166666648</v>
      </c>
    </row>
    <row r="750" spans="1:8" x14ac:dyDescent="0.25">
      <c r="A750">
        <v>1064</v>
      </c>
      <c r="B750">
        <v>7</v>
      </c>
      <c r="C750">
        <v>13.61507472222222</v>
      </c>
      <c r="D750">
        <v>10.245263180555559</v>
      </c>
      <c r="E750">
        <f t="shared" si="44"/>
        <v>5.6729478009259253E-2</v>
      </c>
      <c r="F750">
        <f t="shared" si="45"/>
        <v>4.2688596585648164E-2</v>
      </c>
      <c r="G750">
        <f t="shared" si="46"/>
        <v>1</v>
      </c>
      <c r="H750">
        <f t="shared" si="47"/>
        <v>0.68075373611111101</v>
      </c>
    </row>
    <row r="751" spans="1:8" x14ac:dyDescent="0.25">
      <c r="A751">
        <v>1064</v>
      </c>
      <c r="B751">
        <v>8</v>
      </c>
      <c r="C751">
        <v>10.69782333333333</v>
      </c>
      <c r="D751">
        <v>10.10739595410611</v>
      </c>
      <c r="E751">
        <f t="shared" si="44"/>
        <v>4.4574263888888875E-2</v>
      </c>
      <c r="F751">
        <f t="shared" si="45"/>
        <v>4.211414980877546E-2</v>
      </c>
      <c r="G751">
        <f t="shared" si="46"/>
        <v>1</v>
      </c>
      <c r="H751">
        <f t="shared" si="47"/>
        <v>0.53489116666666647</v>
      </c>
    </row>
    <row r="752" spans="1:8" x14ac:dyDescent="0.25">
      <c r="A752">
        <v>1064</v>
      </c>
      <c r="B752">
        <v>9</v>
      </c>
      <c r="C752">
        <v>11.06623666666667</v>
      </c>
      <c r="D752">
        <v>10.378341472222219</v>
      </c>
      <c r="E752">
        <f t="shared" si="44"/>
        <v>4.6109319444444463E-2</v>
      </c>
      <c r="F752">
        <f t="shared" si="45"/>
        <v>4.3243089467592581E-2</v>
      </c>
      <c r="G752">
        <f t="shared" si="46"/>
        <v>1</v>
      </c>
      <c r="H752">
        <f t="shared" si="47"/>
        <v>0.55331183333333356</v>
      </c>
    </row>
    <row r="753" spans="1:8" x14ac:dyDescent="0.25">
      <c r="A753">
        <v>1064</v>
      </c>
      <c r="B753">
        <v>10</v>
      </c>
      <c r="C753">
        <v>10.75090333333333</v>
      </c>
      <c r="D753">
        <v>9.9932720833333342</v>
      </c>
      <c r="E753">
        <f t="shared" si="44"/>
        <v>4.4795430555555543E-2</v>
      </c>
      <c r="F753">
        <f t="shared" si="45"/>
        <v>4.1638633680555558E-2</v>
      </c>
      <c r="G753">
        <f t="shared" si="46"/>
        <v>1</v>
      </c>
      <c r="H753">
        <f t="shared" si="47"/>
        <v>0.53754516666666652</v>
      </c>
    </row>
    <row r="754" spans="1:8" x14ac:dyDescent="0.25">
      <c r="A754">
        <v>1064</v>
      </c>
      <c r="B754">
        <v>11</v>
      </c>
      <c r="C754">
        <v>10.59186027777778</v>
      </c>
      <c r="D754">
        <v>10.250758320706939</v>
      </c>
      <c r="E754">
        <f t="shared" si="44"/>
        <v>4.4132751157407418E-2</v>
      </c>
      <c r="F754">
        <f t="shared" si="45"/>
        <v>4.2711493002945577E-2</v>
      </c>
      <c r="G754">
        <f t="shared" si="46"/>
        <v>1</v>
      </c>
      <c r="H754">
        <f t="shared" si="47"/>
        <v>0.52959301388888902</v>
      </c>
    </row>
    <row r="755" spans="1:8" x14ac:dyDescent="0.25">
      <c r="A755">
        <v>1064</v>
      </c>
      <c r="B755">
        <v>12</v>
      </c>
      <c r="C755">
        <v>10.66777611111111</v>
      </c>
      <c r="D755">
        <v>9.8726014021163895</v>
      </c>
      <c r="E755">
        <f t="shared" si="44"/>
        <v>4.4449067129629621E-2</v>
      </c>
      <c r="F755">
        <f t="shared" si="45"/>
        <v>4.113583917548496E-2</v>
      </c>
      <c r="G755">
        <f t="shared" si="46"/>
        <v>1</v>
      </c>
      <c r="H755">
        <f t="shared" si="47"/>
        <v>0.53338880555555546</v>
      </c>
    </row>
    <row r="756" spans="1:8" x14ac:dyDescent="0.25">
      <c r="A756">
        <v>1065</v>
      </c>
      <c r="B756">
        <v>1</v>
      </c>
      <c r="C756">
        <v>11.262222222222222</v>
      </c>
      <c r="D756">
        <v>10.753055555555555</v>
      </c>
      <c r="E756">
        <f t="shared" si="44"/>
        <v>4.6925925925925926E-2</v>
      </c>
      <c r="F756">
        <f t="shared" si="45"/>
        <v>4.4804398148148149E-2</v>
      </c>
      <c r="G756">
        <f t="shared" si="46"/>
        <v>1</v>
      </c>
      <c r="H756">
        <f t="shared" si="47"/>
        <v>0.56311111111111112</v>
      </c>
    </row>
    <row r="757" spans="1:8" x14ac:dyDescent="0.25">
      <c r="A757">
        <v>1065</v>
      </c>
      <c r="B757">
        <v>2</v>
      </c>
      <c r="C757">
        <v>11.934111111111109</v>
      </c>
      <c r="D757">
        <v>11.824908106060549</v>
      </c>
      <c r="E757">
        <f t="shared" si="44"/>
        <v>4.9725462962962957E-2</v>
      </c>
      <c r="F757">
        <f t="shared" si="45"/>
        <v>4.927045044191896E-2</v>
      </c>
      <c r="G757">
        <f t="shared" si="46"/>
        <v>1</v>
      </c>
      <c r="H757">
        <f t="shared" si="47"/>
        <v>0.59670555555555549</v>
      </c>
    </row>
    <row r="758" spans="1:8" x14ac:dyDescent="0.25">
      <c r="A758">
        <v>1065</v>
      </c>
      <c r="B758">
        <v>3</v>
      </c>
      <c r="C758">
        <v>11.93704916666667</v>
      </c>
      <c r="D758">
        <v>11.537711194444441</v>
      </c>
      <c r="E758">
        <f t="shared" si="44"/>
        <v>4.9737704861111121E-2</v>
      </c>
      <c r="F758">
        <f t="shared" si="45"/>
        <v>4.8073796643518497E-2</v>
      </c>
      <c r="G758">
        <f t="shared" si="46"/>
        <v>1</v>
      </c>
      <c r="H758">
        <f t="shared" si="47"/>
        <v>0.59685245833333345</v>
      </c>
    </row>
    <row r="759" spans="1:8" x14ac:dyDescent="0.25">
      <c r="A759">
        <v>1065</v>
      </c>
      <c r="B759">
        <v>4</v>
      </c>
      <c r="C759">
        <v>11.934688888888889</v>
      </c>
      <c r="D759">
        <v>11.74625912698389</v>
      </c>
      <c r="E759">
        <f t="shared" si="44"/>
        <v>4.9727870370370374E-2</v>
      </c>
      <c r="F759">
        <f t="shared" si="45"/>
        <v>4.8942746362432878E-2</v>
      </c>
      <c r="G759">
        <f t="shared" si="46"/>
        <v>1</v>
      </c>
      <c r="H759">
        <f t="shared" si="47"/>
        <v>0.59673444444444446</v>
      </c>
    </row>
    <row r="760" spans="1:8" x14ac:dyDescent="0.25">
      <c r="A760">
        <v>1065</v>
      </c>
      <c r="B760">
        <v>5</v>
      </c>
      <c r="C760">
        <v>11.958291666666669</v>
      </c>
      <c r="D760">
        <v>11.87639255555556</v>
      </c>
      <c r="E760">
        <f t="shared" si="44"/>
        <v>4.9826215277777787E-2</v>
      </c>
      <c r="F760">
        <f t="shared" si="45"/>
        <v>4.9484968981481497E-2</v>
      </c>
      <c r="G760">
        <f t="shared" si="46"/>
        <v>1</v>
      </c>
      <c r="H760">
        <f t="shared" si="47"/>
        <v>0.59791458333333347</v>
      </c>
    </row>
    <row r="761" spans="1:8" x14ac:dyDescent="0.25">
      <c r="A761">
        <v>1065</v>
      </c>
      <c r="B761">
        <v>6</v>
      </c>
      <c r="C761">
        <v>11.985566666666671</v>
      </c>
      <c r="D761">
        <v>11.63689111111111</v>
      </c>
      <c r="E761">
        <f t="shared" si="44"/>
        <v>4.9939861111111129E-2</v>
      </c>
      <c r="F761">
        <f t="shared" si="45"/>
        <v>4.8487046296296292E-2</v>
      </c>
      <c r="G761">
        <f t="shared" si="46"/>
        <v>1</v>
      </c>
      <c r="H761">
        <f t="shared" si="47"/>
        <v>0.59927833333333358</v>
      </c>
    </row>
    <row r="762" spans="1:8" x14ac:dyDescent="0.25">
      <c r="A762">
        <v>1065</v>
      </c>
      <c r="B762">
        <v>7</v>
      </c>
      <c r="C762">
        <v>11.938606388888889</v>
      </c>
      <c r="D762">
        <v>11.2140202513225</v>
      </c>
      <c r="E762">
        <f t="shared" si="44"/>
        <v>4.9744193287037032E-2</v>
      </c>
      <c r="F762">
        <f t="shared" si="45"/>
        <v>4.6725084380510422E-2</v>
      </c>
      <c r="G762">
        <f t="shared" si="46"/>
        <v>1</v>
      </c>
      <c r="H762">
        <f t="shared" si="47"/>
        <v>0.59693031944444441</v>
      </c>
    </row>
    <row r="763" spans="1:8" x14ac:dyDescent="0.25">
      <c r="A763">
        <v>1065</v>
      </c>
      <c r="B763">
        <v>8</v>
      </c>
      <c r="C763">
        <v>11.932043333333329</v>
      </c>
      <c r="D763">
        <v>11.77643908212556</v>
      </c>
      <c r="E763">
        <f t="shared" si="44"/>
        <v>4.97168472222222E-2</v>
      </c>
      <c r="F763">
        <f t="shared" si="45"/>
        <v>4.9068496175523169E-2</v>
      </c>
      <c r="G763">
        <f t="shared" si="46"/>
        <v>1</v>
      </c>
      <c r="H763">
        <f t="shared" si="47"/>
        <v>0.59660216666666643</v>
      </c>
    </row>
    <row r="764" spans="1:8" x14ac:dyDescent="0.25">
      <c r="A764">
        <v>1065</v>
      </c>
      <c r="B764">
        <v>9</v>
      </c>
      <c r="C764">
        <v>11.91241277777778</v>
      </c>
      <c r="D764">
        <v>11.86565740277778</v>
      </c>
      <c r="E764">
        <f t="shared" si="44"/>
        <v>4.9635053240740745E-2</v>
      </c>
      <c r="F764">
        <f t="shared" si="45"/>
        <v>4.9440239178240752E-2</v>
      </c>
      <c r="G764">
        <f t="shared" si="46"/>
        <v>1</v>
      </c>
      <c r="H764">
        <f t="shared" si="47"/>
        <v>0.59562063888888894</v>
      </c>
    </row>
    <row r="765" spans="1:8" x14ac:dyDescent="0.25">
      <c r="A765">
        <v>1065</v>
      </c>
      <c r="B765">
        <v>10</v>
      </c>
      <c r="C765">
        <v>13.87245361111111</v>
      </c>
      <c r="D765">
        <v>11.94128574494944</v>
      </c>
      <c r="E765">
        <f t="shared" si="44"/>
        <v>5.7801890046296295E-2</v>
      </c>
      <c r="F765">
        <f t="shared" si="45"/>
        <v>4.9755357270622663E-2</v>
      </c>
      <c r="G765">
        <f t="shared" si="46"/>
        <v>1</v>
      </c>
      <c r="H765">
        <f t="shared" si="47"/>
        <v>0.69362268055555554</v>
      </c>
    </row>
    <row r="766" spans="1:8" x14ac:dyDescent="0.25">
      <c r="A766">
        <v>1065</v>
      </c>
      <c r="B766">
        <v>11</v>
      </c>
      <c r="C766">
        <v>11.932778611111109</v>
      </c>
      <c r="D766">
        <v>11.792600606060549</v>
      </c>
      <c r="E766">
        <f t="shared" si="44"/>
        <v>4.9719910879629625E-2</v>
      </c>
      <c r="F766">
        <f t="shared" si="45"/>
        <v>4.9135835858585629E-2</v>
      </c>
      <c r="G766">
        <f t="shared" si="46"/>
        <v>1</v>
      </c>
      <c r="H766">
        <f t="shared" si="47"/>
        <v>0.5966389305555555</v>
      </c>
    </row>
    <row r="767" spans="1:8" x14ac:dyDescent="0.25">
      <c r="A767">
        <v>1065</v>
      </c>
      <c r="B767">
        <v>12</v>
      </c>
      <c r="C767">
        <v>13.8054425</v>
      </c>
      <c r="D767">
        <v>11.821507949735279</v>
      </c>
      <c r="E767">
        <f t="shared" si="44"/>
        <v>5.7522677083333335E-2</v>
      </c>
      <c r="F767">
        <f t="shared" si="45"/>
        <v>4.9256283123896995E-2</v>
      </c>
      <c r="G767">
        <f t="shared" si="46"/>
        <v>1</v>
      </c>
      <c r="H767">
        <f t="shared" si="47"/>
        <v>0.69027212500000001</v>
      </c>
    </row>
    <row r="768" spans="1:8" x14ac:dyDescent="0.25">
      <c r="A768">
        <v>1066</v>
      </c>
      <c r="B768">
        <v>1</v>
      </c>
      <c r="C768">
        <v>11.235277777777778</v>
      </c>
      <c r="D768">
        <v>10.630833333333333</v>
      </c>
      <c r="E768">
        <f t="shared" si="44"/>
        <v>4.6813657407407415E-2</v>
      </c>
      <c r="F768">
        <f t="shared" si="45"/>
        <v>4.4295138888888891E-2</v>
      </c>
      <c r="G768">
        <f t="shared" si="46"/>
        <v>1</v>
      </c>
      <c r="H768">
        <f t="shared" si="47"/>
        <v>0.56176388888888895</v>
      </c>
    </row>
    <row r="769" spans="1:8" x14ac:dyDescent="0.25">
      <c r="A769">
        <v>1066</v>
      </c>
      <c r="B769">
        <v>2</v>
      </c>
      <c r="C769">
        <v>12.000403611111111</v>
      </c>
      <c r="D769">
        <v>11.61967207070694</v>
      </c>
      <c r="E769">
        <f t="shared" si="44"/>
        <v>5.0001681712962959E-2</v>
      </c>
      <c r="F769">
        <f t="shared" si="45"/>
        <v>4.8415300294612253E-2</v>
      </c>
      <c r="G769">
        <f t="shared" si="46"/>
        <v>1</v>
      </c>
      <c r="H769">
        <f t="shared" si="47"/>
        <v>0.6000201805555555</v>
      </c>
    </row>
    <row r="770" spans="1:8" x14ac:dyDescent="0.25">
      <c r="A770">
        <v>1066</v>
      </c>
      <c r="B770">
        <v>3</v>
      </c>
      <c r="C770">
        <v>12.01986833333333</v>
      </c>
      <c r="D770">
        <v>11.22907758333333</v>
      </c>
      <c r="E770">
        <f t="shared" ref="E770:E833" si="48">+C770/20/12</f>
        <v>5.0082784722222211E-2</v>
      </c>
      <c r="F770">
        <f t="shared" ref="F770:F833" si="49">+D770/20/12</f>
        <v>4.6787823263888882E-2</v>
      </c>
      <c r="G770">
        <f t="shared" ref="G770:G833" si="50">+ROUNDUP(E770*12,0)</f>
        <v>1</v>
      </c>
      <c r="H770">
        <f t="shared" ref="H770:H833" si="51">+E770*12</f>
        <v>0.6009934166666665</v>
      </c>
    </row>
    <row r="771" spans="1:8" x14ac:dyDescent="0.25">
      <c r="A771">
        <v>1066</v>
      </c>
      <c r="B771">
        <v>4</v>
      </c>
      <c r="C771">
        <v>12.01845277777778</v>
      </c>
      <c r="D771">
        <v>11.49010605820083</v>
      </c>
      <c r="E771">
        <f t="shared" si="48"/>
        <v>5.0076886574074081E-2</v>
      </c>
      <c r="F771">
        <f t="shared" si="49"/>
        <v>4.7875441909170126E-2</v>
      </c>
      <c r="G771">
        <f t="shared" si="50"/>
        <v>1</v>
      </c>
      <c r="H771">
        <f t="shared" si="51"/>
        <v>0.60092263888888897</v>
      </c>
    </row>
    <row r="772" spans="1:8" x14ac:dyDescent="0.25">
      <c r="A772">
        <v>1066</v>
      </c>
      <c r="B772">
        <v>5</v>
      </c>
      <c r="C772">
        <v>12.38851972222222</v>
      </c>
      <c r="D772">
        <v>11.998495416666669</v>
      </c>
      <c r="E772">
        <f t="shared" si="48"/>
        <v>5.1618832175925916E-2</v>
      </c>
      <c r="F772">
        <f t="shared" si="49"/>
        <v>4.999373090277779E-2</v>
      </c>
      <c r="G772">
        <f t="shared" si="50"/>
        <v>1</v>
      </c>
      <c r="H772">
        <f t="shared" si="51"/>
        <v>0.61942598611111099</v>
      </c>
    </row>
    <row r="773" spans="1:8" x14ac:dyDescent="0.25">
      <c r="A773">
        <v>1066</v>
      </c>
      <c r="B773">
        <v>6</v>
      </c>
      <c r="C773">
        <v>13.014278055555559</v>
      </c>
      <c r="D773">
        <v>11.06673983333333</v>
      </c>
      <c r="E773">
        <f t="shared" si="48"/>
        <v>5.422615856481483E-2</v>
      </c>
      <c r="F773">
        <f t="shared" si="49"/>
        <v>4.6111415972222208E-2</v>
      </c>
      <c r="G773">
        <f t="shared" si="50"/>
        <v>1</v>
      </c>
      <c r="H773">
        <f t="shared" si="51"/>
        <v>0.65071390277777796</v>
      </c>
    </row>
    <row r="774" spans="1:8" x14ac:dyDescent="0.25">
      <c r="A774">
        <v>1066</v>
      </c>
      <c r="B774">
        <v>7</v>
      </c>
      <c r="C774">
        <v>12.008181666666671</v>
      </c>
      <c r="D774">
        <v>11.077733835978609</v>
      </c>
      <c r="E774">
        <f t="shared" si="48"/>
        <v>5.0034090277777797E-2</v>
      </c>
      <c r="F774">
        <f t="shared" si="49"/>
        <v>4.6157224316577539E-2</v>
      </c>
      <c r="G774">
        <f t="shared" si="50"/>
        <v>1</v>
      </c>
      <c r="H774">
        <f t="shared" si="51"/>
        <v>0.60040908333333354</v>
      </c>
    </row>
    <row r="775" spans="1:8" x14ac:dyDescent="0.25">
      <c r="A775">
        <v>1066</v>
      </c>
      <c r="B775">
        <v>8</v>
      </c>
      <c r="C775">
        <v>11.98496111111111</v>
      </c>
      <c r="D775">
        <v>11.741013647342781</v>
      </c>
      <c r="E775">
        <f t="shared" si="48"/>
        <v>4.9937337962962958E-2</v>
      </c>
      <c r="F775">
        <f t="shared" si="49"/>
        <v>4.8920890197261591E-2</v>
      </c>
      <c r="G775">
        <f t="shared" si="50"/>
        <v>1</v>
      </c>
      <c r="H775">
        <f t="shared" si="51"/>
        <v>0.59924805555555549</v>
      </c>
    </row>
    <row r="776" spans="1:8" x14ac:dyDescent="0.25">
      <c r="A776">
        <v>1066</v>
      </c>
      <c r="B776">
        <v>9</v>
      </c>
      <c r="C776">
        <v>12.45257777777778</v>
      </c>
      <c r="D776">
        <v>11.97618527777778</v>
      </c>
      <c r="E776">
        <f t="shared" si="48"/>
        <v>5.1885740740740753E-2</v>
      </c>
      <c r="F776">
        <f t="shared" si="49"/>
        <v>4.990077199074075E-2</v>
      </c>
      <c r="G776">
        <f t="shared" si="50"/>
        <v>1</v>
      </c>
      <c r="H776">
        <f t="shared" si="51"/>
        <v>0.62262888888888901</v>
      </c>
    </row>
    <row r="777" spans="1:8" x14ac:dyDescent="0.25">
      <c r="A777">
        <v>1066</v>
      </c>
      <c r="B777">
        <v>10</v>
      </c>
      <c r="C777">
        <v>12.544304444444441</v>
      </c>
      <c r="D777">
        <v>11.845122676767501</v>
      </c>
      <c r="E777">
        <f t="shared" si="48"/>
        <v>5.2267935185185167E-2</v>
      </c>
      <c r="F777">
        <f t="shared" si="49"/>
        <v>4.9354677819864586E-2</v>
      </c>
      <c r="G777">
        <f t="shared" si="50"/>
        <v>1</v>
      </c>
      <c r="H777">
        <f t="shared" si="51"/>
        <v>0.62721522222222204</v>
      </c>
    </row>
    <row r="778" spans="1:8" x14ac:dyDescent="0.25">
      <c r="A778">
        <v>1066</v>
      </c>
      <c r="B778">
        <v>11</v>
      </c>
      <c r="C778">
        <v>12.22817027777778</v>
      </c>
      <c r="D778">
        <v>11.92670175505028</v>
      </c>
      <c r="E778">
        <f t="shared" si="48"/>
        <v>5.0950709490740743E-2</v>
      </c>
      <c r="F778">
        <f t="shared" si="49"/>
        <v>4.9694590646042834E-2</v>
      </c>
      <c r="G778">
        <f t="shared" si="50"/>
        <v>1</v>
      </c>
      <c r="H778">
        <f t="shared" si="51"/>
        <v>0.61140851388888895</v>
      </c>
    </row>
    <row r="779" spans="1:8" x14ac:dyDescent="0.25">
      <c r="A779">
        <v>1066</v>
      </c>
      <c r="B779">
        <v>12</v>
      </c>
      <c r="C779">
        <v>12.163459444444451</v>
      </c>
      <c r="D779">
        <v>11.598069523809439</v>
      </c>
      <c r="E779">
        <f t="shared" si="48"/>
        <v>5.0681081018518544E-2</v>
      </c>
      <c r="F779">
        <f t="shared" si="49"/>
        <v>4.8325289682539331E-2</v>
      </c>
      <c r="G779">
        <f t="shared" si="50"/>
        <v>1</v>
      </c>
      <c r="H779">
        <f t="shared" si="51"/>
        <v>0.60817297222222255</v>
      </c>
    </row>
    <row r="780" spans="1:8" x14ac:dyDescent="0.25">
      <c r="A780">
        <v>1067</v>
      </c>
      <c r="B780">
        <v>1</v>
      </c>
      <c r="C780">
        <v>11.230277777777779</v>
      </c>
      <c r="D780">
        <v>6.9888888888888889</v>
      </c>
      <c r="E780">
        <f t="shared" si="48"/>
        <v>4.6792824074074084E-2</v>
      </c>
      <c r="F780">
        <f t="shared" si="49"/>
        <v>2.9120370370370369E-2</v>
      </c>
      <c r="G780">
        <f t="shared" si="50"/>
        <v>1</v>
      </c>
      <c r="H780">
        <f t="shared" si="51"/>
        <v>0.56151388888888898</v>
      </c>
    </row>
    <row r="781" spans="1:8" x14ac:dyDescent="0.25">
      <c r="A781">
        <v>1067</v>
      </c>
      <c r="B781">
        <v>2</v>
      </c>
      <c r="C781">
        <v>25.848663055555551</v>
      </c>
      <c r="D781">
        <v>22.53869128787861</v>
      </c>
      <c r="E781">
        <f t="shared" si="48"/>
        <v>0.10770276273148145</v>
      </c>
      <c r="F781">
        <f t="shared" si="49"/>
        <v>9.391121369949422E-2</v>
      </c>
      <c r="G781">
        <f t="shared" si="50"/>
        <v>2</v>
      </c>
      <c r="H781">
        <f t="shared" si="51"/>
        <v>1.2924331527777775</v>
      </c>
    </row>
    <row r="782" spans="1:8" x14ac:dyDescent="0.25">
      <c r="A782">
        <v>1067</v>
      </c>
      <c r="B782">
        <v>3</v>
      </c>
      <c r="C782">
        <v>8.5981744444444441</v>
      </c>
      <c r="D782">
        <v>5.7448230555555559</v>
      </c>
      <c r="E782">
        <f t="shared" si="48"/>
        <v>3.5825726851851848E-2</v>
      </c>
      <c r="F782">
        <f t="shared" si="49"/>
        <v>2.3936762731481483E-2</v>
      </c>
      <c r="G782">
        <f t="shared" si="50"/>
        <v>1</v>
      </c>
      <c r="H782">
        <f t="shared" si="51"/>
        <v>0.42990872222222221</v>
      </c>
    </row>
    <row r="783" spans="1:8" x14ac:dyDescent="0.25">
      <c r="A783">
        <v>1067</v>
      </c>
      <c r="B783">
        <v>4</v>
      </c>
      <c r="C783">
        <v>14.49634277777778</v>
      </c>
      <c r="D783">
        <v>5.9787387301586108</v>
      </c>
      <c r="E783">
        <f t="shared" si="48"/>
        <v>6.0401428240740747E-2</v>
      </c>
      <c r="F783">
        <f t="shared" si="49"/>
        <v>2.4911411375660875E-2</v>
      </c>
      <c r="G783">
        <f t="shared" si="50"/>
        <v>1</v>
      </c>
      <c r="H783">
        <f t="shared" si="51"/>
        <v>0.72481713888888899</v>
      </c>
    </row>
    <row r="784" spans="1:8" x14ac:dyDescent="0.25">
      <c r="A784">
        <v>1067</v>
      </c>
      <c r="B784">
        <v>5</v>
      </c>
      <c r="C784">
        <v>11.0215475</v>
      </c>
      <c r="D784">
        <v>5.7621997916666663</v>
      </c>
      <c r="E784">
        <f t="shared" si="48"/>
        <v>4.5923114583333334E-2</v>
      </c>
      <c r="F784">
        <f t="shared" si="49"/>
        <v>2.400916579861111E-2</v>
      </c>
      <c r="G784">
        <f t="shared" si="50"/>
        <v>1</v>
      </c>
      <c r="H784">
        <f t="shared" si="51"/>
        <v>0.55107737499999998</v>
      </c>
    </row>
    <row r="785" spans="1:8" x14ac:dyDescent="0.25">
      <c r="A785">
        <v>1067</v>
      </c>
      <c r="B785">
        <v>6</v>
      </c>
      <c r="C785">
        <v>14.48412027777778</v>
      </c>
      <c r="D785">
        <v>6.565431361111111</v>
      </c>
      <c r="E785">
        <f t="shared" si="48"/>
        <v>6.0350501157407421E-2</v>
      </c>
      <c r="F785">
        <f t="shared" si="49"/>
        <v>2.735596400462963E-2</v>
      </c>
      <c r="G785">
        <f t="shared" si="50"/>
        <v>1</v>
      </c>
      <c r="H785">
        <f t="shared" si="51"/>
        <v>0.72420601388888906</v>
      </c>
    </row>
    <row r="786" spans="1:8" x14ac:dyDescent="0.25">
      <c r="A786">
        <v>1067</v>
      </c>
      <c r="B786">
        <v>7</v>
      </c>
      <c r="C786">
        <v>9.5930722222222222</v>
      </c>
      <c r="D786">
        <v>5.9794379027777778</v>
      </c>
      <c r="E786">
        <f t="shared" si="48"/>
        <v>3.9971134259259258E-2</v>
      </c>
      <c r="F786">
        <f t="shared" si="49"/>
        <v>2.4914324594907406E-2</v>
      </c>
      <c r="G786">
        <f t="shared" si="50"/>
        <v>1</v>
      </c>
      <c r="H786">
        <f t="shared" si="51"/>
        <v>0.4796536111111111</v>
      </c>
    </row>
    <row r="787" spans="1:8" x14ac:dyDescent="0.25">
      <c r="A787">
        <v>1067</v>
      </c>
      <c r="B787">
        <v>8</v>
      </c>
      <c r="C787">
        <v>9.8226080555555555</v>
      </c>
      <c r="D787">
        <v>5.4516952657002777</v>
      </c>
      <c r="E787">
        <f t="shared" si="48"/>
        <v>4.0927533564814815E-2</v>
      </c>
      <c r="F787">
        <f t="shared" si="49"/>
        <v>2.2715396940417826E-2</v>
      </c>
      <c r="G787">
        <f t="shared" si="50"/>
        <v>1</v>
      </c>
      <c r="H787">
        <f t="shared" si="51"/>
        <v>0.49113040277777775</v>
      </c>
    </row>
    <row r="788" spans="1:8" x14ac:dyDescent="0.25">
      <c r="A788">
        <v>1067</v>
      </c>
      <c r="B788">
        <v>9</v>
      </c>
      <c r="C788">
        <v>9.2707005555555551</v>
      </c>
      <c r="D788">
        <v>6.0711273472222222</v>
      </c>
      <c r="E788">
        <f t="shared" si="48"/>
        <v>3.8627918981481484E-2</v>
      </c>
      <c r="F788">
        <f t="shared" si="49"/>
        <v>2.529636394675926E-2</v>
      </c>
      <c r="G788">
        <f t="shared" si="50"/>
        <v>1</v>
      </c>
      <c r="H788">
        <f t="shared" si="51"/>
        <v>0.46353502777777777</v>
      </c>
    </row>
    <row r="789" spans="1:8" x14ac:dyDescent="0.25">
      <c r="A789">
        <v>1067</v>
      </c>
      <c r="B789">
        <v>10</v>
      </c>
      <c r="C789">
        <v>8.1438513888888888</v>
      </c>
      <c r="D789">
        <v>6.2533232954544449</v>
      </c>
      <c r="E789">
        <f t="shared" si="48"/>
        <v>3.3932714120370369E-2</v>
      </c>
      <c r="F789">
        <f t="shared" si="49"/>
        <v>2.6055513731060187E-2</v>
      </c>
      <c r="G789">
        <f t="shared" si="50"/>
        <v>1</v>
      </c>
      <c r="H789">
        <f t="shared" si="51"/>
        <v>0.40719256944444443</v>
      </c>
    </row>
    <row r="790" spans="1:8" x14ac:dyDescent="0.25">
      <c r="A790">
        <v>1067</v>
      </c>
      <c r="B790">
        <v>11</v>
      </c>
      <c r="C790">
        <v>9.6572494444444441</v>
      </c>
      <c r="D790">
        <v>6.7285385858583338</v>
      </c>
      <c r="E790">
        <f t="shared" si="48"/>
        <v>4.023853935185185E-2</v>
      </c>
      <c r="F790">
        <f t="shared" si="49"/>
        <v>2.803557744107639E-2</v>
      </c>
      <c r="G790">
        <f t="shared" si="50"/>
        <v>1</v>
      </c>
      <c r="H790">
        <f t="shared" si="51"/>
        <v>0.48286247222222223</v>
      </c>
    </row>
    <row r="791" spans="1:8" x14ac:dyDescent="0.25">
      <c r="A791">
        <v>1067</v>
      </c>
      <c r="B791">
        <v>12</v>
      </c>
      <c r="C791">
        <v>13.82573138888889</v>
      </c>
      <c r="D791">
        <v>6.7921048677247224</v>
      </c>
      <c r="E791">
        <f t="shared" si="48"/>
        <v>5.7607214120370377E-2</v>
      </c>
      <c r="F791">
        <f t="shared" si="49"/>
        <v>2.8300436948853008E-2</v>
      </c>
      <c r="G791">
        <f t="shared" si="50"/>
        <v>1</v>
      </c>
      <c r="H791">
        <f t="shared" si="51"/>
        <v>0.69128656944444455</v>
      </c>
    </row>
    <row r="792" spans="1:8" x14ac:dyDescent="0.25">
      <c r="A792">
        <v>1068</v>
      </c>
      <c r="B792">
        <v>1</v>
      </c>
      <c r="C792">
        <v>11.147777777777778</v>
      </c>
      <c r="D792">
        <v>10.349444444444446</v>
      </c>
      <c r="E792">
        <f t="shared" si="48"/>
        <v>4.644907407407408E-2</v>
      </c>
      <c r="F792">
        <f t="shared" si="49"/>
        <v>4.3122685185185194E-2</v>
      </c>
      <c r="G792">
        <f t="shared" si="50"/>
        <v>1</v>
      </c>
      <c r="H792">
        <f t="shared" si="51"/>
        <v>0.55738888888888893</v>
      </c>
    </row>
    <row r="793" spans="1:8" x14ac:dyDescent="0.25">
      <c r="A793">
        <v>1068</v>
      </c>
      <c r="B793">
        <v>2</v>
      </c>
      <c r="C793">
        <v>10.008220277777779</v>
      </c>
      <c r="D793">
        <v>9.6913989141413897</v>
      </c>
      <c r="E793">
        <f t="shared" si="48"/>
        <v>4.1700917824074084E-2</v>
      </c>
      <c r="F793">
        <f t="shared" si="49"/>
        <v>4.0380828808922457E-2</v>
      </c>
      <c r="G793">
        <f t="shared" si="50"/>
        <v>1</v>
      </c>
      <c r="H793">
        <f t="shared" si="51"/>
        <v>0.50041101388888898</v>
      </c>
    </row>
    <row r="794" spans="1:8" x14ac:dyDescent="0.25">
      <c r="A794">
        <v>1068</v>
      </c>
      <c r="B794">
        <v>3</v>
      </c>
      <c r="C794">
        <v>10.011948333333329</v>
      </c>
      <c r="D794">
        <v>9.5925711944444441</v>
      </c>
      <c r="E794">
        <f t="shared" si="48"/>
        <v>4.1716451388888874E-2</v>
      </c>
      <c r="F794">
        <f t="shared" si="49"/>
        <v>3.9969046643518517E-2</v>
      </c>
      <c r="G794">
        <f t="shared" si="50"/>
        <v>1</v>
      </c>
      <c r="H794">
        <f t="shared" si="51"/>
        <v>0.50059741666666646</v>
      </c>
    </row>
    <row r="795" spans="1:8" x14ac:dyDescent="0.25">
      <c r="A795">
        <v>1068</v>
      </c>
      <c r="B795">
        <v>4</v>
      </c>
      <c r="C795">
        <v>12.00048333333333</v>
      </c>
      <c r="D795">
        <v>10.83318869047611</v>
      </c>
      <c r="E795">
        <f t="shared" si="48"/>
        <v>5.000201388888887E-2</v>
      </c>
      <c r="F795">
        <f t="shared" si="49"/>
        <v>4.5138286210317125E-2</v>
      </c>
      <c r="G795">
        <f t="shared" si="50"/>
        <v>1</v>
      </c>
      <c r="H795">
        <f t="shared" si="51"/>
        <v>0.60002416666666647</v>
      </c>
    </row>
    <row r="796" spans="1:8" x14ac:dyDescent="0.25">
      <c r="A796">
        <v>1068</v>
      </c>
      <c r="B796">
        <v>5</v>
      </c>
      <c r="C796">
        <v>12.05120194444445</v>
      </c>
      <c r="D796">
        <v>11.680137472222221</v>
      </c>
      <c r="E796">
        <f t="shared" si="48"/>
        <v>5.0213341435185209E-2</v>
      </c>
      <c r="F796">
        <f t="shared" si="49"/>
        <v>4.8667239467592584E-2</v>
      </c>
      <c r="G796">
        <f t="shared" si="50"/>
        <v>1</v>
      </c>
      <c r="H796">
        <f t="shared" si="51"/>
        <v>0.60256009722222248</v>
      </c>
    </row>
    <row r="797" spans="1:8" x14ac:dyDescent="0.25">
      <c r="A797">
        <v>1068</v>
      </c>
      <c r="B797">
        <v>6</v>
      </c>
      <c r="C797">
        <v>12.130123055555559</v>
      </c>
      <c r="D797">
        <v>11.88138515277778</v>
      </c>
      <c r="E797">
        <f t="shared" si="48"/>
        <v>5.0542179398148167E-2</v>
      </c>
      <c r="F797">
        <f t="shared" si="49"/>
        <v>4.9505771469907416E-2</v>
      </c>
      <c r="G797">
        <f t="shared" si="50"/>
        <v>1</v>
      </c>
      <c r="H797">
        <f t="shared" si="51"/>
        <v>0.60650615277777797</v>
      </c>
    </row>
    <row r="798" spans="1:8" x14ac:dyDescent="0.25">
      <c r="A798">
        <v>1068</v>
      </c>
      <c r="B798">
        <v>7</v>
      </c>
      <c r="C798">
        <v>12.533496111111109</v>
      </c>
      <c r="D798">
        <v>11.87394425438583</v>
      </c>
      <c r="E798">
        <f t="shared" si="48"/>
        <v>5.2222900462962955E-2</v>
      </c>
      <c r="F798">
        <f t="shared" si="49"/>
        <v>4.9474767726607617E-2</v>
      </c>
      <c r="G798">
        <f t="shared" si="50"/>
        <v>1</v>
      </c>
      <c r="H798">
        <f t="shared" si="51"/>
        <v>0.62667480555555544</v>
      </c>
    </row>
    <row r="799" spans="1:8" x14ac:dyDescent="0.25">
      <c r="A799">
        <v>1068</v>
      </c>
      <c r="B799">
        <v>8</v>
      </c>
      <c r="C799">
        <v>13.368839722222219</v>
      </c>
      <c r="D799">
        <v>11.77485241545889</v>
      </c>
      <c r="E799">
        <f t="shared" si="48"/>
        <v>5.5703498842592576E-2</v>
      </c>
      <c r="F799">
        <f t="shared" si="49"/>
        <v>4.9061885064412038E-2</v>
      </c>
      <c r="G799">
        <f t="shared" si="50"/>
        <v>1</v>
      </c>
      <c r="H799">
        <f t="shared" si="51"/>
        <v>0.66844198611111094</v>
      </c>
    </row>
    <row r="800" spans="1:8" x14ac:dyDescent="0.25">
      <c r="A800">
        <v>1068</v>
      </c>
      <c r="B800">
        <v>9</v>
      </c>
      <c r="C800">
        <v>13.162825833333329</v>
      </c>
      <c r="D800">
        <v>11.89988505555556</v>
      </c>
      <c r="E800">
        <f t="shared" si="48"/>
        <v>5.4845107638888869E-2</v>
      </c>
      <c r="F800">
        <f t="shared" si="49"/>
        <v>4.9582854398148163E-2</v>
      </c>
      <c r="G800">
        <f t="shared" si="50"/>
        <v>1</v>
      </c>
      <c r="H800">
        <f t="shared" si="51"/>
        <v>0.65814129166666646</v>
      </c>
    </row>
    <row r="801" spans="1:8" x14ac:dyDescent="0.25">
      <c r="A801">
        <v>1068</v>
      </c>
      <c r="B801">
        <v>10</v>
      </c>
      <c r="C801">
        <v>13.34181027777778</v>
      </c>
      <c r="D801">
        <v>11.62130111111111</v>
      </c>
      <c r="E801">
        <f t="shared" si="48"/>
        <v>5.5590876157407411E-2</v>
      </c>
      <c r="F801">
        <f t="shared" si="49"/>
        <v>4.8422087962962962E-2</v>
      </c>
      <c r="G801">
        <f t="shared" si="50"/>
        <v>1</v>
      </c>
      <c r="H801">
        <f t="shared" si="51"/>
        <v>0.66709051388888896</v>
      </c>
    </row>
    <row r="802" spans="1:8" x14ac:dyDescent="0.25">
      <c r="A802">
        <v>1068</v>
      </c>
      <c r="B802">
        <v>11</v>
      </c>
      <c r="C802">
        <v>12.76307222222222</v>
      </c>
      <c r="D802">
        <v>11.71111710858583</v>
      </c>
      <c r="E802">
        <f t="shared" si="48"/>
        <v>5.3179467592592587E-2</v>
      </c>
      <c r="F802">
        <f t="shared" si="49"/>
        <v>4.879632128577429E-2</v>
      </c>
      <c r="G802">
        <f t="shared" si="50"/>
        <v>1</v>
      </c>
      <c r="H802">
        <f t="shared" si="51"/>
        <v>0.63815361111111102</v>
      </c>
    </row>
    <row r="803" spans="1:8" x14ac:dyDescent="0.25">
      <c r="A803">
        <v>1068</v>
      </c>
      <c r="B803">
        <v>12</v>
      </c>
      <c r="C803">
        <v>12.40065361111111</v>
      </c>
      <c r="D803">
        <v>11.631572976190281</v>
      </c>
      <c r="E803">
        <f t="shared" si="48"/>
        <v>5.1669390046296289E-2</v>
      </c>
      <c r="F803">
        <f t="shared" si="49"/>
        <v>4.8464887400792835E-2</v>
      </c>
      <c r="G803">
        <f t="shared" si="50"/>
        <v>1</v>
      </c>
      <c r="H803">
        <f t="shared" si="51"/>
        <v>0.62003268055555549</v>
      </c>
    </row>
    <row r="804" spans="1:8" x14ac:dyDescent="0.25">
      <c r="A804">
        <v>1069</v>
      </c>
      <c r="B804">
        <v>1</v>
      </c>
      <c r="C804">
        <v>44.315555555555555</v>
      </c>
      <c r="D804">
        <v>29.010833333333334</v>
      </c>
      <c r="E804">
        <f t="shared" si="48"/>
        <v>0.18464814814814814</v>
      </c>
      <c r="F804">
        <f t="shared" si="49"/>
        <v>0.12087847222222221</v>
      </c>
      <c r="G804">
        <f t="shared" si="50"/>
        <v>3</v>
      </c>
      <c r="H804">
        <f t="shared" si="51"/>
        <v>2.2157777777777778</v>
      </c>
    </row>
    <row r="805" spans="1:8" x14ac:dyDescent="0.25">
      <c r="A805">
        <v>1069</v>
      </c>
      <c r="B805">
        <v>10</v>
      </c>
      <c r="C805">
        <v>46.238730277777783</v>
      </c>
      <c r="D805">
        <v>16.375195000000001</v>
      </c>
      <c r="E805">
        <f t="shared" si="48"/>
        <v>0.19266137615740742</v>
      </c>
      <c r="F805">
        <f t="shared" si="49"/>
        <v>6.8229979166666677E-2</v>
      </c>
      <c r="G805">
        <f t="shared" si="50"/>
        <v>3</v>
      </c>
      <c r="H805">
        <f t="shared" si="51"/>
        <v>2.311936513888889</v>
      </c>
    </row>
    <row r="806" spans="1:8" x14ac:dyDescent="0.25">
      <c r="A806">
        <v>1069</v>
      </c>
      <c r="B806">
        <v>11</v>
      </c>
      <c r="C806">
        <v>86.70778277777778</v>
      </c>
      <c r="D806">
        <v>70.656683703703607</v>
      </c>
      <c r="E806">
        <f t="shared" si="48"/>
        <v>0.36128242824074075</v>
      </c>
      <c r="F806">
        <f t="shared" si="49"/>
        <v>0.29440284876543171</v>
      </c>
      <c r="G806">
        <f t="shared" si="50"/>
        <v>5</v>
      </c>
      <c r="H806">
        <f t="shared" si="51"/>
        <v>4.335389138888889</v>
      </c>
    </row>
    <row r="807" spans="1:8" x14ac:dyDescent="0.25">
      <c r="A807">
        <v>1070</v>
      </c>
      <c r="B807">
        <v>1</v>
      </c>
      <c r="C807">
        <v>11.071666666666665</v>
      </c>
      <c r="D807">
        <v>10.672222222222222</v>
      </c>
      <c r="E807">
        <f t="shared" si="48"/>
        <v>4.6131944444444441E-2</v>
      </c>
      <c r="F807">
        <f t="shared" si="49"/>
        <v>4.4467592592592593E-2</v>
      </c>
      <c r="G807">
        <f t="shared" si="50"/>
        <v>1</v>
      </c>
      <c r="H807">
        <f t="shared" si="51"/>
        <v>0.55358333333333332</v>
      </c>
    </row>
    <row r="808" spans="1:8" x14ac:dyDescent="0.25">
      <c r="A808">
        <v>1070</v>
      </c>
      <c r="B808">
        <v>2</v>
      </c>
      <c r="C808">
        <v>12.05341944444444</v>
      </c>
      <c r="D808">
        <v>11.893967133838331</v>
      </c>
      <c r="E808">
        <f t="shared" si="48"/>
        <v>5.0222581018518501E-2</v>
      </c>
      <c r="F808">
        <f t="shared" si="49"/>
        <v>4.9558196390993042E-2</v>
      </c>
      <c r="G808">
        <f t="shared" si="50"/>
        <v>1</v>
      </c>
      <c r="H808">
        <f t="shared" si="51"/>
        <v>0.60267097222222199</v>
      </c>
    </row>
    <row r="809" spans="1:8" x14ac:dyDescent="0.25">
      <c r="A809">
        <v>1070</v>
      </c>
      <c r="B809">
        <v>3</v>
      </c>
      <c r="C809">
        <v>12.158985277777781</v>
      </c>
      <c r="D809">
        <v>11.734115138888891</v>
      </c>
      <c r="E809">
        <f t="shared" si="48"/>
        <v>5.0662438657407417E-2</v>
      </c>
      <c r="F809">
        <f t="shared" si="49"/>
        <v>4.8892146412037041E-2</v>
      </c>
      <c r="G809">
        <f t="shared" si="50"/>
        <v>1</v>
      </c>
      <c r="H809">
        <f t="shared" si="51"/>
        <v>0.60794926388888904</v>
      </c>
    </row>
    <row r="810" spans="1:8" x14ac:dyDescent="0.25">
      <c r="A810">
        <v>1070</v>
      </c>
      <c r="B810">
        <v>4</v>
      </c>
      <c r="C810">
        <v>12.039673055555561</v>
      </c>
      <c r="D810">
        <v>11.839847605819999</v>
      </c>
      <c r="E810">
        <f t="shared" si="48"/>
        <v>5.0165304398148168E-2</v>
      </c>
      <c r="F810">
        <f t="shared" si="49"/>
        <v>4.9332698357583332E-2</v>
      </c>
      <c r="G810">
        <f t="shared" si="50"/>
        <v>1</v>
      </c>
      <c r="H810">
        <f t="shared" si="51"/>
        <v>0.60198365277777799</v>
      </c>
    </row>
    <row r="811" spans="1:8" x14ac:dyDescent="0.25">
      <c r="A811">
        <v>1070</v>
      </c>
      <c r="B811">
        <v>5</v>
      </c>
      <c r="C811">
        <v>12.05221027777778</v>
      </c>
      <c r="D811">
        <v>11.92856254166667</v>
      </c>
      <c r="E811">
        <f t="shared" si="48"/>
        <v>5.0217542824074084E-2</v>
      </c>
      <c r="F811">
        <f t="shared" si="49"/>
        <v>4.9702343923611121E-2</v>
      </c>
      <c r="G811">
        <f t="shared" si="50"/>
        <v>1</v>
      </c>
      <c r="H811">
        <f t="shared" si="51"/>
        <v>0.60261051388888898</v>
      </c>
    </row>
    <row r="812" spans="1:8" x14ac:dyDescent="0.25">
      <c r="A812">
        <v>1070</v>
      </c>
      <c r="B812">
        <v>6</v>
      </c>
      <c r="C812">
        <v>12.056804722222219</v>
      </c>
      <c r="D812">
        <v>11.569898361111109</v>
      </c>
      <c r="E812">
        <f t="shared" si="48"/>
        <v>5.0236686342592575E-2</v>
      </c>
      <c r="F812">
        <f t="shared" si="49"/>
        <v>4.8207909837962949E-2</v>
      </c>
      <c r="G812">
        <f t="shared" si="50"/>
        <v>1</v>
      </c>
      <c r="H812">
        <f t="shared" si="51"/>
        <v>0.60284023611111093</v>
      </c>
    </row>
    <row r="813" spans="1:8" x14ac:dyDescent="0.25">
      <c r="A813">
        <v>1070</v>
      </c>
      <c r="B813">
        <v>7</v>
      </c>
      <c r="C813">
        <v>12.036365833333329</v>
      </c>
      <c r="D813">
        <v>11.404993293650559</v>
      </c>
      <c r="E813">
        <f t="shared" si="48"/>
        <v>5.0151524305555535E-2</v>
      </c>
      <c r="F813">
        <f t="shared" si="49"/>
        <v>4.7520805390210662E-2</v>
      </c>
      <c r="G813">
        <f t="shared" si="50"/>
        <v>1</v>
      </c>
      <c r="H813">
        <f t="shared" si="51"/>
        <v>0.60181829166666645</v>
      </c>
    </row>
    <row r="814" spans="1:8" x14ac:dyDescent="0.25">
      <c r="A814">
        <v>1070</v>
      </c>
      <c r="B814">
        <v>8</v>
      </c>
      <c r="C814">
        <v>12.02964083333333</v>
      </c>
      <c r="D814">
        <v>11.65734908212556</v>
      </c>
      <c r="E814">
        <f t="shared" si="48"/>
        <v>5.0123503472222213E-2</v>
      </c>
      <c r="F814">
        <f t="shared" si="49"/>
        <v>4.857228784218983E-2</v>
      </c>
      <c r="G814">
        <f t="shared" si="50"/>
        <v>1</v>
      </c>
      <c r="H814">
        <f t="shared" si="51"/>
        <v>0.60148204166666652</v>
      </c>
    </row>
    <row r="815" spans="1:8" x14ac:dyDescent="0.25">
      <c r="A815">
        <v>1070</v>
      </c>
      <c r="B815">
        <v>9</v>
      </c>
      <c r="C815">
        <v>12.00605833333333</v>
      </c>
      <c r="D815">
        <v>10.87101284722222</v>
      </c>
      <c r="E815">
        <f t="shared" si="48"/>
        <v>5.0025243055555536E-2</v>
      </c>
      <c r="F815">
        <f t="shared" si="49"/>
        <v>4.5295886863425915E-2</v>
      </c>
      <c r="G815">
        <f t="shared" si="50"/>
        <v>1</v>
      </c>
      <c r="H815">
        <f t="shared" si="51"/>
        <v>0.60030291666666646</v>
      </c>
    </row>
    <row r="816" spans="1:8" x14ac:dyDescent="0.25">
      <c r="A816">
        <v>1070</v>
      </c>
      <c r="B816">
        <v>10</v>
      </c>
      <c r="C816">
        <v>12.253267777777779</v>
      </c>
      <c r="D816">
        <v>11.842792866161391</v>
      </c>
      <c r="E816">
        <f t="shared" si="48"/>
        <v>5.1055282407407414E-2</v>
      </c>
      <c r="F816">
        <f t="shared" si="49"/>
        <v>4.9344970275672466E-2</v>
      </c>
      <c r="G816">
        <f t="shared" si="50"/>
        <v>1</v>
      </c>
      <c r="H816">
        <f t="shared" si="51"/>
        <v>0.61266338888888894</v>
      </c>
    </row>
    <row r="817" spans="1:8" x14ac:dyDescent="0.25">
      <c r="A817">
        <v>1070</v>
      </c>
      <c r="B817">
        <v>11</v>
      </c>
      <c r="C817">
        <v>12.015183055555561</v>
      </c>
      <c r="D817">
        <v>11.546613131313061</v>
      </c>
      <c r="E817">
        <f t="shared" si="48"/>
        <v>5.0063262731481505E-2</v>
      </c>
      <c r="F817">
        <f t="shared" si="49"/>
        <v>4.8110888047137756E-2</v>
      </c>
      <c r="G817">
        <f t="shared" si="50"/>
        <v>1</v>
      </c>
      <c r="H817">
        <f t="shared" si="51"/>
        <v>0.60075915277777803</v>
      </c>
    </row>
    <row r="818" spans="1:8" x14ac:dyDescent="0.25">
      <c r="A818">
        <v>1070</v>
      </c>
      <c r="B818">
        <v>12</v>
      </c>
      <c r="C818">
        <v>12.15592222222222</v>
      </c>
      <c r="D818">
        <v>11.77457945767194</v>
      </c>
      <c r="E818">
        <f t="shared" si="48"/>
        <v>5.0649675925925917E-2</v>
      </c>
      <c r="F818">
        <f t="shared" si="49"/>
        <v>4.9060747740299754E-2</v>
      </c>
      <c r="G818">
        <f t="shared" si="50"/>
        <v>1</v>
      </c>
      <c r="H818">
        <f t="shared" si="51"/>
        <v>0.60779611111111098</v>
      </c>
    </row>
    <row r="819" spans="1:8" x14ac:dyDescent="0.25">
      <c r="A819">
        <v>1071</v>
      </c>
      <c r="B819">
        <v>1</v>
      </c>
      <c r="C819">
        <v>10.9975</v>
      </c>
      <c r="D819">
        <v>10.450555555555555</v>
      </c>
      <c r="E819">
        <f t="shared" si="48"/>
        <v>4.5822916666666665E-2</v>
      </c>
      <c r="F819">
        <f t="shared" si="49"/>
        <v>4.3543981481481475E-2</v>
      </c>
      <c r="G819">
        <f t="shared" si="50"/>
        <v>1</v>
      </c>
      <c r="H819">
        <f t="shared" si="51"/>
        <v>0.549875</v>
      </c>
    </row>
    <row r="820" spans="1:8" x14ac:dyDescent="0.25">
      <c r="A820">
        <v>1071</v>
      </c>
      <c r="B820">
        <v>2</v>
      </c>
      <c r="C820">
        <v>11.778465000000001</v>
      </c>
      <c r="D820">
        <v>11.557253686868609</v>
      </c>
      <c r="E820">
        <f t="shared" si="48"/>
        <v>4.9076937500000001E-2</v>
      </c>
      <c r="F820">
        <f t="shared" si="49"/>
        <v>4.8155223695285874E-2</v>
      </c>
      <c r="G820">
        <f t="shared" si="50"/>
        <v>1</v>
      </c>
      <c r="H820">
        <f t="shared" si="51"/>
        <v>0.58892325000000001</v>
      </c>
    </row>
    <row r="821" spans="1:8" x14ac:dyDescent="0.25">
      <c r="A821">
        <v>1071</v>
      </c>
      <c r="B821">
        <v>3</v>
      </c>
      <c r="C821">
        <v>11.778157500000001</v>
      </c>
      <c r="D821">
        <v>11.54490570833333</v>
      </c>
      <c r="E821">
        <f t="shared" si="48"/>
        <v>4.9075656250000009E-2</v>
      </c>
      <c r="F821">
        <f t="shared" si="49"/>
        <v>4.8103773784722213E-2</v>
      </c>
      <c r="G821">
        <f t="shared" si="50"/>
        <v>1</v>
      </c>
      <c r="H821">
        <f t="shared" si="51"/>
        <v>0.58890787500000008</v>
      </c>
    </row>
    <row r="822" spans="1:8" x14ac:dyDescent="0.25">
      <c r="A822">
        <v>1071</v>
      </c>
      <c r="B822">
        <v>4</v>
      </c>
      <c r="C822">
        <v>12.49783861111111</v>
      </c>
      <c r="D822">
        <v>11.49534388888889</v>
      </c>
      <c r="E822">
        <f t="shared" si="48"/>
        <v>5.207432754629629E-2</v>
      </c>
      <c r="F822">
        <f t="shared" si="49"/>
        <v>4.7897266203703708E-2</v>
      </c>
      <c r="G822">
        <f t="shared" si="50"/>
        <v>1</v>
      </c>
      <c r="H822">
        <f t="shared" si="51"/>
        <v>0.62489193055555547</v>
      </c>
    </row>
    <row r="823" spans="1:8" x14ac:dyDescent="0.25">
      <c r="A823">
        <v>1071</v>
      </c>
      <c r="B823">
        <v>5</v>
      </c>
      <c r="C823">
        <v>11.795786944444441</v>
      </c>
      <c r="D823">
        <v>11.01623559722222</v>
      </c>
      <c r="E823">
        <f t="shared" si="48"/>
        <v>4.9149112268518501E-2</v>
      </c>
      <c r="F823">
        <f t="shared" si="49"/>
        <v>4.5900981655092578E-2</v>
      </c>
      <c r="G823">
        <f t="shared" si="50"/>
        <v>1</v>
      </c>
      <c r="H823">
        <f t="shared" si="51"/>
        <v>0.58978934722222198</v>
      </c>
    </row>
    <row r="824" spans="1:8" x14ac:dyDescent="0.25">
      <c r="A824">
        <v>1071</v>
      </c>
      <c r="B824">
        <v>6</v>
      </c>
      <c r="C824">
        <v>11.792538055555561</v>
      </c>
      <c r="D824">
        <v>10.686910861111111</v>
      </c>
      <c r="E824">
        <f t="shared" si="48"/>
        <v>4.9135575231481508E-2</v>
      </c>
      <c r="F824">
        <f t="shared" si="49"/>
        <v>4.4528795254629626E-2</v>
      </c>
      <c r="G824">
        <f t="shared" si="50"/>
        <v>1</v>
      </c>
      <c r="H824">
        <f t="shared" si="51"/>
        <v>0.58962690277777807</v>
      </c>
    </row>
    <row r="825" spans="1:8" x14ac:dyDescent="0.25">
      <c r="A825">
        <v>1071</v>
      </c>
      <c r="B825">
        <v>7</v>
      </c>
      <c r="C825">
        <v>11.775007499999999</v>
      </c>
      <c r="D825">
        <v>11.19793679894167</v>
      </c>
      <c r="E825">
        <f t="shared" si="48"/>
        <v>4.9062531249999992E-2</v>
      </c>
      <c r="F825">
        <f t="shared" si="49"/>
        <v>4.6658069995590294E-2</v>
      </c>
      <c r="G825">
        <f t="shared" si="50"/>
        <v>1</v>
      </c>
      <c r="H825">
        <f t="shared" si="51"/>
        <v>0.58875037499999994</v>
      </c>
    </row>
    <row r="826" spans="1:8" x14ac:dyDescent="0.25">
      <c r="A826">
        <v>1071</v>
      </c>
      <c r="B826">
        <v>8</v>
      </c>
      <c r="C826">
        <v>12.08946944444445</v>
      </c>
      <c r="D826">
        <v>11.74853422705305</v>
      </c>
      <c r="E826">
        <f t="shared" si="48"/>
        <v>5.0372789351851875E-2</v>
      </c>
      <c r="F826">
        <f t="shared" si="49"/>
        <v>4.8952225946054369E-2</v>
      </c>
      <c r="G826">
        <f t="shared" si="50"/>
        <v>1</v>
      </c>
      <c r="H826">
        <f t="shared" si="51"/>
        <v>0.60447347222222247</v>
      </c>
    </row>
    <row r="827" spans="1:8" x14ac:dyDescent="0.25">
      <c r="A827">
        <v>1071</v>
      </c>
      <c r="B827">
        <v>9</v>
      </c>
      <c r="C827">
        <v>11.747544444444451</v>
      </c>
      <c r="D827">
        <v>11.69749333333333</v>
      </c>
      <c r="E827">
        <f t="shared" si="48"/>
        <v>4.8948101851851882E-2</v>
      </c>
      <c r="F827">
        <f t="shared" si="49"/>
        <v>4.8739555555555543E-2</v>
      </c>
      <c r="G827">
        <f t="shared" si="50"/>
        <v>1</v>
      </c>
      <c r="H827">
        <f t="shared" si="51"/>
        <v>0.58737722222222255</v>
      </c>
    </row>
    <row r="828" spans="1:8" x14ac:dyDescent="0.25">
      <c r="A828">
        <v>1071</v>
      </c>
      <c r="B828">
        <v>10</v>
      </c>
      <c r="C828">
        <v>11.7452325</v>
      </c>
      <c r="D828">
        <v>11.691319911616111</v>
      </c>
      <c r="E828">
        <f t="shared" si="48"/>
        <v>4.8938468749999998E-2</v>
      </c>
      <c r="F828">
        <f t="shared" si="49"/>
        <v>4.8713832965067129E-2</v>
      </c>
      <c r="G828">
        <f t="shared" si="50"/>
        <v>1</v>
      </c>
      <c r="H828">
        <f t="shared" si="51"/>
        <v>0.58726162500000001</v>
      </c>
    </row>
    <row r="829" spans="1:8" x14ac:dyDescent="0.25">
      <c r="A829">
        <v>1071</v>
      </c>
      <c r="B829">
        <v>11</v>
      </c>
      <c r="C829">
        <v>12.01474694444445</v>
      </c>
      <c r="D829">
        <v>11.16035612373722</v>
      </c>
      <c r="E829">
        <f t="shared" si="48"/>
        <v>5.0061445601851877E-2</v>
      </c>
      <c r="F829">
        <f t="shared" si="49"/>
        <v>4.6501483848905088E-2</v>
      </c>
      <c r="G829">
        <f t="shared" si="50"/>
        <v>1</v>
      </c>
      <c r="H829">
        <f t="shared" si="51"/>
        <v>0.6007373472222225</v>
      </c>
    </row>
    <row r="830" spans="1:8" x14ac:dyDescent="0.25">
      <c r="A830">
        <v>1071</v>
      </c>
      <c r="B830">
        <v>12</v>
      </c>
      <c r="C830">
        <v>12.952063611111109</v>
      </c>
      <c r="D830">
        <v>11.607911560846389</v>
      </c>
      <c r="E830">
        <f t="shared" si="48"/>
        <v>5.3966931712962955E-2</v>
      </c>
      <c r="F830">
        <f t="shared" si="49"/>
        <v>4.8366298170193285E-2</v>
      </c>
      <c r="G830">
        <f t="shared" si="50"/>
        <v>1</v>
      </c>
      <c r="H830">
        <f t="shared" si="51"/>
        <v>0.64760318055555544</v>
      </c>
    </row>
    <row r="831" spans="1:8" x14ac:dyDescent="0.25">
      <c r="A831">
        <v>1072</v>
      </c>
      <c r="B831">
        <v>1</v>
      </c>
      <c r="C831">
        <v>10.986666666666668</v>
      </c>
      <c r="D831">
        <v>10.545555555555556</v>
      </c>
      <c r="E831">
        <f t="shared" si="48"/>
        <v>4.5777777777777785E-2</v>
      </c>
      <c r="F831">
        <f t="shared" si="49"/>
        <v>4.3939814814814813E-2</v>
      </c>
      <c r="G831">
        <f t="shared" si="50"/>
        <v>1</v>
      </c>
      <c r="H831">
        <f t="shared" si="51"/>
        <v>0.54933333333333345</v>
      </c>
    </row>
    <row r="832" spans="1:8" x14ac:dyDescent="0.25">
      <c r="A832">
        <v>1072</v>
      </c>
      <c r="B832">
        <v>2</v>
      </c>
      <c r="C832">
        <v>11.95822861111111</v>
      </c>
      <c r="D832">
        <v>11.84772820707056</v>
      </c>
      <c r="E832">
        <f t="shared" si="48"/>
        <v>4.9825952546296293E-2</v>
      </c>
      <c r="F832">
        <f t="shared" si="49"/>
        <v>4.9365534196127332E-2</v>
      </c>
      <c r="G832">
        <f t="shared" si="50"/>
        <v>1</v>
      </c>
      <c r="H832">
        <f t="shared" si="51"/>
        <v>0.59791143055555551</v>
      </c>
    </row>
    <row r="833" spans="1:8" x14ac:dyDescent="0.25">
      <c r="A833">
        <v>1072</v>
      </c>
      <c r="B833">
        <v>3</v>
      </c>
      <c r="C833">
        <v>12.07562388888889</v>
      </c>
      <c r="D833">
        <v>11.61663326388889</v>
      </c>
      <c r="E833">
        <f t="shared" si="48"/>
        <v>5.0315099537037035E-2</v>
      </c>
      <c r="F833">
        <f t="shared" si="49"/>
        <v>4.8402638599537036E-2</v>
      </c>
      <c r="G833">
        <f t="shared" si="50"/>
        <v>1</v>
      </c>
      <c r="H833">
        <f t="shared" si="51"/>
        <v>0.60378119444444445</v>
      </c>
    </row>
    <row r="834" spans="1:8" x14ac:dyDescent="0.25">
      <c r="A834">
        <v>1072</v>
      </c>
      <c r="B834">
        <v>4</v>
      </c>
      <c r="C834">
        <v>11.9714425</v>
      </c>
      <c r="D834">
        <v>11.66997271164</v>
      </c>
      <c r="E834">
        <f t="shared" ref="E834:E897" si="52">+C834/20/12</f>
        <v>4.988101041666667E-2</v>
      </c>
      <c r="F834">
        <f t="shared" ref="F834:F897" si="53">+D834/20/12</f>
        <v>4.8624886298500002E-2</v>
      </c>
      <c r="G834">
        <f t="shared" ref="G834:G897" si="54">+ROUNDUP(E834*12,0)</f>
        <v>1</v>
      </c>
      <c r="H834">
        <f t="shared" ref="H834:H897" si="55">+E834*12</f>
        <v>0.59857212500000001</v>
      </c>
    </row>
    <row r="835" spans="1:8" x14ac:dyDescent="0.25">
      <c r="A835">
        <v>1072</v>
      </c>
      <c r="B835">
        <v>5</v>
      </c>
      <c r="C835">
        <v>11.990109444444441</v>
      </c>
      <c r="D835">
        <v>10.882080347222219</v>
      </c>
      <c r="E835">
        <f t="shared" si="52"/>
        <v>4.9958789351851836E-2</v>
      </c>
      <c r="F835">
        <f t="shared" si="53"/>
        <v>4.5342001446759241E-2</v>
      </c>
      <c r="G835">
        <f t="shared" si="54"/>
        <v>1</v>
      </c>
      <c r="H835">
        <f t="shared" si="55"/>
        <v>0.59950547222222206</v>
      </c>
    </row>
    <row r="836" spans="1:8" x14ac:dyDescent="0.25">
      <c r="A836">
        <v>1072</v>
      </c>
      <c r="B836">
        <v>6</v>
      </c>
      <c r="C836">
        <v>11.9917075</v>
      </c>
      <c r="D836">
        <v>11.712129027777779</v>
      </c>
      <c r="E836">
        <f t="shared" si="52"/>
        <v>4.9965447916666662E-2</v>
      </c>
      <c r="F836">
        <f t="shared" si="53"/>
        <v>4.8800537615740748E-2</v>
      </c>
      <c r="G836">
        <f t="shared" si="54"/>
        <v>1</v>
      </c>
      <c r="H836">
        <f t="shared" si="55"/>
        <v>0.59958537499999998</v>
      </c>
    </row>
    <row r="837" spans="1:8" x14ac:dyDescent="0.25">
      <c r="A837">
        <v>1072</v>
      </c>
      <c r="B837">
        <v>7</v>
      </c>
      <c r="C837">
        <v>11.987227777777781</v>
      </c>
      <c r="D837">
        <v>11.11190382275111</v>
      </c>
      <c r="E837">
        <f t="shared" si="52"/>
        <v>4.9946782407407415E-2</v>
      </c>
      <c r="F837">
        <f t="shared" si="53"/>
        <v>4.6299599261462959E-2</v>
      </c>
      <c r="G837">
        <f t="shared" si="54"/>
        <v>1</v>
      </c>
      <c r="H837">
        <f t="shared" si="55"/>
        <v>0.59936138888888901</v>
      </c>
    </row>
    <row r="838" spans="1:8" x14ac:dyDescent="0.25">
      <c r="A838">
        <v>1072</v>
      </c>
      <c r="B838">
        <v>8</v>
      </c>
      <c r="C838">
        <v>12.075361111111111</v>
      </c>
      <c r="D838">
        <v>11.76822471014472</v>
      </c>
      <c r="E838">
        <f t="shared" si="52"/>
        <v>5.0314004629629629E-2</v>
      </c>
      <c r="F838">
        <f t="shared" si="53"/>
        <v>4.9034269625602998E-2</v>
      </c>
      <c r="G838">
        <f t="shared" si="54"/>
        <v>1</v>
      </c>
      <c r="H838">
        <f t="shared" si="55"/>
        <v>0.60376805555555557</v>
      </c>
    </row>
    <row r="839" spans="1:8" x14ac:dyDescent="0.25">
      <c r="A839">
        <v>1072</v>
      </c>
      <c r="B839">
        <v>9</v>
      </c>
      <c r="C839">
        <v>11.92781111111111</v>
      </c>
      <c r="D839">
        <v>11.15703731944444</v>
      </c>
      <c r="E839">
        <f t="shared" si="52"/>
        <v>4.9699212962962959E-2</v>
      </c>
      <c r="F839">
        <f t="shared" si="53"/>
        <v>4.6487655497685167E-2</v>
      </c>
      <c r="G839">
        <f t="shared" si="54"/>
        <v>1</v>
      </c>
      <c r="H839">
        <f t="shared" si="55"/>
        <v>0.59639055555555553</v>
      </c>
    </row>
    <row r="840" spans="1:8" x14ac:dyDescent="0.25">
      <c r="A840">
        <v>1072</v>
      </c>
      <c r="B840">
        <v>10</v>
      </c>
      <c r="C840">
        <v>11.96370555555556</v>
      </c>
      <c r="D840">
        <v>11.81433016414139</v>
      </c>
      <c r="E840">
        <f t="shared" si="52"/>
        <v>4.9848773148148166E-2</v>
      </c>
      <c r="F840">
        <f t="shared" si="53"/>
        <v>4.9226375683922463E-2</v>
      </c>
      <c r="G840">
        <f t="shared" si="54"/>
        <v>1</v>
      </c>
      <c r="H840">
        <f t="shared" si="55"/>
        <v>0.59818527777777797</v>
      </c>
    </row>
    <row r="841" spans="1:8" x14ac:dyDescent="0.25">
      <c r="A841">
        <v>1072</v>
      </c>
      <c r="B841">
        <v>11</v>
      </c>
      <c r="C841">
        <v>11.945060277777779</v>
      </c>
      <c r="D841">
        <v>11.803558320706941</v>
      </c>
      <c r="E841">
        <f t="shared" si="52"/>
        <v>4.9771084490740747E-2</v>
      </c>
      <c r="F841">
        <f t="shared" si="53"/>
        <v>4.9181493002945588E-2</v>
      </c>
      <c r="G841">
        <f t="shared" si="54"/>
        <v>1</v>
      </c>
      <c r="H841">
        <f t="shared" si="55"/>
        <v>0.59725301388888896</v>
      </c>
    </row>
    <row r="842" spans="1:8" x14ac:dyDescent="0.25">
      <c r="A842">
        <v>1072</v>
      </c>
      <c r="B842">
        <v>12</v>
      </c>
      <c r="C842">
        <v>11.950600833333329</v>
      </c>
      <c r="D842">
        <v>11.1601725</v>
      </c>
      <c r="E842">
        <f t="shared" si="52"/>
        <v>4.9794170138888871E-2</v>
      </c>
      <c r="F842">
        <f t="shared" si="53"/>
        <v>4.6500718750000003E-2</v>
      </c>
      <c r="G842">
        <f t="shared" si="54"/>
        <v>1</v>
      </c>
      <c r="H842">
        <f t="shared" si="55"/>
        <v>0.59753004166666646</v>
      </c>
    </row>
    <row r="843" spans="1:8" x14ac:dyDescent="0.25">
      <c r="A843">
        <v>1073</v>
      </c>
      <c r="B843">
        <v>1</v>
      </c>
      <c r="C843">
        <v>10.958055555555555</v>
      </c>
      <c r="D843">
        <v>4.4733333333333327</v>
      </c>
      <c r="E843">
        <f t="shared" si="52"/>
        <v>4.5658564814814812E-2</v>
      </c>
      <c r="F843">
        <f t="shared" si="53"/>
        <v>1.8638888888888885E-2</v>
      </c>
      <c r="G843">
        <f t="shared" si="54"/>
        <v>1</v>
      </c>
      <c r="H843">
        <f t="shared" si="55"/>
        <v>0.54790277777777774</v>
      </c>
    </row>
    <row r="844" spans="1:8" x14ac:dyDescent="0.25">
      <c r="A844">
        <v>1073</v>
      </c>
      <c r="B844">
        <v>2</v>
      </c>
      <c r="C844">
        <v>4.8374372222222224</v>
      </c>
      <c r="D844">
        <v>2.2458801666666668</v>
      </c>
      <c r="E844">
        <f t="shared" si="52"/>
        <v>2.0155988425925926E-2</v>
      </c>
      <c r="F844">
        <f t="shared" si="53"/>
        <v>9.3578340277777772E-3</v>
      </c>
      <c r="G844">
        <f t="shared" si="54"/>
        <v>1</v>
      </c>
      <c r="H844">
        <f t="shared" si="55"/>
        <v>0.24187186111111111</v>
      </c>
    </row>
    <row r="845" spans="1:8" x14ac:dyDescent="0.25">
      <c r="A845">
        <v>1073</v>
      </c>
      <c r="B845">
        <v>3</v>
      </c>
      <c r="C845">
        <v>5.1979572222222226</v>
      </c>
      <c r="D845">
        <v>2.676432124182778</v>
      </c>
      <c r="E845">
        <f t="shared" si="52"/>
        <v>2.1658155092592595E-2</v>
      </c>
      <c r="F845">
        <f t="shared" si="53"/>
        <v>1.1151800517428243E-2</v>
      </c>
      <c r="G845">
        <f t="shared" si="54"/>
        <v>1</v>
      </c>
      <c r="H845">
        <f t="shared" si="55"/>
        <v>0.25989786111111113</v>
      </c>
    </row>
    <row r="846" spans="1:8" x14ac:dyDescent="0.25">
      <c r="A846">
        <v>1073</v>
      </c>
      <c r="B846">
        <v>4</v>
      </c>
      <c r="C846">
        <v>12.159358055555559</v>
      </c>
      <c r="D846">
        <v>3.4151280401233328</v>
      </c>
      <c r="E846">
        <f t="shared" si="52"/>
        <v>5.0663991898148165E-2</v>
      </c>
      <c r="F846">
        <f t="shared" si="53"/>
        <v>1.4229700167180554E-2</v>
      </c>
      <c r="G846">
        <f t="shared" si="54"/>
        <v>1</v>
      </c>
      <c r="H846">
        <f t="shared" si="55"/>
        <v>0.60796790277777801</v>
      </c>
    </row>
    <row r="847" spans="1:8" x14ac:dyDescent="0.25">
      <c r="A847">
        <v>1073</v>
      </c>
      <c r="B847">
        <v>5</v>
      </c>
      <c r="C847">
        <v>8.3298119444444438</v>
      </c>
      <c r="D847">
        <v>4.2097626960783332</v>
      </c>
      <c r="E847">
        <f t="shared" si="52"/>
        <v>3.4707549768518517E-2</v>
      </c>
      <c r="F847">
        <f t="shared" si="53"/>
        <v>1.7540677900326387E-2</v>
      </c>
      <c r="G847">
        <f t="shared" si="54"/>
        <v>1</v>
      </c>
      <c r="H847">
        <f t="shared" si="55"/>
        <v>0.4164905972222222</v>
      </c>
    </row>
    <row r="848" spans="1:8" x14ac:dyDescent="0.25">
      <c r="A848">
        <v>1073</v>
      </c>
      <c r="B848">
        <v>6</v>
      </c>
      <c r="C848">
        <v>12.41289388888889</v>
      </c>
      <c r="D848">
        <v>3.9411171527777782</v>
      </c>
      <c r="E848">
        <f t="shared" si="52"/>
        <v>5.1720391203703704E-2</v>
      </c>
      <c r="F848">
        <f t="shared" si="53"/>
        <v>1.6421321469907411E-2</v>
      </c>
      <c r="G848">
        <f t="shared" si="54"/>
        <v>1</v>
      </c>
      <c r="H848">
        <f t="shared" si="55"/>
        <v>0.62064469444444448</v>
      </c>
    </row>
    <row r="849" spans="1:8" x14ac:dyDescent="0.25">
      <c r="A849">
        <v>1073</v>
      </c>
      <c r="B849">
        <v>7</v>
      </c>
      <c r="C849">
        <v>11.161873055555549</v>
      </c>
      <c r="D849">
        <v>5.0682807118055564</v>
      </c>
      <c r="E849">
        <f t="shared" si="52"/>
        <v>4.6507804398148118E-2</v>
      </c>
      <c r="F849">
        <f t="shared" si="53"/>
        <v>2.1117836299189816E-2</v>
      </c>
      <c r="G849">
        <f t="shared" si="54"/>
        <v>1</v>
      </c>
      <c r="H849">
        <f t="shared" si="55"/>
        <v>0.55809365277777745</v>
      </c>
    </row>
    <row r="850" spans="1:8" x14ac:dyDescent="0.25">
      <c r="A850">
        <v>1073</v>
      </c>
      <c r="B850">
        <v>8</v>
      </c>
      <c r="C850">
        <v>19.03961444444445</v>
      </c>
      <c r="D850">
        <v>5.5024246296294441</v>
      </c>
      <c r="E850">
        <f t="shared" si="52"/>
        <v>7.9331726851851872E-2</v>
      </c>
      <c r="F850">
        <f t="shared" si="53"/>
        <v>2.2926769290122686E-2</v>
      </c>
      <c r="G850">
        <f t="shared" si="54"/>
        <v>1</v>
      </c>
      <c r="H850">
        <f t="shared" si="55"/>
        <v>0.95198072222222252</v>
      </c>
    </row>
    <row r="851" spans="1:8" x14ac:dyDescent="0.25">
      <c r="A851">
        <v>1073</v>
      </c>
      <c r="B851">
        <v>9</v>
      </c>
      <c r="C851">
        <v>9.1513313888888881</v>
      </c>
      <c r="D851">
        <v>4.2897763333333332</v>
      </c>
      <c r="E851">
        <f t="shared" si="52"/>
        <v>3.81305474537037E-2</v>
      </c>
      <c r="F851">
        <f t="shared" si="53"/>
        <v>1.7874068055555557E-2</v>
      </c>
      <c r="G851">
        <f t="shared" si="54"/>
        <v>1</v>
      </c>
      <c r="H851">
        <f t="shared" si="55"/>
        <v>0.4575665694444444</v>
      </c>
    </row>
    <row r="852" spans="1:8" x14ac:dyDescent="0.25">
      <c r="A852">
        <v>1073</v>
      </c>
      <c r="B852">
        <v>10</v>
      </c>
      <c r="C852">
        <v>14.85805083333333</v>
      </c>
      <c r="D852">
        <v>7.7707125308641656</v>
      </c>
      <c r="E852">
        <f t="shared" si="52"/>
        <v>6.1908545138888875E-2</v>
      </c>
      <c r="F852">
        <f t="shared" si="53"/>
        <v>3.2377968878600692E-2</v>
      </c>
      <c r="G852">
        <f t="shared" si="54"/>
        <v>1</v>
      </c>
      <c r="H852">
        <f t="shared" si="55"/>
        <v>0.74290254166666647</v>
      </c>
    </row>
    <row r="853" spans="1:8" x14ac:dyDescent="0.25">
      <c r="A853">
        <v>1073</v>
      </c>
      <c r="B853">
        <v>11</v>
      </c>
      <c r="C853">
        <v>13.40153527777778</v>
      </c>
      <c r="D853">
        <v>5.9677810185183331</v>
      </c>
      <c r="E853">
        <f t="shared" si="52"/>
        <v>5.5839730324074084E-2</v>
      </c>
      <c r="F853">
        <f t="shared" si="53"/>
        <v>2.486575424382639E-2</v>
      </c>
      <c r="G853">
        <f t="shared" si="54"/>
        <v>1</v>
      </c>
      <c r="H853">
        <f t="shared" si="55"/>
        <v>0.67007676388888904</v>
      </c>
    </row>
    <row r="854" spans="1:8" x14ac:dyDescent="0.25">
      <c r="A854">
        <v>1073</v>
      </c>
      <c r="B854">
        <v>12</v>
      </c>
      <c r="C854">
        <v>20.946671388888891</v>
      </c>
      <c r="D854">
        <v>8.590343452380834</v>
      </c>
      <c r="E854">
        <f t="shared" si="52"/>
        <v>8.7277797453703718E-2</v>
      </c>
      <c r="F854">
        <f t="shared" si="53"/>
        <v>3.5793097718253473E-2</v>
      </c>
      <c r="G854">
        <f t="shared" si="54"/>
        <v>2</v>
      </c>
      <c r="H854">
        <f t="shared" si="55"/>
        <v>1.0473335694444446</v>
      </c>
    </row>
    <row r="855" spans="1:8" x14ac:dyDescent="0.25">
      <c r="A855">
        <v>1074</v>
      </c>
      <c r="B855">
        <v>1</v>
      </c>
      <c r="C855">
        <v>10.956666666666667</v>
      </c>
      <c r="D855">
        <v>10.733611111111111</v>
      </c>
      <c r="E855">
        <f t="shared" si="52"/>
        <v>4.5652777777777785E-2</v>
      </c>
      <c r="F855">
        <f t="shared" si="53"/>
        <v>4.4723379629629634E-2</v>
      </c>
      <c r="G855">
        <f t="shared" si="54"/>
        <v>1</v>
      </c>
      <c r="H855">
        <f t="shared" si="55"/>
        <v>0.54783333333333339</v>
      </c>
    </row>
    <row r="856" spans="1:8" x14ac:dyDescent="0.25">
      <c r="A856">
        <v>1074</v>
      </c>
      <c r="B856">
        <v>2</v>
      </c>
      <c r="C856">
        <v>11.86803416666667</v>
      </c>
      <c r="D856">
        <v>11.55393532828278</v>
      </c>
      <c r="E856">
        <f t="shared" si="52"/>
        <v>4.9450142361111123E-2</v>
      </c>
      <c r="F856">
        <f t="shared" si="53"/>
        <v>4.814139720117825E-2</v>
      </c>
      <c r="G856">
        <f t="shared" si="54"/>
        <v>1</v>
      </c>
      <c r="H856">
        <f t="shared" si="55"/>
        <v>0.5934017083333335</v>
      </c>
    </row>
    <row r="857" spans="1:8" x14ac:dyDescent="0.25">
      <c r="A857">
        <v>1074</v>
      </c>
      <c r="B857">
        <v>3</v>
      </c>
      <c r="C857">
        <v>11.864849166666669</v>
      </c>
      <c r="D857">
        <v>11.819483305555559</v>
      </c>
      <c r="E857">
        <f t="shared" si="52"/>
        <v>4.9436871527777787E-2</v>
      </c>
      <c r="F857">
        <f t="shared" si="53"/>
        <v>4.9247847106481502E-2</v>
      </c>
      <c r="G857">
        <f t="shared" si="54"/>
        <v>1</v>
      </c>
      <c r="H857">
        <f t="shared" si="55"/>
        <v>0.59324245833333344</v>
      </c>
    </row>
    <row r="858" spans="1:8" x14ac:dyDescent="0.25">
      <c r="A858">
        <v>1074</v>
      </c>
      <c r="B858">
        <v>4</v>
      </c>
      <c r="C858">
        <v>12.359979722222221</v>
      </c>
      <c r="D858">
        <v>11.4898725925925</v>
      </c>
      <c r="E858">
        <f t="shared" si="52"/>
        <v>5.1499915509259253E-2</v>
      </c>
      <c r="F858">
        <f t="shared" si="53"/>
        <v>4.7874469135802088E-2</v>
      </c>
      <c r="G858">
        <f t="shared" si="54"/>
        <v>1</v>
      </c>
      <c r="H858">
        <f t="shared" si="55"/>
        <v>0.61799898611111104</v>
      </c>
    </row>
    <row r="859" spans="1:8" x14ac:dyDescent="0.25">
      <c r="A859">
        <v>1074</v>
      </c>
      <c r="B859">
        <v>5</v>
      </c>
      <c r="C859">
        <v>11.870861111111109</v>
      </c>
      <c r="D859">
        <v>11.82946125</v>
      </c>
      <c r="E859">
        <f t="shared" si="52"/>
        <v>4.9461921296296285E-2</v>
      </c>
      <c r="F859">
        <f t="shared" si="53"/>
        <v>4.9289421874999996E-2</v>
      </c>
      <c r="G859">
        <f t="shared" si="54"/>
        <v>1</v>
      </c>
      <c r="H859">
        <f t="shared" si="55"/>
        <v>0.59354305555555542</v>
      </c>
    </row>
    <row r="860" spans="1:8" x14ac:dyDescent="0.25">
      <c r="A860">
        <v>1074</v>
      </c>
      <c r="B860">
        <v>6</v>
      </c>
      <c r="C860">
        <v>11.874067500000001</v>
      </c>
      <c r="D860">
        <v>11.818845152777779</v>
      </c>
      <c r="E860">
        <f t="shared" si="52"/>
        <v>4.9475281250000003E-2</v>
      </c>
      <c r="F860">
        <f t="shared" si="53"/>
        <v>4.9245188136574081E-2</v>
      </c>
      <c r="G860">
        <f t="shared" si="54"/>
        <v>1</v>
      </c>
      <c r="H860">
        <f t="shared" si="55"/>
        <v>0.59370337500000003</v>
      </c>
    </row>
    <row r="861" spans="1:8" x14ac:dyDescent="0.25">
      <c r="A861">
        <v>1074</v>
      </c>
      <c r="B861">
        <v>7</v>
      </c>
      <c r="C861">
        <v>11.89154611111111</v>
      </c>
      <c r="D861">
        <v>11.30157126984111</v>
      </c>
      <c r="E861">
        <f t="shared" si="52"/>
        <v>4.9548108796296286E-2</v>
      </c>
      <c r="F861">
        <f t="shared" si="53"/>
        <v>4.7089880291004631E-2</v>
      </c>
      <c r="G861">
        <f t="shared" si="54"/>
        <v>1</v>
      </c>
      <c r="H861">
        <f t="shared" si="55"/>
        <v>0.59457730555555544</v>
      </c>
    </row>
    <row r="862" spans="1:8" x14ac:dyDescent="0.25">
      <c r="A862">
        <v>1074</v>
      </c>
      <c r="B862">
        <v>8</v>
      </c>
      <c r="C862">
        <v>12.141478888888891</v>
      </c>
      <c r="D862">
        <v>11.86746596618333</v>
      </c>
      <c r="E862">
        <f t="shared" si="52"/>
        <v>5.0589495370370378E-2</v>
      </c>
      <c r="F862">
        <f t="shared" si="53"/>
        <v>4.944777485909721E-2</v>
      </c>
      <c r="G862">
        <f t="shared" si="54"/>
        <v>1</v>
      </c>
      <c r="H862">
        <f t="shared" si="55"/>
        <v>0.60707394444444451</v>
      </c>
    </row>
    <row r="863" spans="1:8" x14ac:dyDescent="0.25">
      <c r="A863">
        <v>1074</v>
      </c>
      <c r="B863">
        <v>9</v>
      </c>
      <c r="C863">
        <v>11.85910638888889</v>
      </c>
      <c r="D863">
        <v>11.780511055555561</v>
      </c>
      <c r="E863">
        <f t="shared" si="52"/>
        <v>4.9412943287037041E-2</v>
      </c>
      <c r="F863">
        <f t="shared" si="53"/>
        <v>4.9085462731481504E-2</v>
      </c>
      <c r="G863">
        <f t="shared" si="54"/>
        <v>1</v>
      </c>
      <c r="H863">
        <f t="shared" si="55"/>
        <v>0.59295531944444446</v>
      </c>
    </row>
    <row r="864" spans="1:8" x14ac:dyDescent="0.25">
      <c r="A864">
        <v>1074</v>
      </c>
      <c r="B864">
        <v>10</v>
      </c>
      <c r="C864">
        <v>11.94036305555556</v>
      </c>
      <c r="D864">
        <v>11.781030138888889</v>
      </c>
      <c r="E864">
        <f t="shared" si="52"/>
        <v>4.9751512731481505E-2</v>
      </c>
      <c r="F864">
        <f t="shared" si="53"/>
        <v>4.9087625578703699E-2</v>
      </c>
      <c r="G864">
        <f t="shared" si="54"/>
        <v>1</v>
      </c>
      <c r="H864">
        <f t="shared" si="55"/>
        <v>0.59701815277777803</v>
      </c>
    </row>
    <row r="865" spans="1:8" x14ac:dyDescent="0.25">
      <c r="A865">
        <v>1074</v>
      </c>
      <c r="B865">
        <v>11</v>
      </c>
      <c r="C865">
        <v>11.842339722222221</v>
      </c>
      <c r="D865">
        <v>11.763666502525</v>
      </c>
      <c r="E865">
        <f t="shared" si="52"/>
        <v>4.9343082175925923E-2</v>
      </c>
      <c r="F865">
        <f t="shared" si="53"/>
        <v>4.901527709385417E-2</v>
      </c>
      <c r="G865">
        <f t="shared" si="54"/>
        <v>1</v>
      </c>
      <c r="H865">
        <f t="shared" si="55"/>
        <v>0.59211698611111108</v>
      </c>
    </row>
    <row r="866" spans="1:8" x14ac:dyDescent="0.25">
      <c r="A866">
        <v>1074</v>
      </c>
      <c r="B866">
        <v>12</v>
      </c>
      <c r="C866">
        <v>11.964575555555561</v>
      </c>
      <c r="D866">
        <v>11.79531832010556</v>
      </c>
      <c r="E866">
        <f t="shared" si="52"/>
        <v>4.9852398148148173E-2</v>
      </c>
      <c r="F866">
        <f t="shared" si="53"/>
        <v>4.9147159667106498E-2</v>
      </c>
      <c r="G866">
        <f t="shared" si="54"/>
        <v>1</v>
      </c>
      <c r="H866">
        <f t="shared" si="55"/>
        <v>0.59822877777777805</v>
      </c>
    </row>
    <row r="867" spans="1:8" x14ac:dyDescent="0.25">
      <c r="A867">
        <v>1075</v>
      </c>
      <c r="B867">
        <v>1</v>
      </c>
      <c r="C867">
        <v>10.889166666666666</v>
      </c>
      <c r="D867">
        <v>10.438055555555556</v>
      </c>
      <c r="E867">
        <f t="shared" si="52"/>
        <v>4.5371527777777775E-2</v>
      </c>
      <c r="F867">
        <f t="shared" si="53"/>
        <v>4.3491898148148155E-2</v>
      </c>
      <c r="G867">
        <f t="shared" si="54"/>
        <v>1</v>
      </c>
      <c r="H867">
        <f t="shared" si="55"/>
        <v>0.54445833333333327</v>
      </c>
    </row>
    <row r="868" spans="1:8" x14ac:dyDescent="0.25">
      <c r="A868">
        <v>1075</v>
      </c>
      <c r="B868">
        <v>2</v>
      </c>
      <c r="C868">
        <v>10.929621111111111</v>
      </c>
      <c r="D868">
        <v>10.63354786616139</v>
      </c>
      <c r="E868">
        <f t="shared" si="52"/>
        <v>4.5540087962962959E-2</v>
      </c>
      <c r="F868">
        <f t="shared" si="53"/>
        <v>4.4306449442339128E-2</v>
      </c>
      <c r="G868">
        <f t="shared" si="54"/>
        <v>1</v>
      </c>
      <c r="H868">
        <f t="shared" si="55"/>
        <v>0.54648105555555548</v>
      </c>
    </row>
    <row r="869" spans="1:8" x14ac:dyDescent="0.25">
      <c r="A869">
        <v>1075</v>
      </c>
      <c r="B869">
        <v>3</v>
      </c>
      <c r="C869">
        <v>11.92821472222222</v>
      </c>
      <c r="D869">
        <v>11.201113250000001</v>
      </c>
      <c r="E869">
        <f t="shared" si="52"/>
        <v>4.9700894675925922E-2</v>
      </c>
      <c r="F869">
        <f t="shared" si="53"/>
        <v>4.667130520833334E-2</v>
      </c>
      <c r="G869">
        <f t="shared" si="54"/>
        <v>1</v>
      </c>
      <c r="H869">
        <f t="shared" si="55"/>
        <v>0.59641073611111106</v>
      </c>
    </row>
    <row r="870" spans="1:8" x14ac:dyDescent="0.25">
      <c r="A870">
        <v>1075</v>
      </c>
      <c r="B870">
        <v>4</v>
      </c>
      <c r="C870">
        <v>11.928235000000001</v>
      </c>
      <c r="D870">
        <v>11.52596742063472</v>
      </c>
      <c r="E870">
        <f t="shared" si="52"/>
        <v>4.9700979166666666E-2</v>
      </c>
      <c r="F870">
        <f t="shared" si="53"/>
        <v>4.8024864252644663E-2</v>
      </c>
      <c r="G870">
        <f t="shared" si="54"/>
        <v>1</v>
      </c>
      <c r="H870">
        <f t="shared" si="55"/>
        <v>0.59641175000000002</v>
      </c>
    </row>
    <row r="871" spans="1:8" x14ac:dyDescent="0.25">
      <c r="A871">
        <v>1075</v>
      </c>
      <c r="B871">
        <v>5</v>
      </c>
      <c r="C871">
        <v>12.05151666666667</v>
      </c>
      <c r="D871">
        <v>11.919309347222219</v>
      </c>
      <c r="E871">
        <f t="shared" si="52"/>
        <v>5.0214652777777792E-2</v>
      </c>
      <c r="F871">
        <f t="shared" si="53"/>
        <v>4.9663788946759248E-2</v>
      </c>
      <c r="G871">
        <f t="shared" si="54"/>
        <v>1</v>
      </c>
      <c r="H871">
        <f t="shared" si="55"/>
        <v>0.60257583333333353</v>
      </c>
    </row>
    <row r="872" spans="1:8" x14ac:dyDescent="0.25">
      <c r="A872">
        <v>1075</v>
      </c>
      <c r="B872">
        <v>6</v>
      </c>
      <c r="C872">
        <v>11.936411111111109</v>
      </c>
      <c r="D872">
        <v>11.35156591666667</v>
      </c>
      <c r="E872">
        <f t="shared" si="52"/>
        <v>4.9735046296296291E-2</v>
      </c>
      <c r="F872">
        <f t="shared" si="53"/>
        <v>4.729819131944446E-2</v>
      </c>
      <c r="G872">
        <f t="shared" si="54"/>
        <v>1</v>
      </c>
      <c r="H872">
        <f t="shared" si="55"/>
        <v>0.59682055555555547</v>
      </c>
    </row>
    <row r="873" spans="1:8" x14ac:dyDescent="0.25">
      <c r="A873">
        <v>1075</v>
      </c>
      <c r="B873">
        <v>7</v>
      </c>
      <c r="C873">
        <v>11.92772888888889</v>
      </c>
      <c r="D873">
        <v>11.37299883597861</v>
      </c>
      <c r="E873">
        <f t="shared" si="52"/>
        <v>4.9698870370370372E-2</v>
      </c>
      <c r="F873">
        <f t="shared" si="53"/>
        <v>4.738749514991087E-2</v>
      </c>
      <c r="G873">
        <f t="shared" si="54"/>
        <v>1</v>
      </c>
      <c r="H873">
        <f t="shared" si="55"/>
        <v>0.59638644444444444</v>
      </c>
    </row>
    <row r="874" spans="1:8" x14ac:dyDescent="0.25">
      <c r="A874">
        <v>1075</v>
      </c>
      <c r="B874">
        <v>8</v>
      </c>
      <c r="C874">
        <v>11.96929111111111</v>
      </c>
      <c r="D874">
        <v>11.78736599033806</v>
      </c>
      <c r="E874">
        <f t="shared" si="52"/>
        <v>4.9872046296296289E-2</v>
      </c>
      <c r="F874">
        <f t="shared" si="53"/>
        <v>4.911402495974191E-2</v>
      </c>
      <c r="G874">
        <f t="shared" si="54"/>
        <v>1</v>
      </c>
      <c r="H874">
        <f t="shared" si="55"/>
        <v>0.59846455555555544</v>
      </c>
    </row>
    <row r="875" spans="1:8" x14ac:dyDescent="0.25">
      <c r="A875">
        <v>1075</v>
      </c>
      <c r="B875">
        <v>9</v>
      </c>
      <c r="C875">
        <v>12.00353638888889</v>
      </c>
      <c r="D875">
        <v>11.683477972222221</v>
      </c>
      <c r="E875">
        <f t="shared" si="52"/>
        <v>5.0014734953703704E-2</v>
      </c>
      <c r="F875">
        <f t="shared" si="53"/>
        <v>4.8681158217592585E-2</v>
      </c>
      <c r="G875">
        <f t="shared" si="54"/>
        <v>1</v>
      </c>
      <c r="H875">
        <f t="shared" si="55"/>
        <v>0.60017681944444445</v>
      </c>
    </row>
    <row r="876" spans="1:8" x14ac:dyDescent="0.25">
      <c r="A876">
        <v>1075</v>
      </c>
      <c r="B876">
        <v>10</v>
      </c>
      <c r="C876">
        <v>11.935283333333331</v>
      </c>
      <c r="D876">
        <v>10.892787739898891</v>
      </c>
      <c r="E876">
        <f t="shared" si="52"/>
        <v>4.9730347222222214E-2</v>
      </c>
      <c r="F876">
        <f t="shared" si="53"/>
        <v>4.5386615582912043E-2</v>
      </c>
      <c r="G876">
        <f t="shared" si="54"/>
        <v>1</v>
      </c>
      <c r="H876">
        <f t="shared" si="55"/>
        <v>0.59676416666666654</v>
      </c>
    </row>
    <row r="877" spans="1:8" x14ac:dyDescent="0.25">
      <c r="A877">
        <v>1075</v>
      </c>
      <c r="B877">
        <v>11</v>
      </c>
      <c r="C877">
        <v>11.93820666666667</v>
      </c>
      <c r="D877">
        <v>11.31941390211639</v>
      </c>
      <c r="E877">
        <f t="shared" si="52"/>
        <v>4.9742527777777788E-2</v>
      </c>
      <c r="F877">
        <f t="shared" si="53"/>
        <v>4.7164224592151617E-2</v>
      </c>
      <c r="G877">
        <f t="shared" si="54"/>
        <v>1</v>
      </c>
      <c r="H877">
        <f t="shared" si="55"/>
        <v>0.59691033333333343</v>
      </c>
    </row>
    <row r="878" spans="1:8" x14ac:dyDescent="0.25">
      <c r="A878">
        <v>1075</v>
      </c>
      <c r="B878">
        <v>12</v>
      </c>
      <c r="C878">
        <v>12.11977222222222</v>
      </c>
      <c r="D878">
        <v>11.56627875661361</v>
      </c>
      <c r="E878">
        <f t="shared" si="52"/>
        <v>5.0499050925925916E-2</v>
      </c>
      <c r="F878">
        <f t="shared" si="53"/>
        <v>4.819282815255671E-2</v>
      </c>
      <c r="G878">
        <f t="shared" si="54"/>
        <v>1</v>
      </c>
      <c r="H878">
        <f t="shared" si="55"/>
        <v>0.60598861111111102</v>
      </c>
    </row>
    <row r="879" spans="1:8" x14ac:dyDescent="0.25">
      <c r="A879">
        <v>1076</v>
      </c>
      <c r="B879">
        <v>1</v>
      </c>
      <c r="C879">
        <v>10.771388888888888</v>
      </c>
      <c r="D879">
        <v>10.387777777777778</v>
      </c>
      <c r="E879">
        <f t="shared" si="52"/>
        <v>4.4880787037037038E-2</v>
      </c>
      <c r="F879">
        <f t="shared" si="53"/>
        <v>4.3282407407407408E-2</v>
      </c>
      <c r="G879">
        <f t="shared" si="54"/>
        <v>1</v>
      </c>
      <c r="H879">
        <f t="shared" si="55"/>
        <v>0.53856944444444443</v>
      </c>
    </row>
    <row r="880" spans="1:8" x14ac:dyDescent="0.25">
      <c r="A880">
        <v>1076</v>
      </c>
      <c r="B880">
        <v>2</v>
      </c>
      <c r="C880">
        <v>11.909365833333331</v>
      </c>
      <c r="D880">
        <v>11.74022950757556</v>
      </c>
      <c r="E880">
        <f t="shared" si="52"/>
        <v>4.9622357638888871E-2</v>
      </c>
      <c r="F880">
        <f t="shared" si="53"/>
        <v>4.8917622948231494E-2</v>
      </c>
      <c r="G880">
        <f t="shared" si="54"/>
        <v>1</v>
      </c>
      <c r="H880">
        <f t="shared" si="55"/>
        <v>0.59546829166666648</v>
      </c>
    </row>
    <row r="881" spans="1:8" x14ac:dyDescent="0.25">
      <c r="A881">
        <v>1076</v>
      </c>
      <c r="B881">
        <v>3</v>
      </c>
      <c r="C881">
        <v>11.90495833333333</v>
      </c>
      <c r="D881">
        <v>11.833199361111109</v>
      </c>
      <c r="E881">
        <f t="shared" si="52"/>
        <v>4.9603993055555538E-2</v>
      </c>
      <c r="F881">
        <f t="shared" si="53"/>
        <v>4.9304997337962952E-2</v>
      </c>
      <c r="G881">
        <f t="shared" si="54"/>
        <v>1</v>
      </c>
      <c r="H881">
        <f t="shared" si="55"/>
        <v>0.59524791666666643</v>
      </c>
    </row>
    <row r="882" spans="1:8" x14ac:dyDescent="0.25">
      <c r="A882">
        <v>1076</v>
      </c>
      <c r="B882">
        <v>4</v>
      </c>
      <c r="C882">
        <v>11.95238055555556</v>
      </c>
      <c r="D882">
        <v>11.33159793650778</v>
      </c>
      <c r="E882">
        <f t="shared" si="52"/>
        <v>4.9801585648148163E-2</v>
      </c>
      <c r="F882">
        <f t="shared" si="53"/>
        <v>4.7214991402115748E-2</v>
      </c>
      <c r="G882">
        <f t="shared" si="54"/>
        <v>1</v>
      </c>
      <c r="H882">
        <f t="shared" si="55"/>
        <v>0.59761902777777798</v>
      </c>
    </row>
    <row r="883" spans="1:8" x14ac:dyDescent="0.25">
      <c r="A883">
        <v>1076</v>
      </c>
      <c r="B883">
        <v>5</v>
      </c>
      <c r="C883">
        <v>11.61894194444444</v>
      </c>
      <c r="D883">
        <v>11.531537986111109</v>
      </c>
      <c r="E883">
        <f t="shared" si="52"/>
        <v>4.8412258101851839E-2</v>
      </c>
      <c r="F883">
        <f t="shared" si="53"/>
        <v>4.804807494212962E-2</v>
      </c>
      <c r="G883">
        <f t="shared" si="54"/>
        <v>1</v>
      </c>
      <c r="H883">
        <f t="shared" si="55"/>
        <v>0.58094709722222204</v>
      </c>
    </row>
    <row r="884" spans="1:8" x14ac:dyDescent="0.25">
      <c r="A884">
        <v>1076</v>
      </c>
      <c r="B884">
        <v>6</v>
      </c>
      <c r="C884">
        <v>11.679392500000001</v>
      </c>
      <c r="D884">
        <v>11.54850158333333</v>
      </c>
      <c r="E884">
        <f t="shared" si="52"/>
        <v>4.8664135416666671E-2</v>
      </c>
      <c r="F884">
        <f t="shared" si="53"/>
        <v>4.8118756597222208E-2</v>
      </c>
      <c r="G884">
        <f t="shared" si="54"/>
        <v>1</v>
      </c>
      <c r="H884">
        <f t="shared" si="55"/>
        <v>0.58396962500000005</v>
      </c>
    </row>
    <row r="885" spans="1:8" x14ac:dyDescent="0.25">
      <c r="A885">
        <v>1076</v>
      </c>
      <c r="B885">
        <v>7</v>
      </c>
      <c r="C885">
        <v>11.64673416666667</v>
      </c>
      <c r="D885">
        <v>10.53490281746028</v>
      </c>
      <c r="E885">
        <f t="shared" si="52"/>
        <v>4.8528059027777792E-2</v>
      </c>
      <c r="F885">
        <f t="shared" si="53"/>
        <v>4.3895428406084493E-2</v>
      </c>
      <c r="G885">
        <f t="shared" si="54"/>
        <v>1</v>
      </c>
      <c r="H885">
        <f t="shared" si="55"/>
        <v>0.58233670833333351</v>
      </c>
    </row>
    <row r="886" spans="1:8" x14ac:dyDescent="0.25">
      <c r="A886">
        <v>1076</v>
      </c>
      <c r="B886">
        <v>8</v>
      </c>
      <c r="C886">
        <v>11.61964361111111</v>
      </c>
      <c r="D886">
        <v>11.45671118357472</v>
      </c>
      <c r="E886">
        <f t="shared" si="52"/>
        <v>4.8415181712962961E-2</v>
      </c>
      <c r="F886">
        <f t="shared" si="53"/>
        <v>4.7736296598227999E-2</v>
      </c>
      <c r="G886">
        <f t="shared" si="54"/>
        <v>1</v>
      </c>
      <c r="H886">
        <f t="shared" si="55"/>
        <v>0.58098218055555551</v>
      </c>
    </row>
    <row r="887" spans="1:8" x14ac:dyDescent="0.25">
      <c r="A887">
        <v>1076</v>
      </c>
      <c r="B887">
        <v>9</v>
      </c>
      <c r="C887">
        <v>11.557048333333331</v>
      </c>
      <c r="D887">
        <v>10.33295773611111</v>
      </c>
      <c r="E887">
        <f t="shared" si="52"/>
        <v>4.8154368055555542E-2</v>
      </c>
      <c r="F887">
        <f t="shared" si="53"/>
        <v>4.3053990567129628E-2</v>
      </c>
      <c r="G887">
        <f t="shared" si="54"/>
        <v>1</v>
      </c>
      <c r="H887">
        <f t="shared" si="55"/>
        <v>0.57785241666666654</v>
      </c>
    </row>
    <row r="888" spans="1:8" x14ac:dyDescent="0.25">
      <c r="A888">
        <v>1076</v>
      </c>
      <c r="B888">
        <v>10</v>
      </c>
      <c r="C888">
        <v>11.84715083333333</v>
      </c>
      <c r="D888">
        <v>11.526291994949441</v>
      </c>
      <c r="E888">
        <f t="shared" si="52"/>
        <v>4.9363128472222212E-2</v>
      </c>
      <c r="F888">
        <f t="shared" si="53"/>
        <v>4.802621664562267E-2</v>
      </c>
      <c r="G888">
        <f t="shared" si="54"/>
        <v>1</v>
      </c>
      <c r="H888">
        <f t="shared" si="55"/>
        <v>0.59235754166666654</v>
      </c>
    </row>
    <row r="889" spans="1:8" x14ac:dyDescent="0.25">
      <c r="A889">
        <v>1076</v>
      </c>
      <c r="B889">
        <v>11</v>
      </c>
      <c r="C889">
        <v>11.91417388888889</v>
      </c>
      <c r="D889">
        <v>11.299479709595831</v>
      </c>
      <c r="E889">
        <f t="shared" si="52"/>
        <v>4.9642391203703708E-2</v>
      </c>
      <c r="F889">
        <f t="shared" si="53"/>
        <v>4.7081165456649289E-2</v>
      </c>
      <c r="G889">
        <f t="shared" si="54"/>
        <v>1</v>
      </c>
      <c r="H889">
        <f t="shared" si="55"/>
        <v>0.59570869444444452</v>
      </c>
    </row>
    <row r="890" spans="1:8" x14ac:dyDescent="0.25">
      <c r="A890">
        <v>1076</v>
      </c>
      <c r="B890">
        <v>12</v>
      </c>
      <c r="C890">
        <v>11.605634999999999</v>
      </c>
      <c r="D890">
        <v>11.51579601851833</v>
      </c>
      <c r="E890">
        <f t="shared" si="52"/>
        <v>4.8356812499999992E-2</v>
      </c>
      <c r="F890">
        <f t="shared" si="53"/>
        <v>4.7982483410493042E-2</v>
      </c>
      <c r="G890">
        <f t="shared" si="54"/>
        <v>1</v>
      </c>
      <c r="H890">
        <f t="shared" si="55"/>
        <v>0.58028174999999993</v>
      </c>
    </row>
    <row r="891" spans="1:8" x14ac:dyDescent="0.25">
      <c r="A891">
        <v>1077</v>
      </c>
      <c r="B891">
        <v>1</v>
      </c>
      <c r="C891">
        <v>10.323611111111111</v>
      </c>
      <c r="D891">
        <v>9.9669444444444437</v>
      </c>
      <c r="E891">
        <f t="shared" si="52"/>
        <v>4.3015046296296294E-2</v>
      </c>
      <c r="F891">
        <f t="shared" si="53"/>
        <v>4.1528935185185183E-2</v>
      </c>
      <c r="G891">
        <f t="shared" si="54"/>
        <v>1</v>
      </c>
      <c r="H891">
        <f t="shared" si="55"/>
        <v>0.51618055555555553</v>
      </c>
    </row>
    <row r="892" spans="1:8" x14ac:dyDescent="0.25">
      <c r="A892">
        <v>1077</v>
      </c>
      <c r="B892">
        <v>2</v>
      </c>
      <c r="C892">
        <v>10.93893805555556</v>
      </c>
      <c r="D892">
        <v>10.821642436868609</v>
      </c>
      <c r="E892">
        <f t="shared" si="52"/>
        <v>4.5578908564814835E-2</v>
      </c>
      <c r="F892">
        <f t="shared" si="53"/>
        <v>4.5090176820285877E-2</v>
      </c>
      <c r="G892">
        <f t="shared" si="54"/>
        <v>1</v>
      </c>
      <c r="H892">
        <f t="shared" si="55"/>
        <v>0.54694690277777802</v>
      </c>
    </row>
    <row r="893" spans="1:8" x14ac:dyDescent="0.25">
      <c r="A893">
        <v>1077</v>
      </c>
      <c r="B893">
        <v>3</v>
      </c>
      <c r="C893">
        <v>10.97629083333333</v>
      </c>
      <c r="D893">
        <v>10.93127765277778</v>
      </c>
      <c r="E893">
        <f t="shared" si="52"/>
        <v>4.5734545138888881E-2</v>
      </c>
      <c r="F893">
        <f t="shared" si="53"/>
        <v>4.5546990219907414E-2</v>
      </c>
      <c r="G893">
        <f t="shared" si="54"/>
        <v>1</v>
      </c>
      <c r="H893">
        <f t="shared" si="55"/>
        <v>0.54881454166666654</v>
      </c>
    </row>
    <row r="894" spans="1:8" x14ac:dyDescent="0.25">
      <c r="A894">
        <v>1077</v>
      </c>
      <c r="B894">
        <v>4</v>
      </c>
      <c r="C894">
        <v>10.94770555555556</v>
      </c>
      <c r="D894">
        <v>10.466133915343891</v>
      </c>
      <c r="E894">
        <f t="shared" si="52"/>
        <v>4.5615439814814834E-2</v>
      </c>
      <c r="F894">
        <f t="shared" si="53"/>
        <v>4.3608891313932883E-2</v>
      </c>
      <c r="G894">
        <f t="shared" si="54"/>
        <v>1</v>
      </c>
      <c r="H894">
        <f t="shared" si="55"/>
        <v>0.54738527777777801</v>
      </c>
    </row>
    <row r="895" spans="1:8" x14ac:dyDescent="0.25">
      <c r="A895">
        <v>1077</v>
      </c>
      <c r="B895">
        <v>5</v>
      </c>
      <c r="C895">
        <v>11.43016083333333</v>
      </c>
      <c r="D895">
        <v>10.958091874999999</v>
      </c>
      <c r="E895">
        <f t="shared" si="52"/>
        <v>4.7625670138888875E-2</v>
      </c>
      <c r="F895">
        <f t="shared" si="53"/>
        <v>4.5658716145833333E-2</v>
      </c>
      <c r="G895">
        <f t="shared" si="54"/>
        <v>1</v>
      </c>
      <c r="H895">
        <f t="shared" si="55"/>
        <v>0.57150804166666647</v>
      </c>
    </row>
    <row r="896" spans="1:8" x14ac:dyDescent="0.25">
      <c r="A896">
        <v>1077</v>
      </c>
      <c r="B896">
        <v>6</v>
      </c>
      <c r="C896">
        <v>10.95655472222222</v>
      </c>
      <c r="D896">
        <v>10.92766679166667</v>
      </c>
      <c r="E896">
        <f t="shared" si="52"/>
        <v>4.5652311342592587E-2</v>
      </c>
      <c r="F896">
        <f t="shared" si="53"/>
        <v>4.5531944965277793E-2</v>
      </c>
      <c r="G896">
        <f t="shared" si="54"/>
        <v>1</v>
      </c>
      <c r="H896">
        <f t="shared" si="55"/>
        <v>0.54782773611111102</v>
      </c>
    </row>
    <row r="897" spans="1:8" x14ac:dyDescent="0.25">
      <c r="A897">
        <v>1077</v>
      </c>
      <c r="B897">
        <v>7</v>
      </c>
      <c r="C897">
        <v>10.9561575</v>
      </c>
      <c r="D897">
        <v>10.834406625</v>
      </c>
      <c r="E897">
        <f t="shared" si="52"/>
        <v>4.5650656249999998E-2</v>
      </c>
      <c r="F897">
        <f t="shared" si="53"/>
        <v>4.5143360937499995E-2</v>
      </c>
      <c r="G897">
        <f t="shared" si="54"/>
        <v>1</v>
      </c>
      <c r="H897">
        <f t="shared" si="55"/>
        <v>0.54780787499999994</v>
      </c>
    </row>
    <row r="898" spans="1:8" x14ac:dyDescent="0.25">
      <c r="A898">
        <v>1077</v>
      </c>
      <c r="B898">
        <v>8</v>
      </c>
      <c r="C898">
        <v>10.960802777777779</v>
      </c>
      <c r="D898">
        <v>10.93128032608695</v>
      </c>
      <c r="E898">
        <f t="shared" ref="E898:E961" si="56">+C898/20/12</f>
        <v>4.5670011574074076E-2</v>
      </c>
      <c r="F898">
        <f t="shared" ref="F898:F961" si="57">+D898/20/12</f>
        <v>4.5547001358695625E-2</v>
      </c>
      <c r="G898">
        <f t="shared" ref="G898:G961" si="58">+ROUNDUP(E898*12,0)</f>
        <v>1</v>
      </c>
      <c r="H898">
        <f t="shared" ref="H898:H961" si="59">+E898*12</f>
        <v>0.54804013888888892</v>
      </c>
    </row>
    <row r="899" spans="1:8" x14ac:dyDescent="0.25">
      <c r="A899">
        <v>1077</v>
      </c>
      <c r="B899">
        <v>9</v>
      </c>
      <c r="C899">
        <v>11.86287583333333</v>
      </c>
      <c r="D899">
        <v>11.00450354166667</v>
      </c>
      <c r="E899">
        <f t="shared" si="56"/>
        <v>4.9428649305555544E-2</v>
      </c>
      <c r="F899">
        <f t="shared" si="57"/>
        <v>4.5852098090277793E-2</v>
      </c>
      <c r="G899">
        <f t="shared" si="58"/>
        <v>1</v>
      </c>
      <c r="H899">
        <f t="shared" si="59"/>
        <v>0.59314379166666653</v>
      </c>
    </row>
    <row r="900" spans="1:8" x14ac:dyDescent="0.25">
      <c r="A900">
        <v>1077</v>
      </c>
      <c r="B900">
        <v>10</v>
      </c>
      <c r="C900">
        <v>10.94105722222222</v>
      </c>
      <c r="D900">
        <v>10.8904037752525</v>
      </c>
      <c r="E900">
        <f t="shared" si="56"/>
        <v>4.5587738425925915E-2</v>
      </c>
      <c r="F900">
        <f t="shared" si="57"/>
        <v>4.5376682396885415E-2</v>
      </c>
      <c r="G900">
        <f t="shared" si="58"/>
        <v>1</v>
      </c>
      <c r="H900">
        <f t="shared" si="59"/>
        <v>0.54705286111111096</v>
      </c>
    </row>
    <row r="901" spans="1:8" x14ac:dyDescent="0.25">
      <c r="A901">
        <v>1077</v>
      </c>
      <c r="B901">
        <v>11</v>
      </c>
      <c r="C901">
        <v>12.187718333333329</v>
      </c>
      <c r="D901">
        <v>10.97418419191917</v>
      </c>
      <c r="E901">
        <f t="shared" si="56"/>
        <v>5.0782159722222199E-2</v>
      </c>
      <c r="F901">
        <f t="shared" si="57"/>
        <v>4.5725767466329871E-2</v>
      </c>
      <c r="G901">
        <f t="shared" si="58"/>
        <v>1</v>
      </c>
      <c r="H901">
        <f t="shared" si="59"/>
        <v>0.60938591666666642</v>
      </c>
    </row>
    <row r="902" spans="1:8" x14ac:dyDescent="0.25">
      <c r="A902">
        <v>1077</v>
      </c>
      <c r="B902">
        <v>12</v>
      </c>
      <c r="C902">
        <v>11.723117500000001</v>
      </c>
      <c r="D902">
        <v>10.86299707671945</v>
      </c>
      <c r="E902">
        <f t="shared" si="56"/>
        <v>4.8846322916666664E-2</v>
      </c>
      <c r="F902">
        <f t="shared" si="57"/>
        <v>4.5262487819664375E-2</v>
      </c>
      <c r="G902">
        <f t="shared" si="58"/>
        <v>1</v>
      </c>
      <c r="H902">
        <f t="shared" si="59"/>
        <v>0.58615587499999999</v>
      </c>
    </row>
    <row r="903" spans="1:8" x14ac:dyDescent="0.25">
      <c r="A903">
        <v>1078</v>
      </c>
      <c r="B903">
        <v>1</v>
      </c>
      <c r="C903">
        <v>10.240555555555554</v>
      </c>
      <c r="D903">
        <v>9.4386111111111113</v>
      </c>
      <c r="E903">
        <f t="shared" si="56"/>
        <v>4.2668981481481481E-2</v>
      </c>
      <c r="F903">
        <f t="shared" si="57"/>
        <v>3.9327546296296298E-2</v>
      </c>
      <c r="G903">
        <f t="shared" si="58"/>
        <v>1</v>
      </c>
      <c r="H903">
        <f t="shared" si="59"/>
        <v>0.51202777777777775</v>
      </c>
    </row>
    <row r="904" spans="1:8" x14ac:dyDescent="0.25">
      <c r="A904">
        <v>1078</v>
      </c>
      <c r="B904">
        <v>2</v>
      </c>
      <c r="C904">
        <v>11.950258333333331</v>
      </c>
      <c r="D904">
        <v>11.494248901515</v>
      </c>
      <c r="E904">
        <f t="shared" si="56"/>
        <v>4.979274305555554E-2</v>
      </c>
      <c r="F904">
        <f t="shared" si="57"/>
        <v>4.78927037563125E-2</v>
      </c>
      <c r="G904">
        <f t="shared" si="58"/>
        <v>1</v>
      </c>
      <c r="H904">
        <f t="shared" si="59"/>
        <v>0.5975129166666665</v>
      </c>
    </row>
    <row r="905" spans="1:8" x14ac:dyDescent="0.25">
      <c r="A905">
        <v>1078</v>
      </c>
      <c r="B905">
        <v>3</v>
      </c>
      <c r="C905">
        <v>9.3335477777777776</v>
      </c>
      <c r="D905">
        <v>6.099845208333333</v>
      </c>
      <c r="E905">
        <f t="shared" si="56"/>
        <v>3.8889782407407404E-2</v>
      </c>
      <c r="F905">
        <f t="shared" si="57"/>
        <v>2.5416021701388888E-2</v>
      </c>
      <c r="G905">
        <f t="shared" si="58"/>
        <v>1</v>
      </c>
      <c r="H905">
        <f t="shared" si="59"/>
        <v>0.46667738888888888</v>
      </c>
    </row>
    <row r="906" spans="1:8" x14ac:dyDescent="0.25">
      <c r="A906">
        <v>1078</v>
      </c>
      <c r="B906">
        <v>4</v>
      </c>
      <c r="C906">
        <v>6.6681197222222224</v>
      </c>
      <c r="D906">
        <v>5.4587980291002776</v>
      </c>
      <c r="E906">
        <f t="shared" si="56"/>
        <v>2.7783832175925924E-2</v>
      </c>
      <c r="F906">
        <f t="shared" si="57"/>
        <v>2.2744991787917824E-2</v>
      </c>
      <c r="G906">
        <f t="shared" si="58"/>
        <v>1</v>
      </c>
      <c r="H906">
        <f t="shared" si="59"/>
        <v>0.33340598611111111</v>
      </c>
    </row>
    <row r="907" spans="1:8" x14ac:dyDescent="0.25">
      <c r="A907">
        <v>1078</v>
      </c>
      <c r="B907">
        <v>5</v>
      </c>
      <c r="C907">
        <v>11.950294444444451</v>
      </c>
      <c r="D907">
        <v>9.1886168749999992</v>
      </c>
      <c r="E907">
        <f t="shared" si="56"/>
        <v>4.9792893518518545E-2</v>
      </c>
      <c r="F907">
        <f t="shared" si="57"/>
        <v>3.8285903645833334E-2</v>
      </c>
      <c r="G907">
        <f t="shared" si="58"/>
        <v>1</v>
      </c>
      <c r="H907">
        <f t="shared" si="59"/>
        <v>0.59751472222222257</v>
      </c>
    </row>
    <row r="908" spans="1:8" x14ac:dyDescent="0.25">
      <c r="A908">
        <v>1078</v>
      </c>
      <c r="B908">
        <v>6</v>
      </c>
      <c r="C908">
        <v>11.979952777777781</v>
      </c>
      <c r="D908">
        <v>11.74944426388889</v>
      </c>
      <c r="E908">
        <f t="shared" si="56"/>
        <v>4.9916469907407418E-2</v>
      </c>
      <c r="F908">
        <f t="shared" si="57"/>
        <v>4.8956017766203709E-2</v>
      </c>
      <c r="G908">
        <f t="shared" si="58"/>
        <v>1</v>
      </c>
      <c r="H908">
        <f t="shared" si="59"/>
        <v>0.59899763888888902</v>
      </c>
    </row>
    <row r="909" spans="1:8" x14ac:dyDescent="0.25">
      <c r="A909">
        <v>1078</v>
      </c>
      <c r="B909">
        <v>7</v>
      </c>
      <c r="C909">
        <v>11.70518361111111</v>
      </c>
      <c r="D909">
        <v>11.108222526455</v>
      </c>
      <c r="E909">
        <f t="shared" si="56"/>
        <v>4.8771598379629626E-2</v>
      </c>
      <c r="F909">
        <f t="shared" si="57"/>
        <v>4.6284260526895833E-2</v>
      </c>
      <c r="G909">
        <f t="shared" si="58"/>
        <v>1</v>
      </c>
      <c r="H909">
        <f t="shared" si="59"/>
        <v>0.58525918055555548</v>
      </c>
    </row>
    <row r="910" spans="1:8" x14ac:dyDescent="0.25">
      <c r="A910">
        <v>1078</v>
      </c>
      <c r="B910">
        <v>8</v>
      </c>
      <c r="C910">
        <v>11.926356388888889</v>
      </c>
      <c r="D910">
        <v>11.63946997584528</v>
      </c>
      <c r="E910">
        <f t="shared" si="56"/>
        <v>4.9693151620370378E-2</v>
      </c>
      <c r="F910">
        <f t="shared" si="57"/>
        <v>4.8497791566021999E-2</v>
      </c>
      <c r="G910">
        <f t="shared" si="58"/>
        <v>1</v>
      </c>
      <c r="H910">
        <f t="shared" si="59"/>
        <v>0.59631781944444451</v>
      </c>
    </row>
    <row r="911" spans="1:8" x14ac:dyDescent="0.25">
      <c r="A911">
        <v>1078</v>
      </c>
      <c r="B911">
        <v>9</v>
      </c>
      <c r="C911">
        <v>11.874990555555559</v>
      </c>
      <c r="D911">
        <v>11.630459319444441</v>
      </c>
      <c r="E911">
        <f t="shared" si="56"/>
        <v>4.9479127314814832E-2</v>
      </c>
      <c r="F911">
        <f t="shared" si="57"/>
        <v>4.8460247164351843E-2</v>
      </c>
      <c r="G911">
        <f t="shared" si="58"/>
        <v>1</v>
      </c>
      <c r="H911">
        <f t="shared" si="59"/>
        <v>0.59374952777777801</v>
      </c>
    </row>
    <row r="912" spans="1:8" x14ac:dyDescent="0.25">
      <c r="A912">
        <v>1078</v>
      </c>
      <c r="B912">
        <v>10</v>
      </c>
      <c r="C912">
        <v>11.70940722222222</v>
      </c>
      <c r="D912">
        <v>11.65006046717167</v>
      </c>
      <c r="E912">
        <f t="shared" si="56"/>
        <v>4.8789196759259246E-2</v>
      </c>
      <c r="F912">
        <f t="shared" si="57"/>
        <v>4.8541918613215294E-2</v>
      </c>
      <c r="G912">
        <f t="shared" si="58"/>
        <v>1</v>
      </c>
      <c r="H912">
        <f t="shared" si="59"/>
        <v>0.58547036111111095</v>
      </c>
    </row>
    <row r="913" spans="1:8" x14ac:dyDescent="0.25">
      <c r="A913">
        <v>1078</v>
      </c>
      <c r="B913">
        <v>11</v>
      </c>
      <c r="C913">
        <v>11.885657222222219</v>
      </c>
      <c r="D913">
        <v>11.64625102272722</v>
      </c>
      <c r="E913">
        <f t="shared" si="56"/>
        <v>4.9523571759259248E-2</v>
      </c>
      <c r="F913">
        <f t="shared" si="57"/>
        <v>4.8526045928030087E-2</v>
      </c>
      <c r="G913">
        <f t="shared" si="58"/>
        <v>1</v>
      </c>
      <c r="H913">
        <f t="shared" si="59"/>
        <v>0.59428286111111095</v>
      </c>
    </row>
    <row r="914" spans="1:8" x14ac:dyDescent="0.25">
      <c r="A914">
        <v>1078</v>
      </c>
      <c r="B914">
        <v>12</v>
      </c>
      <c r="C914">
        <v>11.900966666666671</v>
      </c>
      <c r="D914">
        <v>11.596900701058059</v>
      </c>
      <c r="E914">
        <f t="shared" si="56"/>
        <v>4.9587361111111124E-2</v>
      </c>
      <c r="F914">
        <f t="shared" si="57"/>
        <v>4.8320419587741914E-2</v>
      </c>
      <c r="G914">
        <f t="shared" si="58"/>
        <v>1</v>
      </c>
      <c r="H914">
        <f t="shared" si="59"/>
        <v>0.59504833333333351</v>
      </c>
    </row>
    <row r="915" spans="1:8" x14ac:dyDescent="0.25">
      <c r="A915">
        <v>1079</v>
      </c>
      <c r="B915">
        <v>1</v>
      </c>
      <c r="C915">
        <v>10.101111111111113</v>
      </c>
      <c r="D915">
        <v>9.9638888888888903</v>
      </c>
      <c r="E915">
        <f t="shared" si="56"/>
        <v>4.2087962962962966E-2</v>
      </c>
      <c r="F915">
        <f t="shared" si="57"/>
        <v>4.1516203703703708E-2</v>
      </c>
      <c r="G915">
        <f t="shared" si="58"/>
        <v>1</v>
      </c>
      <c r="H915">
        <f t="shared" si="59"/>
        <v>0.50505555555555559</v>
      </c>
    </row>
    <row r="916" spans="1:8" x14ac:dyDescent="0.25">
      <c r="A916">
        <v>1079</v>
      </c>
      <c r="B916">
        <v>2</v>
      </c>
      <c r="C916">
        <v>10.96555833333333</v>
      </c>
      <c r="D916">
        <v>10.71842530303028</v>
      </c>
      <c r="E916">
        <f t="shared" si="56"/>
        <v>4.5689826388888875E-2</v>
      </c>
      <c r="F916">
        <f t="shared" si="57"/>
        <v>4.4660105429292829E-2</v>
      </c>
      <c r="G916">
        <f t="shared" si="58"/>
        <v>1</v>
      </c>
      <c r="H916">
        <f t="shared" si="59"/>
        <v>0.54827791666666648</v>
      </c>
    </row>
    <row r="917" spans="1:8" x14ac:dyDescent="0.25">
      <c r="A917">
        <v>1079</v>
      </c>
      <c r="B917">
        <v>3</v>
      </c>
      <c r="C917">
        <v>11.3080075</v>
      </c>
      <c r="D917">
        <v>10.958767847222219</v>
      </c>
      <c r="E917">
        <f t="shared" si="56"/>
        <v>4.7116697916666672E-2</v>
      </c>
      <c r="F917">
        <f t="shared" si="57"/>
        <v>4.5661532696759245E-2</v>
      </c>
      <c r="G917">
        <f t="shared" si="58"/>
        <v>1</v>
      </c>
      <c r="H917">
        <f t="shared" si="59"/>
        <v>0.56540037500000007</v>
      </c>
    </row>
    <row r="918" spans="1:8" x14ac:dyDescent="0.25">
      <c r="A918">
        <v>1079</v>
      </c>
      <c r="B918">
        <v>4</v>
      </c>
      <c r="C918">
        <v>10.98594555555556</v>
      </c>
      <c r="D918">
        <v>10.87883834656083</v>
      </c>
      <c r="E918">
        <f t="shared" si="56"/>
        <v>4.5774773148148172E-2</v>
      </c>
      <c r="F918">
        <f t="shared" si="57"/>
        <v>4.532849311067013E-2</v>
      </c>
      <c r="G918">
        <f t="shared" si="58"/>
        <v>1</v>
      </c>
      <c r="H918">
        <f t="shared" si="59"/>
        <v>0.54929727777777804</v>
      </c>
    </row>
    <row r="919" spans="1:8" x14ac:dyDescent="0.25">
      <c r="A919">
        <v>1079</v>
      </c>
      <c r="B919">
        <v>5</v>
      </c>
      <c r="C919">
        <v>11.01215861111111</v>
      </c>
      <c r="D919">
        <v>10.957111888888891</v>
      </c>
      <c r="E919">
        <f t="shared" si="56"/>
        <v>4.5883994212962957E-2</v>
      </c>
      <c r="F919">
        <f t="shared" si="57"/>
        <v>4.565463287037038E-2</v>
      </c>
      <c r="G919">
        <f t="shared" si="58"/>
        <v>1</v>
      </c>
      <c r="H919">
        <f t="shared" si="59"/>
        <v>0.55060793055555546</v>
      </c>
    </row>
    <row r="920" spans="1:8" x14ac:dyDescent="0.25">
      <c r="A920">
        <v>1079</v>
      </c>
      <c r="B920">
        <v>6</v>
      </c>
      <c r="C920">
        <v>11.01984805555556</v>
      </c>
      <c r="D920">
        <v>10.946151319444439</v>
      </c>
      <c r="E920">
        <f t="shared" si="56"/>
        <v>4.5916033564814829E-2</v>
      </c>
      <c r="F920">
        <f t="shared" si="57"/>
        <v>4.5608963831018499E-2</v>
      </c>
      <c r="G920">
        <f t="shared" si="58"/>
        <v>1</v>
      </c>
      <c r="H920">
        <f t="shared" si="59"/>
        <v>0.55099240277777795</v>
      </c>
    </row>
    <row r="921" spans="1:8" x14ac:dyDescent="0.25">
      <c r="A921">
        <v>1079</v>
      </c>
      <c r="B921">
        <v>7</v>
      </c>
      <c r="C921">
        <v>10.99918722222222</v>
      </c>
      <c r="D921">
        <v>10.444152552909999</v>
      </c>
      <c r="E921">
        <f t="shared" si="56"/>
        <v>4.5829946759259249E-2</v>
      </c>
      <c r="F921">
        <f t="shared" si="57"/>
        <v>4.3517302303791666E-2</v>
      </c>
      <c r="G921">
        <f t="shared" si="58"/>
        <v>1</v>
      </c>
      <c r="H921">
        <f t="shared" si="59"/>
        <v>0.54995936111111099</v>
      </c>
    </row>
    <row r="922" spans="1:8" x14ac:dyDescent="0.25">
      <c r="A922">
        <v>1079</v>
      </c>
      <c r="B922">
        <v>8</v>
      </c>
      <c r="C922">
        <v>11.01850388888889</v>
      </c>
      <c r="D922">
        <v>10.97077097826083</v>
      </c>
      <c r="E922">
        <f t="shared" si="56"/>
        <v>4.5910432870370381E-2</v>
      </c>
      <c r="F922">
        <f t="shared" si="57"/>
        <v>4.5711545742753462E-2</v>
      </c>
      <c r="G922">
        <f t="shared" si="58"/>
        <v>1</v>
      </c>
      <c r="H922">
        <f t="shared" si="59"/>
        <v>0.55092519444444454</v>
      </c>
    </row>
    <row r="923" spans="1:8" x14ac:dyDescent="0.25">
      <c r="A923">
        <v>1079</v>
      </c>
      <c r="B923">
        <v>9</v>
      </c>
      <c r="C923">
        <v>10.967126944444439</v>
      </c>
      <c r="D923">
        <v>10.922806069444441</v>
      </c>
      <c r="E923">
        <f t="shared" si="56"/>
        <v>4.5696362268518496E-2</v>
      </c>
      <c r="F923">
        <f t="shared" si="57"/>
        <v>4.5511691956018507E-2</v>
      </c>
      <c r="G923">
        <f t="shared" si="58"/>
        <v>1</v>
      </c>
      <c r="H923">
        <f t="shared" si="59"/>
        <v>0.54835634722222193</v>
      </c>
    </row>
    <row r="924" spans="1:8" x14ac:dyDescent="0.25">
      <c r="A924">
        <v>1079</v>
      </c>
      <c r="B924">
        <v>10</v>
      </c>
      <c r="C924">
        <v>10.973869444444439</v>
      </c>
      <c r="D924">
        <v>10.92616905303028</v>
      </c>
      <c r="E924">
        <f t="shared" si="56"/>
        <v>4.5724456018518496E-2</v>
      </c>
      <c r="F924">
        <f t="shared" si="57"/>
        <v>4.5525704387626174E-2</v>
      </c>
      <c r="G924">
        <f t="shared" si="58"/>
        <v>1</v>
      </c>
      <c r="H924">
        <f t="shared" si="59"/>
        <v>0.54869347222222198</v>
      </c>
    </row>
    <row r="925" spans="1:8" x14ac:dyDescent="0.25">
      <c r="A925">
        <v>1079</v>
      </c>
      <c r="B925">
        <v>11</v>
      </c>
      <c r="C925">
        <v>10.99133055555555</v>
      </c>
      <c r="D925">
        <v>10.93817244949472</v>
      </c>
      <c r="E925">
        <f t="shared" si="56"/>
        <v>4.5797210648148123E-2</v>
      </c>
      <c r="F925">
        <f t="shared" si="57"/>
        <v>4.5575718539561334E-2</v>
      </c>
      <c r="G925">
        <f t="shared" si="58"/>
        <v>1</v>
      </c>
      <c r="H925">
        <f t="shared" si="59"/>
        <v>0.54956652777777748</v>
      </c>
    </row>
    <row r="926" spans="1:8" x14ac:dyDescent="0.25">
      <c r="A926">
        <v>1079</v>
      </c>
      <c r="B926">
        <v>12</v>
      </c>
      <c r="C926">
        <v>10.97043027777778</v>
      </c>
      <c r="D926">
        <v>10.904301626983891</v>
      </c>
      <c r="E926">
        <f t="shared" si="56"/>
        <v>4.5710126157407417E-2</v>
      </c>
      <c r="F926">
        <f t="shared" si="57"/>
        <v>4.5434590112432872E-2</v>
      </c>
      <c r="G926">
        <f t="shared" si="58"/>
        <v>1</v>
      </c>
      <c r="H926">
        <f t="shared" si="59"/>
        <v>0.54852151388888903</v>
      </c>
    </row>
    <row r="927" spans="1:8" x14ac:dyDescent="0.25">
      <c r="A927">
        <v>1080</v>
      </c>
      <c r="B927">
        <v>1</v>
      </c>
      <c r="C927">
        <v>10.048055555555555</v>
      </c>
      <c r="D927">
        <v>9.8322222222222209</v>
      </c>
      <c r="E927">
        <f t="shared" si="56"/>
        <v>4.1866898148148146E-2</v>
      </c>
      <c r="F927">
        <f t="shared" si="57"/>
        <v>4.096759259259259E-2</v>
      </c>
      <c r="G927">
        <f t="shared" si="58"/>
        <v>1</v>
      </c>
      <c r="H927">
        <f t="shared" si="59"/>
        <v>0.50240277777777775</v>
      </c>
    </row>
    <row r="928" spans="1:8" x14ac:dyDescent="0.25">
      <c r="A928">
        <v>1080</v>
      </c>
      <c r="B928">
        <v>2</v>
      </c>
      <c r="C928">
        <v>11.129524999999999</v>
      </c>
      <c r="D928">
        <v>10.58393566919167</v>
      </c>
      <c r="E928">
        <f t="shared" si="56"/>
        <v>4.6373020833333334E-2</v>
      </c>
      <c r="F928">
        <f t="shared" si="57"/>
        <v>4.4099731954965284E-2</v>
      </c>
      <c r="G928">
        <f t="shared" si="58"/>
        <v>1</v>
      </c>
      <c r="H928">
        <f t="shared" si="59"/>
        <v>0.55647625000000001</v>
      </c>
    </row>
    <row r="929" spans="1:8" x14ac:dyDescent="0.25">
      <c r="A929">
        <v>1080</v>
      </c>
      <c r="B929">
        <v>3</v>
      </c>
      <c r="C929">
        <v>11.16150166666667</v>
      </c>
      <c r="D929">
        <v>11.01897061111111</v>
      </c>
      <c r="E929">
        <f t="shared" si="56"/>
        <v>4.6506256944444456E-2</v>
      </c>
      <c r="F929">
        <f t="shared" si="57"/>
        <v>4.591237754629629E-2</v>
      </c>
      <c r="G929">
        <f t="shared" si="58"/>
        <v>1</v>
      </c>
      <c r="H929">
        <f t="shared" si="59"/>
        <v>0.55807508333333344</v>
      </c>
    </row>
    <row r="930" spans="1:8" x14ac:dyDescent="0.25">
      <c r="A930">
        <v>1080</v>
      </c>
      <c r="B930">
        <v>4</v>
      </c>
      <c r="C930">
        <v>11.15649638888889</v>
      </c>
      <c r="D930">
        <v>10.67338766666667</v>
      </c>
      <c r="E930">
        <f t="shared" si="56"/>
        <v>4.6485401620370376E-2</v>
      </c>
      <c r="F930">
        <f t="shared" si="57"/>
        <v>4.4472448611111125E-2</v>
      </c>
      <c r="G930">
        <f t="shared" si="58"/>
        <v>1</v>
      </c>
      <c r="H930">
        <f t="shared" si="59"/>
        <v>0.55782481944444451</v>
      </c>
    </row>
    <row r="931" spans="1:8" x14ac:dyDescent="0.25">
      <c r="A931">
        <v>1080</v>
      </c>
      <c r="B931">
        <v>5</v>
      </c>
      <c r="C931">
        <v>10.88285555555556</v>
      </c>
      <c r="D931">
        <v>10.765687840908891</v>
      </c>
      <c r="E931">
        <f t="shared" si="56"/>
        <v>4.53452314814815E-2</v>
      </c>
      <c r="F931">
        <f t="shared" si="57"/>
        <v>4.4857032670453711E-2</v>
      </c>
      <c r="G931">
        <f t="shared" si="58"/>
        <v>1</v>
      </c>
      <c r="H931">
        <f t="shared" si="59"/>
        <v>0.54414277777777798</v>
      </c>
    </row>
    <row r="932" spans="1:8" x14ac:dyDescent="0.25">
      <c r="A932">
        <v>1080</v>
      </c>
      <c r="B932">
        <v>6</v>
      </c>
      <c r="C932">
        <v>10.890775833333331</v>
      </c>
      <c r="D932">
        <v>10.667683555555559</v>
      </c>
      <c r="E932">
        <f t="shared" si="56"/>
        <v>4.5378232638888877E-2</v>
      </c>
      <c r="F932">
        <f t="shared" si="57"/>
        <v>4.444868148148149E-2</v>
      </c>
      <c r="G932">
        <f t="shared" si="58"/>
        <v>1</v>
      </c>
      <c r="H932">
        <f t="shared" si="59"/>
        <v>0.54453879166666652</v>
      </c>
    </row>
    <row r="933" spans="1:8" x14ac:dyDescent="0.25">
      <c r="A933">
        <v>1080</v>
      </c>
      <c r="B933">
        <v>7</v>
      </c>
      <c r="C933">
        <v>10.88532222222222</v>
      </c>
      <c r="D933">
        <v>10.633413624999999</v>
      </c>
      <c r="E933">
        <f t="shared" si="56"/>
        <v>4.5355509259259248E-2</v>
      </c>
      <c r="F933">
        <f t="shared" si="57"/>
        <v>4.4305890104166662E-2</v>
      </c>
      <c r="G933">
        <f t="shared" si="58"/>
        <v>1</v>
      </c>
      <c r="H933">
        <f t="shared" si="59"/>
        <v>0.54426611111111101</v>
      </c>
    </row>
    <row r="934" spans="1:8" x14ac:dyDescent="0.25">
      <c r="A934">
        <v>1080</v>
      </c>
      <c r="B934">
        <v>8</v>
      </c>
      <c r="C934">
        <v>10.890195555555559</v>
      </c>
      <c r="D934">
        <v>10.841028804347779</v>
      </c>
      <c r="E934">
        <f t="shared" si="56"/>
        <v>4.5375814814814834E-2</v>
      </c>
      <c r="F934">
        <f t="shared" si="57"/>
        <v>4.5170953351449078E-2</v>
      </c>
      <c r="G934">
        <f t="shared" si="58"/>
        <v>1</v>
      </c>
      <c r="H934">
        <f t="shared" si="59"/>
        <v>0.54450977777777798</v>
      </c>
    </row>
    <row r="935" spans="1:8" x14ac:dyDescent="0.25">
      <c r="A935">
        <v>1080</v>
      </c>
      <c r="B935">
        <v>9</v>
      </c>
      <c r="C935">
        <v>10.854091666666671</v>
      </c>
      <c r="D935">
        <v>10.75837754166667</v>
      </c>
      <c r="E935">
        <f t="shared" si="56"/>
        <v>4.5225381944444455E-2</v>
      </c>
      <c r="F935">
        <f t="shared" si="57"/>
        <v>4.4826573090277794E-2</v>
      </c>
      <c r="G935">
        <f t="shared" si="58"/>
        <v>1</v>
      </c>
      <c r="H935">
        <f t="shared" si="59"/>
        <v>0.54270458333333349</v>
      </c>
    </row>
    <row r="936" spans="1:8" x14ac:dyDescent="0.25">
      <c r="A936">
        <v>1080</v>
      </c>
      <c r="B936">
        <v>10</v>
      </c>
      <c r="C936">
        <v>10.859242500000001</v>
      </c>
      <c r="D936">
        <v>10.766313939393889</v>
      </c>
      <c r="E936">
        <f t="shared" si="56"/>
        <v>4.5246843750000008E-2</v>
      </c>
      <c r="F936">
        <f t="shared" si="57"/>
        <v>4.4859641414141206E-2</v>
      </c>
      <c r="G936">
        <f t="shared" si="58"/>
        <v>1</v>
      </c>
      <c r="H936">
        <f t="shared" si="59"/>
        <v>0.54296212500000007</v>
      </c>
    </row>
    <row r="937" spans="1:8" x14ac:dyDescent="0.25">
      <c r="A937">
        <v>1080</v>
      </c>
      <c r="B937">
        <v>11</v>
      </c>
      <c r="C937">
        <v>10.86219805555556</v>
      </c>
      <c r="D937">
        <v>10.500492391304171</v>
      </c>
      <c r="E937">
        <f t="shared" si="56"/>
        <v>4.5259158564814828E-2</v>
      </c>
      <c r="F937">
        <f t="shared" si="57"/>
        <v>4.3752051630434045E-2</v>
      </c>
      <c r="G937">
        <f t="shared" si="58"/>
        <v>1</v>
      </c>
      <c r="H937">
        <f t="shared" si="59"/>
        <v>0.54310990277777793</v>
      </c>
    </row>
    <row r="938" spans="1:8" x14ac:dyDescent="0.25">
      <c r="A938">
        <v>1080</v>
      </c>
      <c r="B938">
        <v>12</v>
      </c>
      <c r="C938">
        <v>11.001389722222219</v>
      </c>
      <c r="D938">
        <v>10.77641406084639</v>
      </c>
      <c r="E938">
        <f t="shared" si="56"/>
        <v>4.5839123842592581E-2</v>
      </c>
      <c r="F938">
        <f t="shared" si="57"/>
        <v>4.4901725253526627E-2</v>
      </c>
      <c r="G938">
        <f t="shared" si="58"/>
        <v>1</v>
      </c>
      <c r="H938">
        <f t="shared" si="59"/>
        <v>0.55006948611111095</v>
      </c>
    </row>
    <row r="939" spans="1:8" x14ac:dyDescent="0.25">
      <c r="A939">
        <v>1081</v>
      </c>
      <c r="B939">
        <v>1</v>
      </c>
      <c r="C939">
        <v>9.9047222222222224</v>
      </c>
      <c r="D939">
        <v>6.5911111111111103</v>
      </c>
      <c r="E939">
        <f t="shared" si="56"/>
        <v>4.1269675925925925E-2</v>
      </c>
      <c r="F939">
        <f t="shared" si="57"/>
        <v>2.7462962962962956E-2</v>
      </c>
      <c r="G939">
        <f t="shared" si="58"/>
        <v>1</v>
      </c>
      <c r="H939">
        <f t="shared" si="59"/>
        <v>0.4952361111111111</v>
      </c>
    </row>
    <row r="940" spans="1:8" x14ac:dyDescent="0.25">
      <c r="A940">
        <v>1081</v>
      </c>
      <c r="B940">
        <v>2</v>
      </c>
      <c r="C940">
        <v>7.8132852777777781</v>
      </c>
      <c r="D940">
        <v>6.5436019065655557</v>
      </c>
      <c r="E940">
        <f t="shared" si="56"/>
        <v>3.2555355324074074E-2</v>
      </c>
      <c r="F940">
        <f t="shared" si="57"/>
        <v>2.7265007944023149E-2</v>
      </c>
      <c r="G940">
        <f t="shared" si="58"/>
        <v>1</v>
      </c>
      <c r="H940">
        <f t="shared" si="59"/>
        <v>0.39066426388888886</v>
      </c>
    </row>
    <row r="941" spans="1:8" x14ac:dyDescent="0.25">
      <c r="A941">
        <v>1081</v>
      </c>
      <c r="B941">
        <v>3</v>
      </c>
      <c r="C941">
        <v>9.2299163888888884</v>
      </c>
      <c r="D941">
        <v>7.1383724722222226</v>
      </c>
      <c r="E941">
        <f t="shared" si="56"/>
        <v>3.84579849537037E-2</v>
      </c>
      <c r="F941">
        <f t="shared" si="57"/>
        <v>2.9743218634259262E-2</v>
      </c>
      <c r="G941">
        <f t="shared" si="58"/>
        <v>1</v>
      </c>
      <c r="H941">
        <f t="shared" si="59"/>
        <v>0.4614958194444444</v>
      </c>
    </row>
    <row r="942" spans="1:8" x14ac:dyDescent="0.25">
      <c r="A942">
        <v>1081</v>
      </c>
      <c r="B942">
        <v>4</v>
      </c>
      <c r="C942">
        <v>10.54255583333333</v>
      </c>
      <c r="D942">
        <v>6.7684606084655554</v>
      </c>
      <c r="E942">
        <f t="shared" si="56"/>
        <v>4.3927315972222207E-2</v>
      </c>
      <c r="F942">
        <f t="shared" si="57"/>
        <v>2.8201919201939814E-2</v>
      </c>
      <c r="G942">
        <f t="shared" si="58"/>
        <v>1</v>
      </c>
      <c r="H942">
        <f t="shared" si="59"/>
        <v>0.52712779166666646</v>
      </c>
    </row>
    <row r="943" spans="1:8" x14ac:dyDescent="0.25">
      <c r="A943">
        <v>1081</v>
      </c>
      <c r="B943">
        <v>5</v>
      </c>
      <c r="C943">
        <v>7.2805055555555551</v>
      </c>
      <c r="D943">
        <v>6.9504918194444443</v>
      </c>
      <c r="E943">
        <f t="shared" si="56"/>
        <v>3.0335439814814815E-2</v>
      </c>
      <c r="F943">
        <f t="shared" si="57"/>
        <v>2.8960382581018518E-2</v>
      </c>
      <c r="G943">
        <f t="shared" si="58"/>
        <v>1</v>
      </c>
      <c r="H943">
        <f t="shared" si="59"/>
        <v>0.36402527777777777</v>
      </c>
    </row>
    <row r="944" spans="1:8" x14ac:dyDescent="0.25">
      <c r="A944">
        <v>1081</v>
      </c>
      <c r="B944">
        <v>6</v>
      </c>
      <c r="C944">
        <v>9.6881119444444437</v>
      </c>
      <c r="D944">
        <v>6.9071535138888889</v>
      </c>
      <c r="E944">
        <f t="shared" si="56"/>
        <v>4.0367133101851853E-2</v>
      </c>
      <c r="F944">
        <f t="shared" si="57"/>
        <v>2.877980630787037E-2</v>
      </c>
      <c r="G944">
        <f t="shared" si="58"/>
        <v>1</v>
      </c>
      <c r="H944">
        <f t="shared" si="59"/>
        <v>0.48440559722222221</v>
      </c>
    </row>
    <row r="945" spans="1:8" x14ac:dyDescent="0.25">
      <c r="A945">
        <v>1081</v>
      </c>
      <c r="B945">
        <v>7</v>
      </c>
      <c r="C945">
        <v>12.060656944444441</v>
      </c>
      <c r="D945">
        <v>7.3651673809522222</v>
      </c>
      <c r="E945">
        <f t="shared" si="56"/>
        <v>5.0252737268518505E-2</v>
      </c>
      <c r="F945">
        <f t="shared" si="57"/>
        <v>3.068819742063426E-2</v>
      </c>
      <c r="G945">
        <f t="shared" si="58"/>
        <v>1</v>
      </c>
      <c r="H945">
        <f t="shared" si="59"/>
        <v>0.60303284722222206</v>
      </c>
    </row>
    <row r="946" spans="1:8" x14ac:dyDescent="0.25">
      <c r="A946">
        <v>1081</v>
      </c>
      <c r="B946">
        <v>8</v>
      </c>
      <c r="C946">
        <v>12.456596111111111</v>
      </c>
      <c r="D946">
        <v>7.9805817512074997</v>
      </c>
      <c r="E946">
        <f t="shared" si="56"/>
        <v>5.1902483796296299E-2</v>
      </c>
      <c r="F946">
        <f t="shared" si="57"/>
        <v>3.3252423963364579E-2</v>
      </c>
      <c r="G946">
        <f t="shared" si="58"/>
        <v>1</v>
      </c>
      <c r="H946">
        <f t="shared" si="59"/>
        <v>0.62282980555555556</v>
      </c>
    </row>
    <row r="947" spans="1:8" x14ac:dyDescent="0.25">
      <c r="A947">
        <v>1081</v>
      </c>
      <c r="B947">
        <v>9</v>
      </c>
      <c r="C947">
        <v>10.004945833333331</v>
      </c>
      <c r="D947">
        <v>7.0923520833333331</v>
      </c>
      <c r="E947">
        <f t="shared" si="56"/>
        <v>4.1687274305555543E-2</v>
      </c>
      <c r="F947">
        <f t="shared" si="57"/>
        <v>2.9551467013888888E-2</v>
      </c>
      <c r="G947">
        <f t="shared" si="58"/>
        <v>1</v>
      </c>
      <c r="H947">
        <f t="shared" si="59"/>
        <v>0.50024729166666648</v>
      </c>
    </row>
    <row r="948" spans="1:8" x14ac:dyDescent="0.25">
      <c r="A948">
        <v>1081</v>
      </c>
      <c r="B948">
        <v>10</v>
      </c>
      <c r="C948">
        <v>13.410901666666669</v>
      </c>
      <c r="D948">
        <v>7.52382260101</v>
      </c>
      <c r="E948">
        <f t="shared" si="56"/>
        <v>5.5878756944444462E-2</v>
      </c>
      <c r="F948">
        <f t="shared" si="57"/>
        <v>3.1349260837541665E-2</v>
      </c>
      <c r="G948">
        <f t="shared" si="58"/>
        <v>1</v>
      </c>
      <c r="H948">
        <f t="shared" si="59"/>
        <v>0.67054508333333351</v>
      </c>
    </row>
    <row r="949" spans="1:8" x14ac:dyDescent="0.25">
      <c r="A949">
        <v>1081</v>
      </c>
      <c r="B949">
        <v>11</v>
      </c>
      <c r="C949">
        <v>13.06836833333333</v>
      </c>
      <c r="D949">
        <v>7.186829204545278</v>
      </c>
      <c r="E949">
        <f t="shared" si="56"/>
        <v>5.4451534722222215E-2</v>
      </c>
      <c r="F949">
        <f t="shared" si="57"/>
        <v>2.9945121685605324E-2</v>
      </c>
      <c r="G949">
        <f t="shared" si="58"/>
        <v>1</v>
      </c>
      <c r="H949">
        <f t="shared" si="59"/>
        <v>0.65341841666666656</v>
      </c>
    </row>
    <row r="950" spans="1:8" x14ac:dyDescent="0.25">
      <c r="A950">
        <v>1081</v>
      </c>
      <c r="B950">
        <v>12</v>
      </c>
      <c r="C950">
        <v>13.29820472222222</v>
      </c>
      <c r="D950">
        <v>7.6334766798941667</v>
      </c>
      <c r="E950">
        <f t="shared" si="56"/>
        <v>5.5409186342592585E-2</v>
      </c>
      <c r="F950">
        <f t="shared" si="57"/>
        <v>3.1806152832892363E-2</v>
      </c>
      <c r="G950">
        <f t="shared" si="58"/>
        <v>1</v>
      </c>
      <c r="H950">
        <f t="shared" si="59"/>
        <v>0.664910236111111</v>
      </c>
    </row>
    <row r="951" spans="1:8" x14ac:dyDescent="0.25">
      <c r="A951">
        <v>1082</v>
      </c>
      <c r="B951">
        <v>1</v>
      </c>
      <c r="C951">
        <v>9.7138888888888903</v>
      </c>
      <c r="D951">
        <v>8.1125000000000007</v>
      </c>
      <c r="E951">
        <f t="shared" si="56"/>
        <v>4.0474537037037045E-2</v>
      </c>
      <c r="F951">
        <f t="shared" si="57"/>
        <v>3.3802083333333337E-2</v>
      </c>
      <c r="G951">
        <f t="shared" si="58"/>
        <v>1</v>
      </c>
      <c r="H951">
        <f t="shared" si="59"/>
        <v>0.48569444444444454</v>
      </c>
    </row>
    <row r="952" spans="1:8" x14ac:dyDescent="0.25">
      <c r="A952">
        <v>1082</v>
      </c>
      <c r="B952">
        <v>2</v>
      </c>
      <c r="C952">
        <v>22.826178611111111</v>
      </c>
      <c r="D952">
        <v>22.529627449494718</v>
      </c>
      <c r="E952">
        <f t="shared" si="56"/>
        <v>9.5109077546296286E-2</v>
      </c>
      <c r="F952">
        <f t="shared" si="57"/>
        <v>9.3873447706228005E-2</v>
      </c>
      <c r="G952">
        <f t="shared" si="58"/>
        <v>2</v>
      </c>
      <c r="H952">
        <f t="shared" si="59"/>
        <v>1.1413089305555555</v>
      </c>
    </row>
    <row r="953" spans="1:8" x14ac:dyDescent="0.25">
      <c r="A953">
        <v>1082</v>
      </c>
      <c r="B953">
        <v>3</v>
      </c>
      <c r="C953">
        <v>22.820715</v>
      </c>
      <c r="D953">
        <v>22.642058458333331</v>
      </c>
      <c r="E953">
        <f t="shared" si="56"/>
        <v>9.5086312499999992E-2</v>
      </c>
      <c r="F953">
        <f t="shared" si="57"/>
        <v>9.4341910243055549E-2</v>
      </c>
      <c r="G953">
        <f t="shared" si="58"/>
        <v>2</v>
      </c>
      <c r="H953">
        <f t="shared" si="59"/>
        <v>1.1410357499999999</v>
      </c>
    </row>
    <row r="954" spans="1:8" x14ac:dyDescent="0.25">
      <c r="A954">
        <v>1082</v>
      </c>
      <c r="B954">
        <v>4</v>
      </c>
      <c r="C954">
        <v>22.82527138888889</v>
      </c>
      <c r="D954">
        <v>22.711031005290831</v>
      </c>
      <c r="E954">
        <f t="shared" si="56"/>
        <v>9.5105297453703705E-2</v>
      </c>
      <c r="F954">
        <f t="shared" si="57"/>
        <v>9.4629295855378451E-2</v>
      </c>
      <c r="G954">
        <f t="shared" si="58"/>
        <v>2</v>
      </c>
      <c r="H954">
        <f t="shared" si="59"/>
        <v>1.1412635694444444</v>
      </c>
    </row>
    <row r="955" spans="1:8" x14ac:dyDescent="0.25">
      <c r="A955">
        <v>1082</v>
      </c>
      <c r="B955">
        <v>5</v>
      </c>
      <c r="C955">
        <v>13.49182527777778</v>
      </c>
      <c r="D955">
        <v>4.009385833333333</v>
      </c>
      <c r="E955">
        <f t="shared" si="56"/>
        <v>5.621593865740742E-2</v>
      </c>
      <c r="F955">
        <f t="shared" si="57"/>
        <v>1.6705774305555556E-2</v>
      </c>
      <c r="G955">
        <f t="shared" si="58"/>
        <v>1</v>
      </c>
      <c r="H955">
        <f t="shared" si="59"/>
        <v>0.67459126388888901</v>
      </c>
    </row>
    <row r="956" spans="1:8" x14ac:dyDescent="0.25">
      <c r="A956">
        <v>1082</v>
      </c>
      <c r="B956">
        <v>6</v>
      </c>
      <c r="C956">
        <v>5.5119630555555554</v>
      </c>
      <c r="D956">
        <v>3.8052317638888891</v>
      </c>
      <c r="E956">
        <f t="shared" si="56"/>
        <v>2.2966512731481481E-2</v>
      </c>
      <c r="F956">
        <f t="shared" si="57"/>
        <v>1.5855132349537036E-2</v>
      </c>
      <c r="G956">
        <f t="shared" si="58"/>
        <v>1</v>
      </c>
      <c r="H956">
        <f t="shared" si="59"/>
        <v>0.27559815277777777</v>
      </c>
    </row>
    <row r="957" spans="1:8" x14ac:dyDescent="0.25">
      <c r="A957">
        <v>1082</v>
      </c>
      <c r="B957">
        <v>7</v>
      </c>
      <c r="C957">
        <v>5.1838422222222222</v>
      </c>
      <c r="D957">
        <v>3.5310836640211112</v>
      </c>
      <c r="E957">
        <f t="shared" si="56"/>
        <v>2.1599342592592594E-2</v>
      </c>
      <c r="F957">
        <f t="shared" si="57"/>
        <v>1.4712848600087964E-2</v>
      </c>
      <c r="G957">
        <f t="shared" si="58"/>
        <v>1</v>
      </c>
      <c r="H957">
        <f t="shared" si="59"/>
        <v>0.25919211111111112</v>
      </c>
    </row>
    <row r="958" spans="1:8" x14ac:dyDescent="0.25">
      <c r="A958">
        <v>1082</v>
      </c>
      <c r="B958">
        <v>8</v>
      </c>
      <c r="C958">
        <v>4.5207752777777781</v>
      </c>
      <c r="D958">
        <v>3.530698369565</v>
      </c>
      <c r="E958">
        <f t="shared" si="56"/>
        <v>1.883656365740741E-2</v>
      </c>
      <c r="F958">
        <f t="shared" si="57"/>
        <v>1.4711243206520834E-2</v>
      </c>
      <c r="G958">
        <f t="shared" si="58"/>
        <v>1</v>
      </c>
      <c r="H958">
        <f t="shared" si="59"/>
        <v>0.22603876388888894</v>
      </c>
    </row>
    <row r="959" spans="1:8" x14ac:dyDescent="0.25">
      <c r="A959">
        <v>1082</v>
      </c>
      <c r="B959">
        <v>9</v>
      </c>
      <c r="C959">
        <v>4.5061805555555559</v>
      </c>
      <c r="D959">
        <v>3.5147406944444439</v>
      </c>
      <c r="E959">
        <f t="shared" si="56"/>
        <v>1.8775752314814816E-2</v>
      </c>
      <c r="F959">
        <f t="shared" si="57"/>
        <v>1.4644752893518515E-2</v>
      </c>
      <c r="G959">
        <f t="shared" si="58"/>
        <v>1</v>
      </c>
      <c r="H959">
        <f t="shared" si="59"/>
        <v>0.22530902777777778</v>
      </c>
    </row>
    <row r="960" spans="1:8" x14ac:dyDescent="0.25">
      <c r="A960">
        <v>1082</v>
      </c>
      <c r="B960">
        <v>10</v>
      </c>
      <c r="C960">
        <v>5.2973549999999996</v>
      </c>
      <c r="D960">
        <v>3.7912103535352779</v>
      </c>
      <c r="E960">
        <f t="shared" si="56"/>
        <v>2.2072312499999996E-2</v>
      </c>
      <c r="F960">
        <f t="shared" si="57"/>
        <v>1.5796709806396993E-2</v>
      </c>
      <c r="G960">
        <f t="shared" si="58"/>
        <v>1</v>
      </c>
      <c r="H960">
        <f t="shared" si="59"/>
        <v>0.26486774999999996</v>
      </c>
    </row>
    <row r="961" spans="1:8" x14ac:dyDescent="0.25">
      <c r="A961">
        <v>1082</v>
      </c>
      <c r="B961">
        <v>11</v>
      </c>
      <c r="C961">
        <v>4.6606411111111106</v>
      </c>
      <c r="D961">
        <v>3.6345329671716669</v>
      </c>
      <c r="E961">
        <f t="shared" si="56"/>
        <v>1.9419337962962961E-2</v>
      </c>
      <c r="F961">
        <f t="shared" si="57"/>
        <v>1.5143887363215279E-2</v>
      </c>
      <c r="G961">
        <f t="shared" si="58"/>
        <v>1</v>
      </c>
      <c r="H961">
        <f t="shared" si="59"/>
        <v>0.23303205555555553</v>
      </c>
    </row>
    <row r="962" spans="1:8" x14ac:dyDescent="0.25">
      <c r="A962">
        <v>1082</v>
      </c>
      <c r="B962">
        <v>12</v>
      </c>
      <c r="C962">
        <v>4.920319444444444</v>
      </c>
      <c r="D962">
        <v>3.6498674603172221</v>
      </c>
      <c r="E962">
        <f t="shared" ref="E962:E1025" si="60">+C962/20/12</f>
        <v>2.0501331018518518E-2</v>
      </c>
      <c r="F962">
        <f t="shared" ref="F962:F1025" si="61">+D962/20/12</f>
        <v>1.5207781084655092E-2</v>
      </c>
      <c r="G962">
        <f t="shared" ref="G962:G1025" si="62">+ROUNDUP(E962*12,0)</f>
        <v>1</v>
      </c>
      <c r="H962">
        <f t="shared" ref="H962:H1025" si="63">+E962*12</f>
        <v>0.24601597222222221</v>
      </c>
    </row>
    <row r="963" spans="1:8" x14ac:dyDescent="0.25">
      <c r="A963">
        <v>1083</v>
      </c>
      <c r="B963">
        <v>1</v>
      </c>
      <c r="C963">
        <v>9.442499999999999</v>
      </c>
      <c r="D963">
        <v>8.9563888888888883</v>
      </c>
      <c r="E963">
        <f t="shared" si="60"/>
        <v>3.9343749999999997E-2</v>
      </c>
      <c r="F963">
        <f t="shared" si="61"/>
        <v>3.7318287037037039E-2</v>
      </c>
      <c r="G963">
        <f t="shared" si="62"/>
        <v>1</v>
      </c>
      <c r="H963">
        <f t="shared" si="63"/>
        <v>0.47212499999999996</v>
      </c>
    </row>
    <row r="964" spans="1:8" x14ac:dyDescent="0.25">
      <c r="A964">
        <v>1083</v>
      </c>
      <c r="B964">
        <v>2</v>
      </c>
      <c r="C964">
        <v>10.245148333333329</v>
      </c>
      <c r="D964">
        <v>9.8916008712119439</v>
      </c>
      <c r="E964">
        <f t="shared" si="60"/>
        <v>4.2688118055555536E-2</v>
      </c>
      <c r="F964">
        <f t="shared" si="61"/>
        <v>4.1215003630049769E-2</v>
      </c>
      <c r="G964">
        <f t="shared" si="62"/>
        <v>1</v>
      </c>
      <c r="H964">
        <f t="shared" si="63"/>
        <v>0.51225741666666647</v>
      </c>
    </row>
    <row r="965" spans="1:8" x14ac:dyDescent="0.25">
      <c r="A965">
        <v>1083</v>
      </c>
      <c r="B965">
        <v>3</v>
      </c>
      <c r="C965">
        <v>10.24330944444444</v>
      </c>
      <c r="D965">
        <v>9.738059319444444</v>
      </c>
      <c r="E965">
        <f t="shared" si="60"/>
        <v>4.2680456018518498E-2</v>
      </c>
      <c r="F965">
        <f t="shared" si="61"/>
        <v>4.0575247164351853E-2</v>
      </c>
      <c r="G965">
        <f t="shared" si="62"/>
        <v>1</v>
      </c>
      <c r="H965">
        <f t="shared" si="63"/>
        <v>0.51216547222222197</v>
      </c>
    </row>
    <row r="966" spans="1:8" x14ac:dyDescent="0.25">
      <c r="A966">
        <v>1083</v>
      </c>
      <c r="B966">
        <v>4</v>
      </c>
      <c r="C966">
        <v>10.184978611111109</v>
      </c>
      <c r="D966">
        <v>9.6854121031744445</v>
      </c>
      <c r="E966">
        <f t="shared" si="60"/>
        <v>4.2437410879629621E-2</v>
      </c>
      <c r="F966">
        <f t="shared" si="61"/>
        <v>4.0355883763226852E-2</v>
      </c>
      <c r="G966">
        <f t="shared" si="62"/>
        <v>1</v>
      </c>
      <c r="H966">
        <f t="shared" si="63"/>
        <v>0.50924893055555542</v>
      </c>
    </row>
    <row r="967" spans="1:8" x14ac:dyDescent="0.25">
      <c r="A967">
        <v>1083</v>
      </c>
      <c r="B967">
        <v>5</v>
      </c>
      <c r="C967">
        <v>10.192423888888889</v>
      </c>
      <c r="D967">
        <v>10.009325125</v>
      </c>
      <c r="E967">
        <f t="shared" si="60"/>
        <v>4.2468432870370366E-2</v>
      </c>
      <c r="F967">
        <f t="shared" si="61"/>
        <v>4.1705521354166664E-2</v>
      </c>
      <c r="G967">
        <f t="shared" si="62"/>
        <v>1</v>
      </c>
      <c r="H967">
        <f t="shared" si="63"/>
        <v>0.50962119444444443</v>
      </c>
    </row>
    <row r="968" spans="1:8" x14ac:dyDescent="0.25">
      <c r="A968">
        <v>1083</v>
      </c>
      <c r="B968">
        <v>6</v>
      </c>
      <c r="C968">
        <v>10.21355555555555</v>
      </c>
      <c r="D968">
        <v>8.5660930833333335</v>
      </c>
      <c r="E968">
        <f t="shared" si="60"/>
        <v>4.2556481481481452E-2</v>
      </c>
      <c r="F968">
        <f t="shared" si="61"/>
        <v>3.5692054513888891E-2</v>
      </c>
      <c r="G968">
        <f t="shared" si="62"/>
        <v>1</v>
      </c>
      <c r="H968">
        <f t="shared" si="63"/>
        <v>0.51067777777777745</v>
      </c>
    </row>
    <row r="969" spans="1:8" x14ac:dyDescent="0.25">
      <c r="A969">
        <v>1083</v>
      </c>
      <c r="B969">
        <v>7</v>
      </c>
      <c r="C969">
        <v>10.17104138888889</v>
      </c>
      <c r="D969">
        <v>9.558880952380834</v>
      </c>
      <c r="E969">
        <f t="shared" si="60"/>
        <v>4.2379339120370375E-2</v>
      </c>
      <c r="F969">
        <f t="shared" si="61"/>
        <v>3.9828670634920141E-2</v>
      </c>
      <c r="G969">
        <f t="shared" si="62"/>
        <v>1</v>
      </c>
      <c r="H969">
        <f t="shared" si="63"/>
        <v>0.50855206944444453</v>
      </c>
    </row>
    <row r="970" spans="1:8" x14ac:dyDescent="0.25">
      <c r="A970">
        <v>1083</v>
      </c>
      <c r="B970">
        <v>8</v>
      </c>
      <c r="C970">
        <v>10.180623055555561</v>
      </c>
      <c r="D970">
        <v>10.058157451690549</v>
      </c>
      <c r="E970">
        <f t="shared" si="60"/>
        <v>4.24192627314815E-2</v>
      </c>
      <c r="F970">
        <f t="shared" si="61"/>
        <v>4.190898938204396E-2</v>
      </c>
      <c r="G970">
        <f t="shared" si="62"/>
        <v>1</v>
      </c>
      <c r="H970">
        <f t="shared" si="63"/>
        <v>0.509031152777778</v>
      </c>
    </row>
    <row r="971" spans="1:8" x14ac:dyDescent="0.25">
      <c r="A971">
        <v>1083</v>
      </c>
      <c r="B971">
        <v>9</v>
      </c>
      <c r="C971">
        <v>10.150033333333329</v>
      </c>
      <c r="D971">
        <v>9.9512283055555564</v>
      </c>
      <c r="E971">
        <f t="shared" si="60"/>
        <v>4.2291805555555541E-2</v>
      </c>
      <c r="F971">
        <f t="shared" si="61"/>
        <v>4.1463451273148148E-2</v>
      </c>
      <c r="G971">
        <f t="shared" si="62"/>
        <v>1</v>
      </c>
      <c r="H971">
        <f t="shared" si="63"/>
        <v>0.50750166666666652</v>
      </c>
    </row>
    <row r="972" spans="1:8" x14ac:dyDescent="0.25">
      <c r="A972">
        <v>1083</v>
      </c>
      <c r="B972">
        <v>10</v>
      </c>
      <c r="C972">
        <v>10.47630361111111</v>
      </c>
      <c r="D972">
        <v>10.05197222222222</v>
      </c>
      <c r="E972">
        <f t="shared" si="60"/>
        <v>4.3651265046296295E-2</v>
      </c>
      <c r="F972">
        <f t="shared" si="61"/>
        <v>4.1883217592592586E-2</v>
      </c>
      <c r="G972">
        <f t="shared" si="62"/>
        <v>1</v>
      </c>
      <c r="H972">
        <f t="shared" si="63"/>
        <v>0.52381518055555554</v>
      </c>
    </row>
    <row r="973" spans="1:8" x14ac:dyDescent="0.25">
      <c r="A973">
        <v>1083</v>
      </c>
      <c r="B973">
        <v>11</v>
      </c>
      <c r="C973">
        <v>10.89740388888889</v>
      </c>
      <c r="D973">
        <v>9.9894473106058328</v>
      </c>
      <c r="E973">
        <f t="shared" si="60"/>
        <v>4.5405849537037045E-2</v>
      </c>
      <c r="F973">
        <f t="shared" si="61"/>
        <v>4.1622697127524304E-2</v>
      </c>
      <c r="G973">
        <f t="shared" si="62"/>
        <v>1</v>
      </c>
      <c r="H973">
        <f t="shared" si="63"/>
        <v>0.54487019444444451</v>
      </c>
    </row>
    <row r="974" spans="1:8" x14ac:dyDescent="0.25">
      <c r="A974">
        <v>1083</v>
      </c>
      <c r="B974">
        <v>12</v>
      </c>
      <c r="C974">
        <v>10.35232027777778</v>
      </c>
      <c r="D974">
        <v>9.976110317460277</v>
      </c>
      <c r="E974">
        <f t="shared" si="60"/>
        <v>4.3134667824074081E-2</v>
      </c>
      <c r="F974">
        <f t="shared" si="61"/>
        <v>4.1567126322751155E-2</v>
      </c>
      <c r="G974">
        <f t="shared" si="62"/>
        <v>1</v>
      </c>
      <c r="H974">
        <f t="shared" si="63"/>
        <v>0.517616013888889</v>
      </c>
    </row>
    <row r="975" spans="1:8" x14ac:dyDescent="0.25">
      <c r="A975">
        <v>1084</v>
      </c>
      <c r="B975">
        <v>1</v>
      </c>
      <c r="C975">
        <v>9.4333333333333336</v>
      </c>
      <c r="D975">
        <v>2.8713888888888888</v>
      </c>
      <c r="E975">
        <f t="shared" si="60"/>
        <v>3.9305555555555559E-2</v>
      </c>
      <c r="F975">
        <f t="shared" si="61"/>
        <v>1.196412037037037E-2</v>
      </c>
      <c r="G975">
        <f t="shared" si="62"/>
        <v>1</v>
      </c>
      <c r="H975">
        <f t="shared" si="63"/>
        <v>0.47166666666666668</v>
      </c>
    </row>
    <row r="976" spans="1:8" x14ac:dyDescent="0.25">
      <c r="A976">
        <v>1084</v>
      </c>
      <c r="B976">
        <v>2</v>
      </c>
      <c r="C976">
        <v>8.9037000000000006</v>
      </c>
      <c r="D976">
        <v>3.1179038011694451</v>
      </c>
      <c r="E976">
        <f t="shared" si="60"/>
        <v>3.7098750000000007E-2</v>
      </c>
      <c r="F976">
        <f t="shared" si="61"/>
        <v>1.299126583820602E-2</v>
      </c>
      <c r="G976">
        <f t="shared" si="62"/>
        <v>1</v>
      </c>
      <c r="H976">
        <f t="shared" si="63"/>
        <v>0.44518500000000005</v>
      </c>
    </row>
    <row r="977" spans="1:8" x14ac:dyDescent="0.25">
      <c r="A977">
        <v>1084</v>
      </c>
      <c r="B977">
        <v>3</v>
      </c>
      <c r="C977">
        <v>7.6196383333333344</v>
      </c>
      <c r="D977">
        <v>3.4086521250000001</v>
      </c>
      <c r="E977">
        <f t="shared" si="60"/>
        <v>3.1748493055555556E-2</v>
      </c>
      <c r="F977">
        <f t="shared" si="61"/>
        <v>1.42027171875E-2</v>
      </c>
      <c r="G977">
        <f t="shared" si="62"/>
        <v>1</v>
      </c>
      <c r="H977">
        <f t="shared" si="63"/>
        <v>0.3809819166666667</v>
      </c>
    </row>
    <row r="978" spans="1:8" x14ac:dyDescent="0.25">
      <c r="A978">
        <v>1084</v>
      </c>
      <c r="B978">
        <v>4</v>
      </c>
      <c r="C978">
        <v>9.2818675000000006</v>
      </c>
      <c r="D978">
        <v>2.9531810052908329</v>
      </c>
      <c r="E978">
        <f t="shared" si="60"/>
        <v>3.8674447916666667E-2</v>
      </c>
      <c r="F978">
        <f t="shared" si="61"/>
        <v>1.2304920855378472E-2</v>
      </c>
      <c r="G978">
        <f t="shared" si="62"/>
        <v>1</v>
      </c>
      <c r="H978">
        <f t="shared" si="63"/>
        <v>0.46409337500000003</v>
      </c>
    </row>
    <row r="979" spans="1:8" x14ac:dyDescent="0.25">
      <c r="A979">
        <v>1084</v>
      </c>
      <c r="B979">
        <v>5</v>
      </c>
      <c r="C979">
        <v>10.29631222222222</v>
      </c>
      <c r="D979">
        <v>3.0692236419752779</v>
      </c>
      <c r="E979">
        <f t="shared" si="60"/>
        <v>4.2901300925925916E-2</v>
      </c>
      <c r="F979">
        <f t="shared" si="61"/>
        <v>1.2788431841563657E-2</v>
      </c>
      <c r="G979">
        <f t="shared" si="62"/>
        <v>1</v>
      </c>
      <c r="H979">
        <f t="shared" si="63"/>
        <v>0.51481561111111096</v>
      </c>
    </row>
    <row r="980" spans="1:8" x14ac:dyDescent="0.25">
      <c r="A980">
        <v>1084</v>
      </c>
      <c r="B980">
        <v>6</v>
      </c>
      <c r="C980">
        <v>10.45597888888889</v>
      </c>
      <c r="D980">
        <v>4.2164920029238893</v>
      </c>
      <c r="E980">
        <f t="shared" si="60"/>
        <v>4.3566578703703708E-2</v>
      </c>
      <c r="F980">
        <f t="shared" si="61"/>
        <v>1.7568716678849541E-2</v>
      </c>
      <c r="G980">
        <f t="shared" si="62"/>
        <v>1</v>
      </c>
      <c r="H980">
        <f t="shared" si="63"/>
        <v>0.52279894444444452</v>
      </c>
    </row>
    <row r="981" spans="1:8" x14ac:dyDescent="0.25">
      <c r="A981">
        <v>1084</v>
      </c>
      <c r="B981">
        <v>7</v>
      </c>
      <c r="C981">
        <v>8.9432330555555559</v>
      </c>
      <c r="D981">
        <v>3.3630134305555561</v>
      </c>
      <c r="E981">
        <f t="shared" si="60"/>
        <v>3.726347106481482E-2</v>
      </c>
      <c r="F981">
        <f t="shared" si="61"/>
        <v>1.4012555960648149E-2</v>
      </c>
      <c r="G981">
        <f t="shared" si="62"/>
        <v>1</v>
      </c>
      <c r="H981">
        <f t="shared" si="63"/>
        <v>0.44716165277777786</v>
      </c>
    </row>
    <row r="982" spans="1:8" x14ac:dyDescent="0.25">
      <c r="A982">
        <v>1084</v>
      </c>
      <c r="B982">
        <v>8</v>
      </c>
      <c r="C982">
        <v>13.108458055555561</v>
      </c>
      <c r="D982">
        <v>2.901895555555555</v>
      </c>
      <c r="E982">
        <f t="shared" si="60"/>
        <v>5.4618575231481503E-2</v>
      </c>
      <c r="F982">
        <f t="shared" si="61"/>
        <v>1.2091231481481479E-2</v>
      </c>
      <c r="G982">
        <f t="shared" si="62"/>
        <v>1</v>
      </c>
      <c r="H982">
        <f t="shared" si="63"/>
        <v>0.65542290277777804</v>
      </c>
    </row>
    <row r="983" spans="1:8" x14ac:dyDescent="0.25">
      <c r="A983">
        <v>1084</v>
      </c>
      <c r="B983">
        <v>9</v>
      </c>
      <c r="C983">
        <v>11.542979722222221</v>
      </c>
      <c r="D983">
        <v>2.8260231944444438</v>
      </c>
      <c r="E983">
        <f t="shared" si="60"/>
        <v>4.809574884259258E-2</v>
      </c>
      <c r="F983">
        <f t="shared" si="61"/>
        <v>1.1775096643518515E-2</v>
      </c>
      <c r="G983">
        <f t="shared" si="62"/>
        <v>1</v>
      </c>
      <c r="H983">
        <f t="shared" si="63"/>
        <v>0.57714898611111098</v>
      </c>
    </row>
    <row r="984" spans="1:8" x14ac:dyDescent="0.25">
      <c r="A984">
        <v>1084</v>
      </c>
      <c r="B984">
        <v>10</v>
      </c>
      <c r="C984">
        <v>8.9745238888888892</v>
      </c>
      <c r="D984">
        <v>2.1871737247472218</v>
      </c>
      <c r="E984">
        <f t="shared" si="60"/>
        <v>3.739384953703704E-2</v>
      </c>
      <c r="F984">
        <f t="shared" si="61"/>
        <v>9.1132238531134238E-3</v>
      </c>
      <c r="G984">
        <f t="shared" si="62"/>
        <v>1</v>
      </c>
      <c r="H984">
        <f t="shared" si="63"/>
        <v>0.4487261944444445</v>
      </c>
    </row>
    <row r="985" spans="1:8" x14ac:dyDescent="0.25">
      <c r="A985">
        <v>1084</v>
      </c>
      <c r="B985">
        <v>11</v>
      </c>
      <c r="C985">
        <v>13.087601111111111</v>
      </c>
      <c r="D985">
        <v>3.698315423280278</v>
      </c>
      <c r="E985">
        <f t="shared" si="60"/>
        <v>5.4531671296296297E-2</v>
      </c>
      <c r="F985">
        <f t="shared" si="61"/>
        <v>1.5409647597001157E-2</v>
      </c>
      <c r="G985">
        <f t="shared" si="62"/>
        <v>1</v>
      </c>
      <c r="H985">
        <f t="shared" si="63"/>
        <v>0.65438005555555556</v>
      </c>
    </row>
    <row r="986" spans="1:8" x14ac:dyDescent="0.25">
      <c r="A986">
        <v>1084</v>
      </c>
      <c r="B986">
        <v>12</v>
      </c>
      <c r="C986">
        <v>10.9831375</v>
      </c>
      <c r="D986">
        <v>2.713666058200833</v>
      </c>
      <c r="E986">
        <f t="shared" si="60"/>
        <v>4.5763072916666668E-2</v>
      </c>
      <c r="F986">
        <f t="shared" si="61"/>
        <v>1.1306941909170138E-2</v>
      </c>
      <c r="G986">
        <f t="shared" si="62"/>
        <v>1</v>
      </c>
      <c r="H986">
        <f t="shared" si="63"/>
        <v>0.54915687499999999</v>
      </c>
    </row>
    <row r="987" spans="1:8" x14ac:dyDescent="0.25">
      <c r="A987">
        <v>1085</v>
      </c>
      <c r="B987">
        <v>1</v>
      </c>
      <c r="C987">
        <v>9.4149999999999991</v>
      </c>
      <c r="D987">
        <v>4.3605555555555551</v>
      </c>
      <c r="E987">
        <f t="shared" si="60"/>
        <v>3.9229166666666662E-2</v>
      </c>
      <c r="F987">
        <f t="shared" si="61"/>
        <v>1.816898148148148E-2</v>
      </c>
      <c r="G987">
        <f t="shared" si="62"/>
        <v>1</v>
      </c>
      <c r="H987">
        <f t="shared" si="63"/>
        <v>0.47074999999999995</v>
      </c>
    </row>
    <row r="988" spans="1:8" x14ac:dyDescent="0.25">
      <c r="A988">
        <v>1085</v>
      </c>
      <c r="B988">
        <v>2</v>
      </c>
      <c r="C988">
        <v>13.871437500000001</v>
      </c>
      <c r="D988">
        <v>5.7812630050502776</v>
      </c>
      <c r="E988">
        <f t="shared" si="60"/>
        <v>5.7797656250000003E-2</v>
      </c>
      <c r="F988">
        <f t="shared" si="61"/>
        <v>2.4088595854376157E-2</v>
      </c>
      <c r="G988">
        <f t="shared" si="62"/>
        <v>1</v>
      </c>
      <c r="H988">
        <f t="shared" si="63"/>
        <v>0.69357187500000006</v>
      </c>
    </row>
    <row r="989" spans="1:8" x14ac:dyDescent="0.25">
      <c r="A989">
        <v>1085</v>
      </c>
      <c r="B989">
        <v>3</v>
      </c>
      <c r="C989">
        <v>19.184753888888888</v>
      </c>
      <c r="D989">
        <v>5.5711414043208336</v>
      </c>
      <c r="E989">
        <f t="shared" si="60"/>
        <v>7.9936474537037033E-2</v>
      </c>
      <c r="F989">
        <f t="shared" si="61"/>
        <v>2.3213089184670143E-2</v>
      </c>
      <c r="G989">
        <f t="shared" si="62"/>
        <v>1</v>
      </c>
      <c r="H989">
        <f t="shared" si="63"/>
        <v>0.9592376944444444</v>
      </c>
    </row>
    <row r="990" spans="1:8" x14ac:dyDescent="0.25">
      <c r="A990">
        <v>1085</v>
      </c>
      <c r="B990">
        <v>4</v>
      </c>
      <c r="C990">
        <v>7.9190399999999999</v>
      </c>
      <c r="D990">
        <v>4.5241725396824997</v>
      </c>
      <c r="E990">
        <f t="shared" si="60"/>
        <v>3.2995999999999998E-2</v>
      </c>
      <c r="F990">
        <f t="shared" si="61"/>
        <v>1.8850718915343748E-2</v>
      </c>
      <c r="G990">
        <f t="shared" si="62"/>
        <v>1</v>
      </c>
      <c r="H990">
        <f t="shared" si="63"/>
        <v>0.39595199999999997</v>
      </c>
    </row>
    <row r="991" spans="1:8" x14ac:dyDescent="0.25">
      <c r="A991">
        <v>1085</v>
      </c>
      <c r="B991">
        <v>5</v>
      </c>
      <c r="C991">
        <v>6.3911888888888893</v>
      </c>
      <c r="D991">
        <v>4.3120283472222223</v>
      </c>
      <c r="E991">
        <f t="shared" si="60"/>
        <v>2.6629953703703704E-2</v>
      </c>
      <c r="F991">
        <f t="shared" si="61"/>
        <v>1.7966784780092591E-2</v>
      </c>
      <c r="G991">
        <f t="shared" si="62"/>
        <v>1</v>
      </c>
      <c r="H991">
        <f t="shared" si="63"/>
        <v>0.31955944444444445</v>
      </c>
    </row>
    <row r="992" spans="1:8" x14ac:dyDescent="0.25">
      <c r="A992">
        <v>1085</v>
      </c>
      <c r="B992">
        <v>6</v>
      </c>
      <c r="C992">
        <v>7.5545658333333332</v>
      </c>
      <c r="D992">
        <v>3.8556922083333331</v>
      </c>
      <c r="E992">
        <f t="shared" si="60"/>
        <v>3.1477357638888891E-2</v>
      </c>
      <c r="F992">
        <f t="shared" si="61"/>
        <v>1.606538420138889E-2</v>
      </c>
      <c r="G992">
        <f t="shared" si="62"/>
        <v>1</v>
      </c>
      <c r="H992">
        <f t="shared" si="63"/>
        <v>0.37772829166666666</v>
      </c>
    </row>
    <row r="993" spans="1:8" x14ac:dyDescent="0.25">
      <c r="A993">
        <v>1085</v>
      </c>
      <c r="B993">
        <v>7</v>
      </c>
      <c r="C993">
        <v>7.7636630555555559</v>
      </c>
      <c r="D993">
        <v>3.912318624338611</v>
      </c>
      <c r="E993">
        <f t="shared" si="60"/>
        <v>3.234859606481482E-2</v>
      </c>
      <c r="F993">
        <f t="shared" si="61"/>
        <v>1.630132760141088E-2</v>
      </c>
      <c r="G993">
        <f t="shared" si="62"/>
        <v>1</v>
      </c>
      <c r="H993">
        <f t="shared" si="63"/>
        <v>0.38818315277777782</v>
      </c>
    </row>
    <row r="994" spans="1:8" x14ac:dyDescent="0.25">
      <c r="A994">
        <v>1085</v>
      </c>
      <c r="B994">
        <v>8</v>
      </c>
      <c r="C994">
        <v>6.8328813888888886</v>
      </c>
      <c r="D994">
        <v>4.119570036231667</v>
      </c>
      <c r="E994">
        <f t="shared" si="60"/>
        <v>2.8470339120370367E-2</v>
      </c>
      <c r="F994">
        <f t="shared" si="61"/>
        <v>1.7164875150965278E-2</v>
      </c>
      <c r="G994">
        <f t="shared" si="62"/>
        <v>1</v>
      </c>
      <c r="H994">
        <f t="shared" si="63"/>
        <v>0.34164406944444442</v>
      </c>
    </row>
    <row r="995" spans="1:8" x14ac:dyDescent="0.25">
      <c r="A995">
        <v>1085</v>
      </c>
      <c r="B995">
        <v>9</v>
      </c>
      <c r="C995">
        <v>8.2879541666666672</v>
      </c>
      <c r="D995">
        <v>5.2277726388888892</v>
      </c>
      <c r="E995">
        <f t="shared" si="60"/>
        <v>3.4533142361111109E-2</v>
      </c>
      <c r="F995">
        <f t="shared" si="61"/>
        <v>2.1782385995370371E-2</v>
      </c>
      <c r="G995">
        <f t="shared" si="62"/>
        <v>1</v>
      </c>
      <c r="H995">
        <f t="shared" si="63"/>
        <v>0.41439770833333334</v>
      </c>
    </row>
    <row r="996" spans="1:8" x14ac:dyDescent="0.25">
      <c r="A996">
        <v>1085</v>
      </c>
      <c r="B996">
        <v>10</v>
      </c>
      <c r="C996">
        <v>19.86590277777778</v>
      </c>
      <c r="D996">
        <v>5.1602925757575004</v>
      </c>
      <c r="E996">
        <f t="shared" si="60"/>
        <v>8.277459490740742E-2</v>
      </c>
      <c r="F996">
        <f t="shared" si="61"/>
        <v>2.150121906565625E-2</v>
      </c>
      <c r="G996">
        <f t="shared" si="62"/>
        <v>1</v>
      </c>
      <c r="H996">
        <f t="shared" si="63"/>
        <v>0.9932951388888891</v>
      </c>
    </row>
    <row r="997" spans="1:8" x14ac:dyDescent="0.25">
      <c r="A997">
        <v>1085</v>
      </c>
      <c r="B997">
        <v>11</v>
      </c>
      <c r="C997">
        <v>7.9519177777777781</v>
      </c>
      <c r="D997">
        <v>4.8527828409088887</v>
      </c>
      <c r="E997">
        <f t="shared" si="60"/>
        <v>3.3132990740740741E-2</v>
      </c>
      <c r="F997">
        <f t="shared" si="61"/>
        <v>2.0219928503787035E-2</v>
      </c>
      <c r="G997">
        <f t="shared" si="62"/>
        <v>1</v>
      </c>
      <c r="H997">
        <f t="shared" si="63"/>
        <v>0.39759588888888886</v>
      </c>
    </row>
    <row r="998" spans="1:8" x14ac:dyDescent="0.25">
      <c r="A998">
        <v>1085</v>
      </c>
      <c r="B998">
        <v>12</v>
      </c>
      <c r="C998">
        <v>7.3538627777777776</v>
      </c>
      <c r="D998">
        <v>5.0094651058200004</v>
      </c>
      <c r="E998">
        <f t="shared" si="60"/>
        <v>3.0641094907407407E-2</v>
      </c>
      <c r="F998">
        <f t="shared" si="61"/>
        <v>2.0872771274249999E-2</v>
      </c>
      <c r="G998">
        <f t="shared" si="62"/>
        <v>1</v>
      </c>
      <c r="H998">
        <f t="shared" si="63"/>
        <v>0.36769313888888888</v>
      </c>
    </row>
    <row r="999" spans="1:8" x14ac:dyDescent="0.25">
      <c r="A999">
        <v>1086</v>
      </c>
      <c r="B999">
        <v>1</v>
      </c>
      <c r="C999">
        <v>18.549444444444443</v>
      </c>
      <c r="D999">
        <v>7.0252777777777773</v>
      </c>
      <c r="E999">
        <f t="shared" si="60"/>
        <v>7.7289351851851845E-2</v>
      </c>
      <c r="F999">
        <f t="shared" si="61"/>
        <v>2.9271990740740741E-2</v>
      </c>
      <c r="G999">
        <f t="shared" si="62"/>
        <v>1</v>
      </c>
      <c r="H999">
        <f t="shared" si="63"/>
        <v>0.92747222222222214</v>
      </c>
    </row>
    <row r="1000" spans="1:8" x14ac:dyDescent="0.25">
      <c r="A1000">
        <v>1086</v>
      </c>
      <c r="B1000">
        <v>2</v>
      </c>
      <c r="C1000">
        <v>26.972752222222219</v>
      </c>
      <c r="D1000">
        <v>24.186109785353331</v>
      </c>
      <c r="E1000">
        <f t="shared" si="60"/>
        <v>0.11238646759259258</v>
      </c>
      <c r="F1000">
        <f t="shared" si="61"/>
        <v>0.1007754574389722</v>
      </c>
      <c r="G1000">
        <f t="shared" si="62"/>
        <v>2</v>
      </c>
      <c r="H1000">
        <f t="shared" si="63"/>
        <v>1.3486376111111109</v>
      </c>
    </row>
    <row r="1001" spans="1:8" x14ac:dyDescent="0.25">
      <c r="A1001">
        <v>1086</v>
      </c>
      <c r="B1001">
        <v>3</v>
      </c>
      <c r="C1001">
        <v>26.901117500000002</v>
      </c>
      <c r="D1001">
        <v>14.372375944444441</v>
      </c>
      <c r="E1001">
        <f t="shared" si="60"/>
        <v>0.11208798958333334</v>
      </c>
      <c r="F1001">
        <f t="shared" si="61"/>
        <v>5.9884899768518497E-2</v>
      </c>
      <c r="G1001">
        <f t="shared" si="62"/>
        <v>2</v>
      </c>
      <c r="H1001">
        <f t="shared" si="63"/>
        <v>1.3450558750000001</v>
      </c>
    </row>
    <row r="1002" spans="1:8" x14ac:dyDescent="0.25">
      <c r="A1002">
        <v>1086</v>
      </c>
      <c r="B1002">
        <v>4</v>
      </c>
      <c r="C1002">
        <v>56.188894444444443</v>
      </c>
      <c r="D1002">
        <v>3.3887749999999999</v>
      </c>
      <c r="E1002">
        <f t="shared" si="60"/>
        <v>0.23412039351851852</v>
      </c>
      <c r="F1002">
        <f t="shared" si="61"/>
        <v>1.4119895833333333E-2</v>
      </c>
      <c r="G1002">
        <f t="shared" si="62"/>
        <v>3</v>
      </c>
      <c r="H1002">
        <f t="shared" si="63"/>
        <v>2.8094447222222221</v>
      </c>
    </row>
    <row r="1003" spans="1:8" x14ac:dyDescent="0.25">
      <c r="A1003">
        <v>1086</v>
      </c>
      <c r="B1003">
        <v>5</v>
      </c>
      <c r="C1003">
        <v>0.96115916666666668</v>
      </c>
      <c r="D1003">
        <v>0.1237369027777778</v>
      </c>
      <c r="E1003">
        <f t="shared" si="60"/>
        <v>4.0048298611111109E-3</v>
      </c>
      <c r="F1003">
        <f t="shared" si="61"/>
        <v>5.1557042824074085E-4</v>
      </c>
      <c r="G1003">
        <f t="shared" si="62"/>
        <v>1</v>
      </c>
      <c r="H1003">
        <f t="shared" si="63"/>
        <v>4.8057958333333331E-2</v>
      </c>
    </row>
    <row r="1004" spans="1:8" x14ac:dyDescent="0.25">
      <c r="A1004">
        <v>1086</v>
      </c>
      <c r="B1004">
        <v>6</v>
      </c>
      <c r="C1004">
        <v>0.27263305555555561</v>
      </c>
      <c r="D1004">
        <v>7.9012326388888887E-2</v>
      </c>
      <c r="E1004">
        <f t="shared" si="60"/>
        <v>1.1359710648148151E-3</v>
      </c>
      <c r="F1004">
        <f t="shared" si="61"/>
        <v>3.292180266203704E-4</v>
      </c>
      <c r="G1004">
        <f t="shared" si="62"/>
        <v>1</v>
      </c>
      <c r="H1004">
        <f t="shared" si="63"/>
        <v>1.3631652777777781E-2</v>
      </c>
    </row>
    <row r="1005" spans="1:8" x14ac:dyDescent="0.25">
      <c r="A1005">
        <v>1087</v>
      </c>
      <c r="B1005">
        <v>1</v>
      </c>
      <c r="C1005">
        <v>9.2211111111111101</v>
      </c>
      <c r="D1005">
        <v>9.0908333333333342</v>
      </c>
      <c r="E1005">
        <f t="shared" si="60"/>
        <v>3.8421296296296294E-2</v>
      </c>
      <c r="F1005">
        <f t="shared" si="61"/>
        <v>3.787847222222223E-2</v>
      </c>
      <c r="G1005">
        <f t="shared" si="62"/>
        <v>1</v>
      </c>
      <c r="H1005">
        <f t="shared" si="63"/>
        <v>0.46105555555555555</v>
      </c>
    </row>
    <row r="1006" spans="1:8" x14ac:dyDescent="0.25">
      <c r="A1006">
        <v>1087</v>
      </c>
      <c r="B1006">
        <v>2</v>
      </c>
      <c r="C1006">
        <v>10.040634166666671</v>
      </c>
      <c r="D1006">
        <v>9.882079191919166</v>
      </c>
      <c r="E1006">
        <f t="shared" si="60"/>
        <v>4.1835975694444465E-2</v>
      </c>
      <c r="F1006">
        <f t="shared" si="61"/>
        <v>4.117532996632986E-2</v>
      </c>
      <c r="G1006">
        <f t="shared" si="62"/>
        <v>1</v>
      </c>
      <c r="H1006">
        <f t="shared" si="63"/>
        <v>0.50203170833333355</v>
      </c>
    </row>
    <row r="1007" spans="1:8" x14ac:dyDescent="0.25">
      <c r="A1007">
        <v>1087</v>
      </c>
      <c r="B1007">
        <v>3</v>
      </c>
      <c r="C1007">
        <v>10.04767222222222</v>
      </c>
      <c r="D1007">
        <v>9.938548472222223</v>
      </c>
      <c r="E1007">
        <f t="shared" si="60"/>
        <v>4.1865300925925913E-2</v>
      </c>
      <c r="F1007">
        <f t="shared" si="61"/>
        <v>4.1410618634259259E-2</v>
      </c>
      <c r="G1007">
        <f t="shared" si="62"/>
        <v>1</v>
      </c>
      <c r="H1007">
        <f t="shared" si="63"/>
        <v>0.50238361111111096</v>
      </c>
    </row>
    <row r="1008" spans="1:8" x14ac:dyDescent="0.25">
      <c r="A1008">
        <v>1087</v>
      </c>
      <c r="B1008">
        <v>4</v>
      </c>
      <c r="C1008">
        <v>10.044596388888889</v>
      </c>
      <c r="D1008">
        <v>9.860170939153333</v>
      </c>
      <c r="E1008">
        <f t="shared" si="60"/>
        <v>4.1852484953703702E-2</v>
      </c>
      <c r="F1008">
        <f t="shared" si="61"/>
        <v>4.1084045579805557E-2</v>
      </c>
      <c r="G1008">
        <f t="shared" si="62"/>
        <v>1</v>
      </c>
      <c r="H1008">
        <f t="shared" si="63"/>
        <v>0.50222981944444445</v>
      </c>
    </row>
    <row r="1009" spans="1:8" x14ac:dyDescent="0.25">
      <c r="A1009">
        <v>1087</v>
      </c>
      <c r="B1009">
        <v>5</v>
      </c>
      <c r="C1009">
        <v>10.08401388888889</v>
      </c>
      <c r="D1009">
        <v>9.8238663611111114</v>
      </c>
      <c r="E1009">
        <f t="shared" si="60"/>
        <v>4.2016724537037038E-2</v>
      </c>
      <c r="F1009">
        <f t="shared" si="61"/>
        <v>4.0932776504629627E-2</v>
      </c>
      <c r="G1009">
        <f t="shared" si="62"/>
        <v>1</v>
      </c>
      <c r="H1009">
        <f t="shared" si="63"/>
        <v>0.50420069444444449</v>
      </c>
    </row>
    <row r="1010" spans="1:8" x14ac:dyDescent="0.25">
      <c r="A1010">
        <v>1087</v>
      </c>
      <c r="B1010">
        <v>6</v>
      </c>
      <c r="C1010">
        <v>10.044487222222219</v>
      </c>
      <c r="D1010">
        <v>9.959023222222223</v>
      </c>
      <c r="E1010">
        <f t="shared" si="60"/>
        <v>4.1852030092592585E-2</v>
      </c>
      <c r="F1010">
        <f t="shared" si="61"/>
        <v>4.1495930092592594E-2</v>
      </c>
      <c r="G1010">
        <f t="shared" si="62"/>
        <v>1</v>
      </c>
      <c r="H1010">
        <f t="shared" si="63"/>
        <v>0.50222436111111102</v>
      </c>
    </row>
    <row r="1011" spans="1:8" x14ac:dyDescent="0.25">
      <c r="A1011">
        <v>1087</v>
      </c>
      <c r="B1011">
        <v>7</v>
      </c>
      <c r="C1011">
        <v>10.04586388888889</v>
      </c>
      <c r="D1011">
        <v>9.8598272777777769</v>
      </c>
      <c r="E1011">
        <f t="shared" si="60"/>
        <v>4.1857766203703711E-2</v>
      </c>
      <c r="F1011">
        <f t="shared" si="61"/>
        <v>4.1082613657407403E-2</v>
      </c>
      <c r="G1011">
        <f t="shared" si="62"/>
        <v>1</v>
      </c>
      <c r="H1011">
        <f t="shared" si="63"/>
        <v>0.50229319444444454</v>
      </c>
    </row>
    <row r="1012" spans="1:8" x14ac:dyDescent="0.25">
      <c r="A1012">
        <v>1087</v>
      </c>
      <c r="B1012">
        <v>8</v>
      </c>
      <c r="C1012">
        <v>10.20943611111111</v>
      </c>
      <c r="D1012">
        <v>9.9926185024152776</v>
      </c>
      <c r="E1012">
        <f t="shared" si="60"/>
        <v>4.2539317129629627E-2</v>
      </c>
      <c r="F1012">
        <f t="shared" si="61"/>
        <v>4.1635910426730323E-2</v>
      </c>
      <c r="G1012">
        <f t="shared" si="62"/>
        <v>1</v>
      </c>
      <c r="H1012">
        <f t="shared" si="63"/>
        <v>0.51047180555555549</v>
      </c>
    </row>
    <row r="1013" spans="1:8" x14ac:dyDescent="0.25">
      <c r="A1013">
        <v>1087</v>
      </c>
      <c r="B1013">
        <v>9</v>
      </c>
      <c r="C1013">
        <v>10.018212222222219</v>
      </c>
      <c r="D1013">
        <v>9.9469856527777782</v>
      </c>
      <c r="E1013">
        <f t="shared" si="60"/>
        <v>4.1742550925925916E-2</v>
      </c>
      <c r="F1013">
        <f t="shared" si="61"/>
        <v>4.1445773553240743E-2</v>
      </c>
      <c r="G1013">
        <f t="shared" si="62"/>
        <v>1</v>
      </c>
      <c r="H1013">
        <f t="shared" si="63"/>
        <v>0.50091061111111101</v>
      </c>
    </row>
    <row r="1014" spans="1:8" x14ac:dyDescent="0.25">
      <c r="A1014">
        <v>1087</v>
      </c>
      <c r="B1014">
        <v>10</v>
      </c>
      <c r="C1014">
        <v>10.02109611111111</v>
      </c>
      <c r="D1014">
        <v>9.9593144570705547</v>
      </c>
      <c r="E1014">
        <f t="shared" si="60"/>
        <v>4.1754567129629626E-2</v>
      </c>
      <c r="F1014">
        <f t="shared" si="61"/>
        <v>4.1497143571127312E-2</v>
      </c>
      <c r="G1014">
        <f t="shared" si="62"/>
        <v>1</v>
      </c>
      <c r="H1014">
        <f t="shared" si="63"/>
        <v>0.50105480555555548</v>
      </c>
    </row>
    <row r="1015" spans="1:8" x14ac:dyDescent="0.25">
      <c r="A1015">
        <v>1087</v>
      </c>
      <c r="B1015">
        <v>11</v>
      </c>
      <c r="C1015">
        <v>10.07889611111111</v>
      </c>
      <c r="D1015">
        <v>9.9405596717169438</v>
      </c>
      <c r="E1015">
        <f t="shared" si="60"/>
        <v>4.1995400462962962E-2</v>
      </c>
      <c r="F1015">
        <f t="shared" si="61"/>
        <v>4.1418998632153932E-2</v>
      </c>
      <c r="G1015">
        <f t="shared" si="62"/>
        <v>1</v>
      </c>
      <c r="H1015">
        <f t="shared" si="63"/>
        <v>0.50394480555555554</v>
      </c>
    </row>
    <row r="1016" spans="1:8" x14ac:dyDescent="0.25">
      <c r="A1016">
        <v>1087</v>
      </c>
      <c r="B1016">
        <v>12</v>
      </c>
      <c r="C1016">
        <v>10.01556111111111</v>
      </c>
      <c r="D1016">
        <v>9.9261978306877783</v>
      </c>
      <c r="E1016">
        <f t="shared" si="60"/>
        <v>4.1731504629629622E-2</v>
      </c>
      <c r="F1016">
        <f t="shared" si="61"/>
        <v>4.1359157627865746E-2</v>
      </c>
      <c r="G1016">
        <f t="shared" si="62"/>
        <v>1</v>
      </c>
      <c r="H1016">
        <f t="shared" si="63"/>
        <v>0.50077805555555543</v>
      </c>
    </row>
    <row r="1017" spans="1:8" x14ac:dyDescent="0.25">
      <c r="A1017">
        <v>1088</v>
      </c>
      <c r="B1017">
        <v>1</v>
      </c>
      <c r="C1017">
        <v>9.1505555555555542</v>
      </c>
      <c r="D1017">
        <v>9.0605555555555561</v>
      </c>
      <c r="E1017">
        <f t="shared" si="60"/>
        <v>3.8127314814814808E-2</v>
      </c>
      <c r="F1017">
        <f t="shared" si="61"/>
        <v>3.7752314814814815E-2</v>
      </c>
      <c r="G1017">
        <f t="shared" si="62"/>
        <v>1</v>
      </c>
      <c r="H1017">
        <f t="shared" si="63"/>
        <v>0.4575277777777777</v>
      </c>
    </row>
    <row r="1018" spans="1:8" x14ac:dyDescent="0.25">
      <c r="A1018">
        <v>1088</v>
      </c>
      <c r="B1018">
        <v>2</v>
      </c>
      <c r="C1018">
        <v>9.977321388888889</v>
      </c>
      <c r="D1018">
        <v>9.8141076136361107</v>
      </c>
      <c r="E1018">
        <f t="shared" si="60"/>
        <v>4.1572172453703704E-2</v>
      </c>
      <c r="F1018">
        <f t="shared" si="61"/>
        <v>4.0892115056817127E-2</v>
      </c>
      <c r="G1018">
        <f t="shared" si="62"/>
        <v>1</v>
      </c>
      <c r="H1018">
        <f t="shared" si="63"/>
        <v>0.49886606944444445</v>
      </c>
    </row>
    <row r="1019" spans="1:8" x14ac:dyDescent="0.25">
      <c r="A1019">
        <v>1088</v>
      </c>
      <c r="B1019">
        <v>3</v>
      </c>
      <c r="C1019">
        <v>9.9755000000000003</v>
      </c>
      <c r="D1019">
        <v>9.9169425138888894</v>
      </c>
      <c r="E1019">
        <f t="shared" si="60"/>
        <v>4.1564583333333335E-2</v>
      </c>
      <c r="F1019">
        <f t="shared" si="61"/>
        <v>4.1320593807870371E-2</v>
      </c>
      <c r="G1019">
        <f t="shared" si="62"/>
        <v>1</v>
      </c>
      <c r="H1019">
        <f t="shared" si="63"/>
        <v>0.49877500000000002</v>
      </c>
    </row>
    <row r="1020" spans="1:8" x14ac:dyDescent="0.25">
      <c r="A1020">
        <v>1088</v>
      </c>
      <c r="B1020">
        <v>4</v>
      </c>
      <c r="C1020">
        <v>9.963719444444445</v>
      </c>
      <c r="D1020">
        <v>9.8394300000000001</v>
      </c>
      <c r="E1020">
        <f t="shared" si="60"/>
        <v>4.1515497685185192E-2</v>
      </c>
      <c r="F1020">
        <f t="shared" si="61"/>
        <v>4.0997625000000003E-2</v>
      </c>
      <c r="G1020">
        <f t="shared" si="62"/>
        <v>1</v>
      </c>
      <c r="H1020">
        <f t="shared" si="63"/>
        <v>0.49818597222222227</v>
      </c>
    </row>
    <row r="1021" spans="1:8" x14ac:dyDescent="0.25">
      <c r="A1021">
        <v>1088</v>
      </c>
      <c r="B1021">
        <v>5</v>
      </c>
      <c r="C1021">
        <v>9.9622825000000006</v>
      </c>
      <c r="D1021">
        <v>9.9304938055555549</v>
      </c>
      <c r="E1021">
        <f t="shared" si="60"/>
        <v>4.1509510416666666E-2</v>
      </c>
      <c r="F1021">
        <f t="shared" si="61"/>
        <v>4.1377057523148145E-2</v>
      </c>
      <c r="G1021">
        <f t="shared" si="62"/>
        <v>1</v>
      </c>
      <c r="H1021">
        <f t="shared" si="63"/>
        <v>0.49811412499999996</v>
      </c>
    </row>
    <row r="1022" spans="1:8" x14ac:dyDescent="0.25">
      <c r="A1022">
        <v>1088</v>
      </c>
      <c r="B1022">
        <v>6</v>
      </c>
      <c r="C1022">
        <v>9.9706499999999991</v>
      </c>
      <c r="D1022">
        <v>9.8282007916666672</v>
      </c>
      <c r="E1022">
        <f t="shared" si="60"/>
        <v>4.1544374999999995E-2</v>
      </c>
      <c r="F1022">
        <f t="shared" si="61"/>
        <v>4.0950836631944446E-2</v>
      </c>
      <c r="G1022">
        <f t="shared" si="62"/>
        <v>1</v>
      </c>
      <c r="H1022">
        <f t="shared" si="63"/>
        <v>0.49853249999999993</v>
      </c>
    </row>
    <row r="1023" spans="1:8" x14ac:dyDescent="0.25">
      <c r="A1023">
        <v>1088</v>
      </c>
      <c r="B1023">
        <v>7</v>
      </c>
      <c r="C1023">
        <v>10.03870805555556</v>
      </c>
      <c r="D1023">
        <v>9.9447362222222218</v>
      </c>
      <c r="E1023">
        <f t="shared" si="60"/>
        <v>4.1827950231481503E-2</v>
      </c>
      <c r="F1023">
        <f t="shared" si="61"/>
        <v>4.1436400925925924E-2</v>
      </c>
      <c r="G1023">
        <f t="shared" si="62"/>
        <v>1</v>
      </c>
      <c r="H1023">
        <f t="shared" si="63"/>
        <v>0.50193540277777804</v>
      </c>
    </row>
    <row r="1024" spans="1:8" x14ac:dyDescent="0.25">
      <c r="A1024">
        <v>1088</v>
      </c>
      <c r="B1024">
        <v>8</v>
      </c>
      <c r="C1024">
        <v>9.9712908333333328</v>
      </c>
      <c r="D1024">
        <v>9.9131475362316674</v>
      </c>
      <c r="E1024">
        <f t="shared" si="60"/>
        <v>4.1547045138888884E-2</v>
      </c>
      <c r="F1024">
        <f t="shared" si="61"/>
        <v>4.1304781400965281E-2</v>
      </c>
      <c r="G1024">
        <f t="shared" si="62"/>
        <v>1</v>
      </c>
      <c r="H1024">
        <f t="shared" si="63"/>
        <v>0.49856454166666664</v>
      </c>
    </row>
    <row r="1025" spans="1:8" x14ac:dyDescent="0.25">
      <c r="A1025">
        <v>1088</v>
      </c>
      <c r="B1025">
        <v>9</v>
      </c>
      <c r="C1025">
        <v>9.9473075000000009</v>
      </c>
      <c r="D1025">
        <v>9.8977786944444439</v>
      </c>
      <c r="E1025">
        <f t="shared" si="60"/>
        <v>4.144711458333334E-2</v>
      </c>
      <c r="F1025">
        <f t="shared" si="61"/>
        <v>4.1240744560185179E-2</v>
      </c>
      <c r="G1025">
        <f t="shared" si="62"/>
        <v>1</v>
      </c>
      <c r="H1025">
        <f t="shared" si="63"/>
        <v>0.49736537500000011</v>
      </c>
    </row>
    <row r="1026" spans="1:8" x14ac:dyDescent="0.25">
      <c r="A1026">
        <v>1088</v>
      </c>
      <c r="B1026">
        <v>10</v>
      </c>
      <c r="C1026">
        <v>10.08061861111111</v>
      </c>
      <c r="D1026">
        <v>9.9180646717169445</v>
      </c>
      <c r="E1026">
        <f t="shared" ref="E1026:E1089" si="64">+C1026/20/12</f>
        <v>4.2002577546296292E-2</v>
      </c>
      <c r="F1026">
        <f t="shared" ref="F1026:F1089" si="65">+D1026/20/12</f>
        <v>4.1325269465487265E-2</v>
      </c>
      <c r="G1026">
        <f t="shared" ref="G1026:G1089" si="66">+ROUNDUP(E1026*12,0)</f>
        <v>1</v>
      </c>
      <c r="H1026">
        <f t="shared" ref="H1026:H1089" si="67">+E1026*12</f>
        <v>0.50403093055555548</v>
      </c>
    </row>
    <row r="1027" spans="1:8" x14ac:dyDescent="0.25">
      <c r="A1027">
        <v>1088</v>
      </c>
      <c r="B1027">
        <v>11</v>
      </c>
      <c r="C1027">
        <v>9.9632063888888887</v>
      </c>
      <c r="D1027">
        <v>9.8989757828280549</v>
      </c>
      <c r="E1027">
        <f t="shared" si="64"/>
        <v>4.1513359953703706E-2</v>
      </c>
      <c r="F1027">
        <f t="shared" si="65"/>
        <v>4.1245732428450227E-2</v>
      </c>
      <c r="G1027">
        <f t="shared" si="66"/>
        <v>1</v>
      </c>
      <c r="H1027">
        <f t="shared" si="67"/>
        <v>0.4981603194444445</v>
      </c>
    </row>
    <row r="1028" spans="1:8" x14ac:dyDescent="0.25">
      <c r="A1028">
        <v>1088</v>
      </c>
      <c r="B1028">
        <v>12</v>
      </c>
      <c r="C1028">
        <v>9.9543047222222221</v>
      </c>
      <c r="D1028">
        <v>9.8237225264550005</v>
      </c>
      <c r="E1028">
        <f t="shared" si="64"/>
        <v>4.1476269675925929E-2</v>
      </c>
      <c r="F1028">
        <f t="shared" si="65"/>
        <v>4.0932177193562506E-2</v>
      </c>
      <c r="G1028">
        <f t="shared" si="66"/>
        <v>1</v>
      </c>
      <c r="H1028">
        <f t="shared" si="67"/>
        <v>0.49771523611111113</v>
      </c>
    </row>
    <row r="1029" spans="1:8" x14ac:dyDescent="0.25">
      <c r="A1029">
        <v>1089</v>
      </c>
      <c r="B1029">
        <v>1</v>
      </c>
      <c r="C1029">
        <v>9.0461111111111112</v>
      </c>
      <c r="D1029">
        <v>8.1636111111111109</v>
      </c>
      <c r="E1029">
        <f t="shared" si="64"/>
        <v>3.7692129629629631E-2</v>
      </c>
      <c r="F1029">
        <f t="shared" si="65"/>
        <v>3.4015046296296293E-2</v>
      </c>
      <c r="G1029">
        <f t="shared" si="66"/>
        <v>1</v>
      </c>
      <c r="H1029">
        <f t="shared" si="67"/>
        <v>0.45230555555555557</v>
      </c>
    </row>
    <row r="1030" spans="1:8" x14ac:dyDescent="0.25">
      <c r="A1030">
        <v>1089</v>
      </c>
      <c r="B1030">
        <v>2</v>
      </c>
      <c r="C1030">
        <v>9.018527777777777</v>
      </c>
      <c r="D1030">
        <v>8.9118661868686111</v>
      </c>
      <c r="E1030">
        <f t="shared" si="64"/>
        <v>3.7577199074074072E-2</v>
      </c>
      <c r="F1030">
        <f t="shared" si="65"/>
        <v>3.7132775778619211E-2</v>
      </c>
      <c r="G1030">
        <f t="shared" si="66"/>
        <v>1</v>
      </c>
      <c r="H1030">
        <f t="shared" si="67"/>
        <v>0.45092638888888886</v>
      </c>
    </row>
    <row r="1031" spans="1:8" x14ac:dyDescent="0.25">
      <c r="A1031">
        <v>1089</v>
      </c>
      <c r="B1031">
        <v>3</v>
      </c>
      <c r="C1031">
        <v>10.36280555555556</v>
      </c>
      <c r="D1031">
        <v>8.9300771111111104</v>
      </c>
      <c r="E1031">
        <f t="shared" si="64"/>
        <v>4.3178356481481502E-2</v>
      </c>
      <c r="F1031">
        <f t="shared" si="65"/>
        <v>3.7208654629629627E-2</v>
      </c>
      <c r="G1031">
        <f t="shared" si="66"/>
        <v>1</v>
      </c>
      <c r="H1031">
        <f t="shared" si="67"/>
        <v>0.51814027777777805</v>
      </c>
    </row>
    <row r="1032" spans="1:8" x14ac:dyDescent="0.25">
      <c r="A1032">
        <v>1089</v>
      </c>
      <c r="B1032">
        <v>4</v>
      </c>
      <c r="C1032">
        <v>8.9563483333333327</v>
      </c>
      <c r="D1032">
        <v>8.7480553306877784</v>
      </c>
      <c r="E1032">
        <f t="shared" si="64"/>
        <v>3.7318118055555551E-2</v>
      </c>
      <c r="F1032">
        <f t="shared" si="65"/>
        <v>3.6450230544532412E-2</v>
      </c>
      <c r="G1032">
        <f t="shared" si="66"/>
        <v>1</v>
      </c>
      <c r="H1032">
        <f t="shared" si="67"/>
        <v>0.44781741666666663</v>
      </c>
    </row>
    <row r="1033" spans="1:8" x14ac:dyDescent="0.25">
      <c r="A1033">
        <v>1089</v>
      </c>
      <c r="B1033">
        <v>5</v>
      </c>
      <c r="C1033">
        <v>9.0418516666666662</v>
      </c>
      <c r="D1033">
        <v>8.1673395000000006</v>
      </c>
      <c r="E1033">
        <f t="shared" si="64"/>
        <v>3.7674381944444439E-2</v>
      </c>
      <c r="F1033">
        <f t="shared" si="65"/>
        <v>3.4030581250000004E-2</v>
      </c>
      <c r="G1033">
        <f t="shared" si="66"/>
        <v>1</v>
      </c>
      <c r="H1033">
        <f t="shared" si="67"/>
        <v>0.45209258333333324</v>
      </c>
    </row>
    <row r="1034" spans="1:8" x14ac:dyDescent="0.25">
      <c r="A1034">
        <v>1089</v>
      </c>
      <c r="B1034">
        <v>6</v>
      </c>
      <c r="C1034">
        <v>9.0565813888888886</v>
      </c>
      <c r="D1034">
        <v>8.9240434305555549</v>
      </c>
      <c r="E1034">
        <f t="shared" si="64"/>
        <v>3.7735755787037036E-2</v>
      </c>
      <c r="F1034">
        <f t="shared" si="65"/>
        <v>3.7183514293981479E-2</v>
      </c>
      <c r="G1034">
        <f t="shared" si="66"/>
        <v>1</v>
      </c>
      <c r="H1034">
        <f t="shared" si="67"/>
        <v>0.45282906944444445</v>
      </c>
    </row>
    <row r="1035" spans="1:8" x14ac:dyDescent="0.25">
      <c r="A1035">
        <v>1089</v>
      </c>
      <c r="B1035">
        <v>7</v>
      </c>
      <c r="C1035">
        <v>9.0067130555555561</v>
      </c>
      <c r="D1035">
        <v>8.4305652116399994</v>
      </c>
      <c r="E1035">
        <f t="shared" si="64"/>
        <v>3.752797106481482E-2</v>
      </c>
      <c r="F1035">
        <f t="shared" si="65"/>
        <v>3.5127355048500002E-2</v>
      </c>
      <c r="G1035">
        <f t="shared" si="66"/>
        <v>1</v>
      </c>
      <c r="H1035">
        <f t="shared" si="67"/>
        <v>0.45033565277777787</v>
      </c>
    </row>
    <row r="1036" spans="1:8" x14ac:dyDescent="0.25">
      <c r="A1036">
        <v>1089</v>
      </c>
      <c r="B1036">
        <v>8</v>
      </c>
      <c r="C1036">
        <v>9.1623527777777785</v>
      </c>
      <c r="D1036">
        <v>8.8768050362316675</v>
      </c>
      <c r="E1036">
        <f t="shared" si="64"/>
        <v>3.8176469907407411E-2</v>
      </c>
      <c r="F1036">
        <f t="shared" si="65"/>
        <v>3.6986687650965279E-2</v>
      </c>
      <c r="G1036">
        <f t="shared" si="66"/>
        <v>1</v>
      </c>
      <c r="H1036">
        <f t="shared" si="67"/>
        <v>0.4581176388888889</v>
      </c>
    </row>
    <row r="1037" spans="1:8" x14ac:dyDescent="0.25">
      <c r="A1037">
        <v>1089</v>
      </c>
      <c r="B1037">
        <v>9</v>
      </c>
      <c r="C1037">
        <v>14.52230611111111</v>
      </c>
      <c r="D1037">
        <v>10.34347004166667</v>
      </c>
      <c r="E1037">
        <f t="shared" si="64"/>
        <v>6.0509608796296292E-2</v>
      </c>
      <c r="F1037">
        <f t="shared" si="65"/>
        <v>4.3097791840277788E-2</v>
      </c>
      <c r="G1037">
        <f t="shared" si="66"/>
        <v>1</v>
      </c>
      <c r="H1037">
        <f t="shared" si="67"/>
        <v>0.72611530555555548</v>
      </c>
    </row>
    <row r="1038" spans="1:8" x14ac:dyDescent="0.25">
      <c r="A1038">
        <v>1089</v>
      </c>
      <c r="B1038">
        <v>10</v>
      </c>
      <c r="C1038">
        <v>9.6179583333333341</v>
      </c>
      <c r="D1038">
        <v>8.8237060227272224</v>
      </c>
      <c r="E1038">
        <f t="shared" si="64"/>
        <v>4.0074826388888894E-2</v>
      </c>
      <c r="F1038">
        <f t="shared" si="65"/>
        <v>3.6765441761363427E-2</v>
      </c>
      <c r="G1038">
        <f t="shared" si="66"/>
        <v>1</v>
      </c>
      <c r="H1038">
        <f t="shared" si="67"/>
        <v>0.4808979166666667</v>
      </c>
    </row>
    <row r="1039" spans="1:8" x14ac:dyDescent="0.25">
      <c r="A1039">
        <v>1089</v>
      </c>
      <c r="B1039">
        <v>11</v>
      </c>
      <c r="C1039">
        <v>10.674969166666671</v>
      </c>
      <c r="D1039">
        <v>8.8878129924241662</v>
      </c>
      <c r="E1039">
        <f t="shared" si="64"/>
        <v>4.4479038194444459E-2</v>
      </c>
      <c r="F1039">
        <f t="shared" si="65"/>
        <v>3.7032554135100697E-2</v>
      </c>
      <c r="G1039">
        <f t="shared" si="66"/>
        <v>1</v>
      </c>
      <c r="H1039">
        <f t="shared" si="67"/>
        <v>0.53374845833333351</v>
      </c>
    </row>
    <row r="1040" spans="1:8" x14ac:dyDescent="0.25">
      <c r="A1040">
        <v>1089</v>
      </c>
      <c r="B1040">
        <v>12</v>
      </c>
      <c r="C1040">
        <v>9.1328963888888897</v>
      </c>
      <c r="D1040">
        <v>8.9166299074072217</v>
      </c>
      <c r="E1040">
        <f t="shared" si="64"/>
        <v>3.8053734953703705E-2</v>
      </c>
      <c r="F1040">
        <f t="shared" si="65"/>
        <v>3.7152624614196758E-2</v>
      </c>
      <c r="G1040">
        <f t="shared" si="66"/>
        <v>1</v>
      </c>
      <c r="H1040">
        <f t="shared" si="67"/>
        <v>0.45664481944444446</v>
      </c>
    </row>
    <row r="1041" spans="1:8" x14ac:dyDescent="0.25">
      <c r="A1041">
        <v>1090</v>
      </c>
      <c r="B1041">
        <v>1</v>
      </c>
      <c r="C1041">
        <v>8.8822222222222216</v>
      </c>
      <c r="D1041">
        <v>1.8369444444444445</v>
      </c>
      <c r="E1041">
        <f t="shared" si="64"/>
        <v>3.7009259259259256E-2</v>
      </c>
      <c r="F1041">
        <f t="shared" si="65"/>
        <v>7.6539351851851846E-3</v>
      </c>
      <c r="G1041">
        <f t="shared" si="66"/>
        <v>1</v>
      </c>
      <c r="H1041">
        <f t="shared" si="67"/>
        <v>0.44411111111111107</v>
      </c>
    </row>
    <row r="1042" spans="1:8" x14ac:dyDescent="0.25">
      <c r="A1042">
        <v>1090</v>
      </c>
      <c r="B1042">
        <v>2</v>
      </c>
      <c r="C1042">
        <v>11.906021944444451</v>
      </c>
      <c r="D1042">
        <v>2.715324936868611</v>
      </c>
      <c r="E1042">
        <f t="shared" si="64"/>
        <v>4.9608424768518546E-2</v>
      </c>
      <c r="F1042">
        <f t="shared" si="65"/>
        <v>1.1313853903619213E-2</v>
      </c>
      <c r="G1042">
        <f t="shared" si="66"/>
        <v>1</v>
      </c>
      <c r="H1042">
        <f t="shared" si="67"/>
        <v>0.59530109722222257</v>
      </c>
    </row>
    <row r="1043" spans="1:8" x14ac:dyDescent="0.25">
      <c r="A1043">
        <v>1090</v>
      </c>
      <c r="B1043">
        <v>3</v>
      </c>
      <c r="C1043">
        <v>10.58959472222222</v>
      </c>
      <c r="D1043">
        <v>2.270959833333333</v>
      </c>
      <c r="E1043">
        <f t="shared" si="64"/>
        <v>4.4123311342592585E-2</v>
      </c>
      <c r="F1043">
        <f t="shared" si="65"/>
        <v>9.4623326388888884E-3</v>
      </c>
      <c r="G1043">
        <f t="shared" si="66"/>
        <v>1</v>
      </c>
      <c r="H1043">
        <f t="shared" si="67"/>
        <v>0.52947973611111099</v>
      </c>
    </row>
    <row r="1044" spans="1:8" x14ac:dyDescent="0.25">
      <c r="A1044">
        <v>1090</v>
      </c>
      <c r="B1044">
        <v>4</v>
      </c>
      <c r="C1044">
        <v>11.977575277777779</v>
      </c>
      <c r="D1044">
        <v>2.0219810978833328</v>
      </c>
      <c r="E1044">
        <f t="shared" si="64"/>
        <v>4.9906563657407414E-2</v>
      </c>
      <c r="F1044">
        <f t="shared" si="65"/>
        <v>8.4249212411805531E-3</v>
      </c>
      <c r="G1044">
        <f t="shared" si="66"/>
        <v>1</v>
      </c>
      <c r="H1044">
        <f t="shared" si="67"/>
        <v>0.59887876388888894</v>
      </c>
    </row>
    <row r="1045" spans="1:8" x14ac:dyDescent="0.25">
      <c r="A1045">
        <v>1090</v>
      </c>
      <c r="B1045">
        <v>5</v>
      </c>
      <c r="C1045">
        <v>10.508550833333331</v>
      </c>
      <c r="D1045">
        <v>2.2239684305555549</v>
      </c>
      <c r="E1045">
        <f t="shared" si="64"/>
        <v>4.3785628472222206E-2</v>
      </c>
      <c r="F1045">
        <f t="shared" si="65"/>
        <v>9.2665351273148126E-3</v>
      </c>
      <c r="G1045">
        <f t="shared" si="66"/>
        <v>1</v>
      </c>
      <c r="H1045">
        <f t="shared" si="67"/>
        <v>0.5254275416666665</v>
      </c>
    </row>
    <row r="1046" spans="1:8" x14ac:dyDescent="0.25">
      <c r="A1046">
        <v>1090</v>
      </c>
      <c r="B1046">
        <v>6</v>
      </c>
      <c r="C1046">
        <v>11.95990416666667</v>
      </c>
      <c r="D1046">
        <v>2.803762847222222</v>
      </c>
      <c r="E1046">
        <f t="shared" si="64"/>
        <v>4.9832934027777796E-2</v>
      </c>
      <c r="F1046">
        <f t="shared" si="65"/>
        <v>1.1682345196759258E-2</v>
      </c>
      <c r="G1046">
        <f t="shared" si="66"/>
        <v>1</v>
      </c>
      <c r="H1046">
        <f t="shared" si="67"/>
        <v>0.59799520833333353</v>
      </c>
    </row>
    <row r="1047" spans="1:8" x14ac:dyDescent="0.25">
      <c r="A1047">
        <v>1090</v>
      </c>
      <c r="B1047">
        <v>7</v>
      </c>
      <c r="C1047">
        <v>7.0655216666666663</v>
      </c>
      <c r="D1047">
        <v>1.6628562222222221</v>
      </c>
      <c r="E1047">
        <f t="shared" si="64"/>
        <v>2.9439673611111109E-2</v>
      </c>
      <c r="F1047">
        <f t="shared" si="65"/>
        <v>6.9285675925925922E-3</v>
      </c>
      <c r="G1047">
        <f t="shared" si="66"/>
        <v>1</v>
      </c>
      <c r="H1047">
        <f t="shared" si="67"/>
        <v>0.35327608333333332</v>
      </c>
    </row>
    <row r="1048" spans="1:8" x14ac:dyDescent="0.25">
      <c r="A1048">
        <v>1090</v>
      </c>
      <c r="B1048">
        <v>8</v>
      </c>
      <c r="C1048">
        <v>8.3410449999999994</v>
      </c>
      <c r="D1048">
        <v>1.8228951811591669</v>
      </c>
      <c r="E1048">
        <f t="shared" si="64"/>
        <v>3.4754354166666661E-2</v>
      </c>
      <c r="F1048">
        <f t="shared" si="65"/>
        <v>7.595396588163196E-3</v>
      </c>
      <c r="G1048">
        <f t="shared" si="66"/>
        <v>1</v>
      </c>
      <c r="H1048">
        <f t="shared" si="67"/>
        <v>0.4170522499999999</v>
      </c>
    </row>
    <row r="1049" spans="1:8" x14ac:dyDescent="0.25">
      <c r="A1049">
        <v>1090</v>
      </c>
      <c r="B1049">
        <v>9</v>
      </c>
      <c r="C1049">
        <v>5.5594566666666667</v>
      </c>
      <c r="D1049">
        <v>1.273359652777778</v>
      </c>
      <c r="E1049">
        <f t="shared" si="64"/>
        <v>2.3164402777777777E-2</v>
      </c>
      <c r="F1049">
        <f t="shared" si="65"/>
        <v>5.3056652199074085E-3</v>
      </c>
      <c r="G1049">
        <f t="shared" si="66"/>
        <v>1</v>
      </c>
      <c r="H1049">
        <f t="shared" si="67"/>
        <v>0.27797283333333334</v>
      </c>
    </row>
    <row r="1050" spans="1:8" x14ac:dyDescent="0.25">
      <c r="A1050">
        <v>1090</v>
      </c>
      <c r="B1050">
        <v>10</v>
      </c>
      <c r="C1050">
        <v>7.5480263888888892</v>
      </c>
      <c r="D1050">
        <v>1.3917904924241671</v>
      </c>
      <c r="E1050">
        <f t="shared" si="64"/>
        <v>3.1450109953703703E-2</v>
      </c>
      <c r="F1050">
        <f t="shared" si="65"/>
        <v>5.7991270517673624E-3</v>
      </c>
      <c r="G1050">
        <f t="shared" si="66"/>
        <v>1</v>
      </c>
      <c r="H1050">
        <f t="shared" si="67"/>
        <v>0.37740131944444444</v>
      </c>
    </row>
    <row r="1051" spans="1:8" x14ac:dyDescent="0.25">
      <c r="A1051">
        <v>1090</v>
      </c>
      <c r="B1051">
        <v>11</v>
      </c>
      <c r="C1051">
        <v>11.953816111111109</v>
      </c>
      <c r="D1051">
        <v>1.9357561363636111</v>
      </c>
      <c r="E1051">
        <f t="shared" si="64"/>
        <v>4.9807567129629617E-2</v>
      </c>
      <c r="F1051">
        <f t="shared" si="65"/>
        <v>8.0656505681817123E-3</v>
      </c>
      <c r="G1051">
        <f t="shared" si="66"/>
        <v>1</v>
      </c>
      <c r="H1051">
        <f t="shared" si="67"/>
        <v>0.59769080555555543</v>
      </c>
    </row>
    <row r="1052" spans="1:8" x14ac:dyDescent="0.25">
      <c r="A1052">
        <v>1090</v>
      </c>
      <c r="B1052">
        <v>12</v>
      </c>
      <c r="C1052">
        <v>9.1748458333333325</v>
      </c>
      <c r="D1052">
        <v>1.9182989947088891</v>
      </c>
      <c r="E1052">
        <f t="shared" si="64"/>
        <v>3.8228524305555553E-2</v>
      </c>
      <c r="F1052">
        <f t="shared" si="65"/>
        <v>7.992912477953704E-3</v>
      </c>
      <c r="G1052">
        <f t="shared" si="66"/>
        <v>1</v>
      </c>
      <c r="H1052">
        <f t="shared" si="67"/>
        <v>0.45874229166666664</v>
      </c>
    </row>
    <row r="1053" spans="1:8" x14ac:dyDescent="0.25">
      <c r="A1053">
        <v>1091</v>
      </c>
      <c r="B1053">
        <v>1</v>
      </c>
      <c r="C1053">
        <v>8.7280555555555548</v>
      </c>
      <c r="D1053">
        <v>2.3977777777777778</v>
      </c>
      <c r="E1053">
        <f t="shared" si="64"/>
        <v>3.6366898148148148E-2</v>
      </c>
      <c r="F1053">
        <f t="shared" si="65"/>
        <v>9.990740740740741E-3</v>
      </c>
      <c r="G1053">
        <f t="shared" si="66"/>
        <v>1</v>
      </c>
      <c r="H1053">
        <f t="shared" si="67"/>
        <v>0.43640277777777781</v>
      </c>
    </row>
    <row r="1054" spans="1:8" x14ac:dyDescent="0.25">
      <c r="A1054">
        <v>1091</v>
      </c>
      <c r="B1054">
        <v>2</v>
      </c>
      <c r="C1054">
        <v>14.180636944444441</v>
      </c>
      <c r="D1054">
        <v>2.8087611666666672</v>
      </c>
      <c r="E1054">
        <f t="shared" si="64"/>
        <v>5.9085987268518499E-2</v>
      </c>
      <c r="F1054">
        <f t="shared" si="65"/>
        <v>1.170317152777778E-2</v>
      </c>
      <c r="G1054">
        <f t="shared" si="66"/>
        <v>1</v>
      </c>
      <c r="H1054">
        <f t="shared" si="67"/>
        <v>0.70903184722222201</v>
      </c>
    </row>
    <row r="1055" spans="1:8" x14ac:dyDescent="0.25">
      <c r="A1055">
        <v>1091</v>
      </c>
      <c r="B1055">
        <v>3</v>
      </c>
      <c r="C1055">
        <v>6.1220802777777781</v>
      </c>
      <c r="D1055">
        <v>2.1423449603172222</v>
      </c>
      <c r="E1055">
        <f t="shared" si="64"/>
        <v>2.5508667824074075E-2</v>
      </c>
      <c r="F1055">
        <f t="shared" si="65"/>
        <v>8.9264373346550924E-3</v>
      </c>
      <c r="G1055">
        <f t="shared" si="66"/>
        <v>1</v>
      </c>
      <c r="H1055">
        <f t="shared" si="67"/>
        <v>0.30610401388888892</v>
      </c>
    </row>
    <row r="1056" spans="1:8" x14ac:dyDescent="0.25">
      <c r="A1056">
        <v>1091</v>
      </c>
      <c r="B1056">
        <v>4</v>
      </c>
      <c r="C1056">
        <v>7.4711036111111113</v>
      </c>
      <c r="D1056">
        <v>2.0643718376066671</v>
      </c>
      <c r="E1056">
        <f t="shared" si="64"/>
        <v>3.1129598379629631E-2</v>
      </c>
      <c r="F1056">
        <f t="shared" si="65"/>
        <v>8.6015493233611139E-3</v>
      </c>
      <c r="G1056">
        <f t="shared" si="66"/>
        <v>1</v>
      </c>
      <c r="H1056">
        <f t="shared" si="67"/>
        <v>0.37355518055555559</v>
      </c>
    </row>
    <row r="1057" spans="1:8" x14ac:dyDescent="0.25">
      <c r="A1057">
        <v>1091</v>
      </c>
      <c r="B1057">
        <v>5</v>
      </c>
      <c r="C1057">
        <v>3.5098427777777781</v>
      </c>
      <c r="D1057">
        <v>1.170695813491945</v>
      </c>
      <c r="E1057">
        <f t="shared" si="64"/>
        <v>1.4624344907407409E-2</v>
      </c>
      <c r="F1057">
        <f t="shared" si="65"/>
        <v>4.8778992228831041E-3</v>
      </c>
      <c r="G1057">
        <f t="shared" si="66"/>
        <v>1</v>
      </c>
      <c r="H1057">
        <f t="shared" si="67"/>
        <v>0.1754921388888889</v>
      </c>
    </row>
    <row r="1058" spans="1:8" x14ac:dyDescent="0.25">
      <c r="A1058">
        <v>1091</v>
      </c>
      <c r="B1058">
        <v>6</v>
      </c>
      <c r="C1058">
        <v>56.152403888888891</v>
      </c>
      <c r="D1058">
        <v>16.64542662037028</v>
      </c>
      <c r="E1058">
        <f t="shared" si="64"/>
        <v>0.23396834953703705</v>
      </c>
      <c r="F1058">
        <f t="shared" si="65"/>
        <v>6.9355944251542831E-2</v>
      </c>
      <c r="G1058">
        <f t="shared" si="66"/>
        <v>3</v>
      </c>
      <c r="H1058">
        <f t="shared" si="67"/>
        <v>2.8076201944444446</v>
      </c>
    </row>
    <row r="1059" spans="1:8" x14ac:dyDescent="0.25">
      <c r="A1059">
        <v>1091</v>
      </c>
      <c r="B1059">
        <v>7</v>
      </c>
      <c r="C1059">
        <v>3.2925213888888889</v>
      </c>
      <c r="D1059">
        <v>0.75124551587277777</v>
      </c>
      <c r="E1059">
        <f t="shared" si="64"/>
        <v>1.371883912037037E-2</v>
      </c>
      <c r="F1059">
        <f t="shared" si="65"/>
        <v>3.1301896494699073E-3</v>
      </c>
      <c r="G1059">
        <f t="shared" si="66"/>
        <v>1</v>
      </c>
      <c r="H1059">
        <f t="shared" si="67"/>
        <v>0.16462606944444444</v>
      </c>
    </row>
    <row r="1060" spans="1:8" x14ac:dyDescent="0.25">
      <c r="A1060">
        <v>1091</v>
      </c>
      <c r="B1060">
        <v>8</v>
      </c>
      <c r="C1060">
        <v>0.53965888888888891</v>
      </c>
      <c r="D1060">
        <v>0.31747956349194439</v>
      </c>
      <c r="E1060">
        <f t="shared" si="64"/>
        <v>2.2485787037037036E-3</v>
      </c>
      <c r="F1060">
        <f t="shared" si="65"/>
        <v>1.3228315145497683E-3</v>
      </c>
      <c r="G1060">
        <f t="shared" si="66"/>
        <v>1</v>
      </c>
      <c r="H1060">
        <f t="shared" si="67"/>
        <v>2.6982944444444441E-2</v>
      </c>
    </row>
    <row r="1061" spans="1:8" x14ac:dyDescent="0.25">
      <c r="A1061">
        <v>1091</v>
      </c>
      <c r="B1061">
        <v>9</v>
      </c>
      <c r="C1061">
        <v>3.8048277777777781</v>
      </c>
      <c r="D1061">
        <v>0.77966985042722226</v>
      </c>
      <c r="E1061">
        <f t="shared" si="64"/>
        <v>1.5853449074074075E-2</v>
      </c>
      <c r="F1061">
        <f t="shared" si="65"/>
        <v>3.2486243767800931E-3</v>
      </c>
      <c r="G1061">
        <f t="shared" si="66"/>
        <v>1</v>
      </c>
      <c r="H1061">
        <f t="shared" si="67"/>
        <v>0.19024138888888892</v>
      </c>
    </row>
    <row r="1062" spans="1:8" x14ac:dyDescent="0.25">
      <c r="A1062">
        <v>1091</v>
      </c>
      <c r="B1062">
        <v>10</v>
      </c>
      <c r="C1062">
        <v>4.5236863888888887</v>
      </c>
      <c r="D1062">
        <v>1.084096198830278</v>
      </c>
      <c r="E1062">
        <f t="shared" si="64"/>
        <v>1.8848693287037036E-2</v>
      </c>
      <c r="F1062">
        <f t="shared" si="65"/>
        <v>4.5170674951261584E-3</v>
      </c>
      <c r="G1062">
        <f t="shared" si="66"/>
        <v>1</v>
      </c>
      <c r="H1062">
        <f t="shared" si="67"/>
        <v>0.22618431944444445</v>
      </c>
    </row>
    <row r="1063" spans="1:8" x14ac:dyDescent="0.25">
      <c r="A1063">
        <v>1091</v>
      </c>
      <c r="B1063">
        <v>11</v>
      </c>
      <c r="C1063">
        <v>4.3780749999999999</v>
      </c>
      <c r="D1063">
        <v>0.67664537698388894</v>
      </c>
      <c r="E1063">
        <f t="shared" si="64"/>
        <v>1.8241979166666668E-2</v>
      </c>
      <c r="F1063">
        <f t="shared" si="65"/>
        <v>2.8193557374328708E-3</v>
      </c>
      <c r="G1063">
        <f t="shared" si="66"/>
        <v>1</v>
      </c>
      <c r="H1063">
        <f t="shared" si="67"/>
        <v>0.21890375000000001</v>
      </c>
    </row>
    <row r="1064" spans="1:8" x14ac:dyDescent="0.25">
      <c r="A1064">
        <v>1091</v>
      </c>
      <c r="B1064">
        <v>12</v>
      </c>
      <c r="C1064">
        <v>0.75945305555555553</v>
      </c>
      <c r="D1064">
        <v>0.33068688492055548</v>
      </c>
      <c r="E1064">
        <f t="shared" si="64"/>
        <v>3.1643877314814811E-3</v>
      </c>
      <c r="F1064">
        <f t="shared" si="65"/>
        <v>1.3778620205023146E-3</v>
      </c>
      <c r="G1064">
        <f t="shared" si="66"/>
        <v>1</v>
      </c>
      <c r="H1064">
        <f t="shared" si="67"/>
        <v>3.7972652777777775E-2</v>
      </c>
    </row>
    <row r="1065" spans="1:8" x14ac:dyDescent="0.25">
      <c r="A1065">
        <v>1092</v>
      </c>
      <c r="B1065">
        <v>1</v>
      </c>
      <c r="C1065">
        <v>8.6283333333333339</v>
      </c>
      <c r="D1065">
        <v>2.0613888888888892</v>
      </c>
      <c r="E1065">
        <f t="shared" si="64"/>
        <v>3.5951388888888887E-2</v>
      </c>
      <c r="F1065">
        <f t="shared" si="65"/>
        <v>8.589120370370372E-3</v>
      </c>
      <c r="G1065">
        <f t="shared" si="66"/>
        <v>1</v>
      </c>
      <c r="H1065">
        <f t="shared" si="67"/>
        <v>0.43141666666666667</v>
      </c>
    </row>
    <row r="1066" spans="1:8" x14ac:dyDescent="0.25">
      <c r="A1066">
        <v>1092</v>
      </c>
      <c r="B1066">
        <v>2</v>
      </c>
      <c r="C1066">
        <v>3.3334297222222218</v>
      </c>
      <c r="D1066">
        <v>1.3047787037036109</v>
      </c>
      <c r="E1066">
        <f t="shared" si="64"/>
        <v>1.3889290509259258E-2</v>
      </c>
      <c r="F1066">
        <f t="shared" si="65"/>
        <v>5.4365779320983791E-3</v>
      </c>
      <c r="G1066">
        <f t="shared" si="66"/>
        <v>1</v>
      </c>
      <c r="H1066">
        <f t="shared" si="67"/>
        <v>0.1666714861111111</v>
      </c>
    </row>
    <row r="1067" spans="1:8" x14ac:dyDescent="0.25">
      <c r="A1067">
        <v>1092</v>
      </c>
      <c r="B1067">
        <v>3</v>
      </c>
      <c r="C1067">
        <v>4.7974047222222218</v>
      </c>
      <c r="D1067">
        <v>1.7696965972222221</v>
      </c>
      <c r="E1067">
        <f t="shared" si="64"/>
        <v>1.9989186342592589E-2</v>
      </c>
      <c r="F1067">
        <f t="shared" si="65"/>
        <v>7.373735821759258E-3</v>
      </c>
      <c r="G1067">
        <f t="shared" si="66"/>
        <v>1</v>
      </c>
      <c r="H1067">
        <f t="shared" si="67"/>
        <v>0.23987023611111108</v>
      </c>
    </row>
    <row r="1068" spans="1:8" x14ac:dyDescent="0.25">
      <c r="A1068">
        <v>1092</v>
      </c>
      <c r="B1068">
        <v>4</v>
      </c>
      <c r="C1068">
        <v>4.7774675000000002</v>
      </c>
      <c r="D1068">
        <v>2.0499303124999999</v>
      </c>
      <c r="E1068">
        <f t="shared" si="64"/>
        <v>1.9906114583333332E-2</v>
      </c>
      <c r="F1068">
        <f t="shared" si="65"/>
        <v>8.5413763020833321E-3</v>
      </c>
      <c r="G1068">
        <f t="shared" si="66"/>
        <v>1</v>
      </c>
      <c r="H1068">
        <f t="shared" si="67"/>
        <v>0.238873375</v>
      </c>
    </row>
    <row r="1069" spans="1:8" x14ac:dyDescent="0.25">
      <c r="A1069">
        <v>1092</v>
      </c>
      <c r="B1069">
        <v>5</v>
      </c>
      <c r="C1069">
        <v>6.6880555555555554E-2</v>
      </c>
      <c r="D1069">
        <v>4.6640055555555553E-2</v>
      </c>
      <c r="E1069">
        <f t="shared" si="64"/>
        <v>2.7866898148148147E-4</v>
      </c>
      <c r="F1069">
        <f t="shared" si="65"/>
        <v>1.943335648148148E-4</v>
      </c>
      <c r="G1069">
        <f t="shared" si="66"/>
        <v>1</v>
      </c>
      <c r="H1069">
        <f t="shared" si="67"/>
        <v>3.3440277777777774E-3</v>
      </c>
    </row>
    <row r="1070" spans="1:8" x14ac:dyDescent="0.25">
      <c r="A1070">
        <v>1092</v>
      </c>
      <c r="B1070">
        <v>6</v>
      </c>
      <c r="C1070">
        <v>4.2103091666666668</v>
      </c>
      <c r="D1070">
        <v>2.2312194444444451</v>
      </c>
      <c r="E1070">
        <f t="shared" si="64"/>
        <v>1.7542954861111112E-2</v>
      </c>
      <c r="F1070">
        <f t="shared" si="65"/>
        <v>9.2967476851851874E-3</v>
      </c>
      <c r="G1070">
        <f t="shared" si="66"/>
        <v>1</v>
      </c>
      <c r="H1070">
        <f t="shared" si="67"/>
        <v>0.21051545833333335</v>
      </c>
    </row>
    <row r="1071" spans="1:8" x14ac:dyDescent="0.25">
      <c r="A1071">
        <v>1092</v>
      </c>
      <c r="B1071">
        <v>7</v>
      </c>
      <c r="C1071">
        <v>8.1868400000000001</v>
      </c>
      <c r="D1071">
        <v>1.8887757870369439</v>
      </c>
      <c r="E1071">
        <f t="shared" si="64"/>
        <v>3.4111833333333334E-2</v>
      </c>
      <c r="F1071">
        <f t="shared" si="65"/>
        <v>7.8698991126539327E-3</v>
      </c>
      <c r="G1071">
        <f t="shared" si="66"/>
        <v>1</v>
      </c>
      <c r="H1071">
        <f t="shared" si="67"/>
        <v>0.40934199999999998</v>
      </c>
    </row>
    <row r="1072" spans="1:8" x14ac:dyDescent="0.25">
      <c r="A1072">
        <v>1092</v>
      </c>
      <c r="B1072">
        <v>8</v>
      </c>
      <c r="C1072">
        <v>23.532960277777779</v>
      </c>
      <c r="D1072">
        <v>2.417346085858334</v>
      </c>
      <c r="E1072">
        <f t="shared" si="64"/>
        <v>9.8054001157407408E-2</v>
      </c>
      <c r="F1072">
        <f t="shared" si="65"/>
        <v>1.0072275357743058E-2</v>
      </c>
      <c r="G1072">
        <f t="shared" si="66"/>
        <v>2</v>
      </c>
      <c r="H1072">
        <f t="shared" si="67"/>
        <v>1.1766480138888888</v>
      </c>
    </row>
    <row r="1073" spans="1:8" x14ac:dyDescent="0.25">
      <c r="A1073">
        <v>1092</v>
      </c>
      <c r="B1073">
        <v>9</v>
      </c>
      <c r="C1073">
        <v>45.912235555555547</v>
      </c>
      <c r="D1073">
        <v>11.85167344444444</v>
      </c>
      <c r="E1073">
        <f t="shared" si="64"/>
        <v>0.19130098148148145</v>
      </c>
      <c r="F1073">
        <f t="shared" si="65"/>
        <v>4.9381972685185162E-2</v>
      </c>
      <c r="G1073">
        <f t="shared" si="66"/>
        <v>3</v>
      </c>
      <c r="H1073">
        <f t="shared" si="67"/>
        <v>2.2956117777777774</v>
      </c>
    </row>
    <row r="1074" spans="1:8" x14ac:dyDescent="0.25">
      <c r="A1074">
        <v>1092</v>
      </c>
      <c r="B1074">
        <v>10</v>
      </c>
      <c r="C1074">
        <v>2.4561647222222218</v>
      </c>
      <c r="D1074">
        <v>0.42463796296277778</v>
      </c>
      <c r="E1074">
        <f t="shared" si="64"/>
        <v>1.0234019675925925E-2</v>
      </c>
      <c r="F1074">
        <f t="shared" si="65"/>
        <v>1.7693248456782408E-3</v>
      </c>
      <c r="G1074">
        <f t="shared" si="66"/>
        <v>1</v>
      </c>
      <c r="H1074">
        <f t="shared" si="67"/>
        <v>0.12280823611111111</v>
      </c>
    </row>
    <row r="1075" spans="1:8" x14ac:dyDescent="0.25">
      <c r="A1075">
        <v>1092</v>
      </c>
      <c r="B1075">
        <v>11</v>
      </c>
      <c r="C1075">
        <v>5.0163836111111113</v>
      </c>
      <c r="D1075">
        <v>0.56561294191916667</v>
      </c>
      <c r="E1075">
        <f t="shared" si="64"/>
        <v>2.090159837962963E-2</v>
      </c>
      <c r="F1075">
        <f t="shared" si="65"/>
        <v>2.356720591329861E-3</v>
      </c>
      <c r="G1075">
        <f t="shared" si="66"/>
        <v>1</v>
      </c>
      <c r="H1075">
        <f t="shared" si="67"/>
        <v>0.25081918055555558</v>
      </c>
    </row>
    <row r="1076" spans="1:8" x14ac:dyDescent="0.25">
      <c r="A1076">
        <v>1092</v>
      </c>
      <c r="B1076">
        <v>12</v>
      </c>
      <c r="C1076">
        <v>1.2475108333333329</v>
      </c>
      <c r="D1076">
        <v>0.18516869047611109</v>
      </c>
      <c r="E1076">
        <f t="shared" si="64"/>
        <v>5.1979618055555538E-3</v>
      </c>
      <c r="F1076">
        <f t="shared" si="65"/>
        <v>7.7153621031712946E-4</v>
      </c>
      <c r="G1076">
        <f t="shared" si="66"/>
        <v>1</v>
      </c>
      <c r="H1076">
        <f t="shared" si="67"/>
        <v>6.2375541666666645E-2</v>
      </c>
    </row>
    <row r="1077" spans="1:8" x14ac:dyDescent="0.25">
      <c r="A1077">
        <v>1093</v>
      </c>
      <c r="B1077">
        <v>1</v>
      </c>
      <c r="C1077">
        <v>15.064722222222223</v>
      </c>
      <c r="D1077">
        <v>7.7066666666666661</v>
      </c>
      <c r="E1077">
        <f t="shared" si="64"/>
        <v>6.276967592592593E-2</v>
      </c>
      <c r="F1077">
        <f t="shared" si="65"/>
        <v>3.2111111111111111E-2</v>
      </c>
      <c r="G1077">
        <f t="shared" si="66"/>
        <v>1</v>
      </c>
      <c r="H1077">
        <f t="shared" si="67"/>
        <v>0.75323611111111122</v>
      </c>
    </row>
    <row r="1078" spans="1:8" x14ac:dyDescent="0.25">
      <c r="A1078">
        <v>1093</v>
      </c>
      <c r="B1078">
        <v>2</v>
      </c>
      <c r="C1078">
        <v>31.152512222222221</v>
      </c>
      <c r="D1078">
        <v>25.425915</v>
      </c>
      <c r="E1078">
        <f t="shared" si="64"/>
        <v>0.12980213425925927</v>
      </c>
      <c r="F1078">
        <f t="shared" si="65"/>
        <v>0.1059413125</v>
      </c>
      <c r="G1078">
        <f t="shared" si="66"/>
        <v>2</v>
      </c>
      <c r="H1078">
        <f t="shared" si="67"/>
        <v>1.5576256111111113</v>
      </c>
    </row>
    <row r="1079" spans="1:8" x14ac:dyDescent="0.25">
      <c r="A1079">
        <v>1093</v>
      </c>
      <c r="B1079">
        <v>3</v>
      </c>
      <c r="C1079">
        <v>31.055378611111109</v>
      </c>
      <c r="D1079">
        <v>8.7416697222222215</v>
      </c>
      <c r="E1079">
        <f t="shared" si="64"/>
        <v>0.12939741087962961</v>
      </c>
      <c r="F1079">
        <f t="shared" si="65"/>
        <v>3.6423623842592588E-2</v>
      </c>
      <c r="G1079">
        <f t="shared" si="66"/>
        <v>2</v>
      </c>
      <c r="H1079">
        <f t="shared" si="67"/>
        <v>1.5527689305555552</v>
      </c>
    </row>
    <row r="1080" spans="1:8" x14ac:dyDescent="0.25">
      <c r="A1080">
        <v>1093</v>
      </c>
      <c r="B1080">
        <v>4</v>
      </c>
      <c r="C1080">
        <v>27.90933861111111</v>
      </c>
      <c r="D1080">
        <v>11.802543518518331</v>
      </c>
      <c r="E1080">
        <f t="shared" si="64"/>
        <v>0.11628891087962963</v>
      </c>
      <c r="F1080">
        <f t="shared" si="65"/>
        <v>4.9177264660493047E-2</v>
      </c>
      <c r="G1080">
        <f t="shared" si="66"/>
        <v>2</v>
      </c>
      <c r="H1080">
        <f t="shared" si="67"/>
        <v>1.3954669305555556</v>
      </c>
    </row>
    <row r="1081" spans="1:8" x14ac:dyDescent="0.25">
      <c r="A1081">
        <v>1093</v>
      </c>
      <c r="B1081">
        <v>6</v>
      </c>
      <c r="C1081">
        <v>8.4228611111111115E-2</v>
      </c>
      <c r="D1081">
        <v>8.4228611111111115E-2</v>
      </c>
      <c r="E1081">
        <f t="shared" si="64"/>
        <v>3.5095254629629631E-4</v>
      </c>
      <c r="F1081">
        <f t="shared" si="65"/>
        <v>3.5095254629629631E-4</v>
      </c>
      <c r="G1081">
        <f t="shared" si="66"/>
        <v>1</v>
      </c>
      <c r="H1081">
        <f t="shared" si="67"/>
        <v>4.2114305555555559E-3</v>
      </c>
    </row>
    <row r="1082" spans="1:8" x14ac:dyDescent="0.25">
      <c r="A1082">
        <v>1093</v>
      </c>
      <c r="B1082">
        <v>12</v>
      </c>
      <c r="C1082">
        <v>0.18543138888888891</v>
      </c>
      <c r="D1082">
        <v>0.18543138888888891</v>
      </c>
      <c r="E1082">
        <f t="shared" si="64"/>
        <v>7.7263078703703706E-4</v>
      </c>
      <c r="F1082">
        <f t="shared" si="65"/>
        <v>7.7263078703703706E-4</v>
      </c>
      <c r="G1082">
        <f t="shared" si="66"/>
        <v>1</v>
      </c>
      <c r="H1082">
        <f t="shared" si="67"/>
        <v>9.2715694444444451E-3</v>
      </c>
    </row>
    <row r="1083" spans="1:8" x14ac:dyDescent="0.25">
      <c r="A1083">
        <v>1094</v>
      </c>
      <c r="B1083">
        <v>1</v>
      </c>
      <c r="C1083">
        <v>7.4861111111111116</v>
      </c>
      <c r="D1083">
        <v>3.5872222222222221</v>
      </c>
      <c r="E1083">
        <f t="shared" si="64"/>
        <v>3.1192129629629629E-2</v>
      </c>
      <c r="F1083">
        <f t="shared" si="65"/>
        <v>1.4946759259259259E-2</v>
      </c>
      <c r="G1083">
        <f t="shared" si="66"/>
        <v>1</v>
      </c>
      <c r="H1083">
        <f t="shared" si="67"/>
        <v>0.37430555555555556</v>
      </c>
    </row>
    <row r="1084" spans="1:8" x14ac:dyDescent="0.25">
      <c r="A1084">
        <v>1094</v>
      </c>
      <c r="B1084">
        <v>2</v>
      </c>
      <c r="C1084">
        <v>12.25247583333333</v>
      </c>
      <c r="D1084">
        <v>6.1877326262625001</v>
      </c>
      <c r="E1084">
        <f t="shared" si="64"/>
        <v>5.1051982638888875E-2</v>
      </c>
      <c r="F1084">
        <f t="shared" si="65"/>
        <v>2.5782219276093751E-2</v>
      </c>
      <c r="G1084">
        <f t="shared" si="66"/>
        <v>1</v>
      </c>
      <c r="H1084">
        <f t="shared" si="67"/>
        <v>0.61262379166666647</v>
      </c>
    </row>
    <row r="1085" spans="1:8" x14ac:dyDescent="0.25">
      <c r="A1085">
        <v>1094</v>
      </c>
      <c r="B1085">
        <v>3</v>
      </c>
      <c r="C1085">
        <v>10.36826111111111</v>
      </c>
      <c r="D1085">
        <v>4.2965979305555564</v>
      </c>
      <c r="E1085">
        <f t="shared" si="64"/>
        <v>4.3201087962962958E-2</v>
      </c>
      <c r="F1085">
        <f t="shared" si="65"/>
        <v>1.7902491377314818E-2</v>
      </c>
      <c r="G1085">
        <f t="shared" si="66"/>
        <v>1</v>
      </c>
      <c r="H1085">
        <f t="shared" si="67"/>
        <v>0.5184130555555555</v>
      </c>
    </row>
    <row r="1086" spans="1:8" x14ac:dyDescent="0.25">
      <c r="A1086">
        <v>1094</v>
      </c>
      <c r="B1086">
        <v>4</v>
      </c>
      <c r="C1086">
        <v>7.5938063888888889</v>
      </c>
      <c r="D1086">
        <v>3.7745183862433329</v>
      </c>
      <c r="E1086">
        <f t="shared" si="64"/>
        <v>3.16408599537037E-2</v>
      </c>
      <c r="F1086">
        <f t="shared" si="65"/>
        <v>1.5727159942680553E-2</v>
      </c>
      <c r="G1086">
        <f t="shared" si="66"/>
        <v>1</v>
      </c>
      <c r="H1086">
        <f t="shared" si="67"/>
        <v>0.37969031944444442</v>
      </c>
    </row>
    <row r="1087" spans="1:8" x14ac:dyDescent="0.25">
      <c r="A1087">
        <v>1094</v>
      </c>
      <c r="B1087">
        <v>5</v>
      </c>
      <c r="C1087">
        <v>12.443276944444451</v>
      </c>
      <c r="D1087">
        <v>5.2813224583333334</v>
      </c>
      <c r="E1087">
        <f t="shared" si="64"/>
        <v>5.1846987268518545E-2</v>
      </c>
      <c r="F1087">
        <f t="shared" si="65"/>
        <v>2.2005510243055554E-2</v>
      </c>
      <c r="G1087">
        <f t="shared" si="66"/>
        <v>1</v>
      </c>
      <c r="H1087">
        <f t="shared" si="67"/>
        <v>0.62216384722222251</v>
      </c>
    </row>
    <row r="1088" spans="1:8" x14ac:dyDescent="0.25">
      <c r="A1088">
        <v>1094</v>
      </c>
      <c r="B1088">
        <v>6</v>
      </c>
      <c r="C1088">
        <v>10.628250833333331</v>
      </c>
      <c r="D1088">
        <v>4.0737865277777781</v>
      </c>
      <c r="E1088">
        <f t="shared" si="64"/>
        <v>4.4284378472222212E-2</v>
      </c>
      <c r="F1088">
        <f t="shared" si="65"/>
        <v>1.6974110532407407E-2</v>
      </c>
      <c r="G1088">
        <f t="shared" si="66"/>
        <v>1</v>
      </c>
      <c r="H1088">
        <f t="shared" si="67"/>
        <v>0.53141254166666652</v>
      </c>
    </row>
    <row r="1089" spans="1:8" x14ac:dyDescent="0.25">
      <c r="A1089">
        <v>1094</v>
      </c>
      <c r="B1089">
        <v>7</v>
      </c>
      <c r="C1089">
        <v>11.371456388888889</v>
      </c>
      <c r="D1089">
        <v>3.547439444444445</v>
      </c>
      <c r="E1089">
        <f t="shared" si="64"/>
        <v>4.7381068287037038E-2</v>
      </c>
      <c r="F1089">
        <f t="shared" si="65"/>
        <v>1.4780997685185189E-2</v>
      </c>
      <c r="G1089">
        <f t="shared" si="66"/>
        <v>1</v>
      </c>
      <c r="H1089">
        <f t="shared" si="67"/>
        <v>0.56857281944444449</v>
      </c>
    </row>
    <row r="1090" spans="1:8" x14ac:dyDescent="0.25">
      <c r="A1090">
        <v>1094</v>
      </c>
      <c r="B1090">
        <v>8</v>
      </c>
      <c r="C1090">
        <v>4.9636463888888889</v>
      </c>
      <c r="D1090">
        <v>3.711458647342778</v>
      </c>
      <c r="E1090">
        <f t="shared" ref="E1090:E1153" si="68">+C1090/20/12</f>
        <v>2.0681859953703703E-2</v>
      </c>
      <c r="F1090">
        <f t="shared" ref="F1090:F1153" si="69">+D1090/20/12</f>
        <v>1.5464411030594908E-2</v>
      </c>
      <c r="G1090">
        <f t="shared" ref="G1090:G1153" si="70">+ROUNDUP(E1090*12,0)</f>
        <v>1</v>
      </c>
      <c r="H1090">
        <f t="shared" ref="H1090:H1153" si="71">+E1090*12</f>
        <v>0.24818231944444444</v>
      </c>
    </row>
    <row r="1091" spans="1:8" x14ac:dyDescent="0.25">
      <c r="A1091">
        <v>1094</v>
      </c>
      <c r="B1091">
        <v>9</v>
      </c>
      <c r="C1091">
        <v>2.547939722222222</v>
      </c>
      <c r="D1091">
        <v>1.187294166666667</v>
      </c>
      <c r="E1091">
        <f t="shared" si="68"/>
        <v>1.0616415509259259E-2</v>
      </c>
      <c r="F1091">
        <f t="shared" si="69"/>
        <v>4.9470590277777794E-3</v>
      </c>
      <c r="G1091">
        <f t="shared" si="70"/>
        <v>1</v>
      </c>
      <c r="H1091">
        <f t="shared" si="71"/>
        <v>0.12739698611111111</v>
      </c>
    </row>
    <row r="1092" spans="1:8" x14ac:dyDescent="0.25">
      <c r="A1092">
        <v>1094</v>
      </c>
      <c r="B1092">
        <v>10</v>
      </c>
      <c r="C1092">
        <v>5.3953286111111112</v>
      </c>
      <c r="D1092">
        <v>3.353897209595833</v>
      </c>
      <c r="E1092">
        <f t="shared" si="68"/>
        <v>2.2480535879629629E-2</v>
      </c>
      <c r="F1092">
        <f t="shared" si="69"/>
        <v>1.3974571706649305E-2</v>
      </c>
      <c r="G1092">
        <f t="shared" si="70"/>
        <v>1</v>
      </c>
      <c r="H1092">
        <f t="shared" si="71"/>
        <v>0.26976643055555555</v>
      </c>
    </row>
    <row r="1093" spans="1:8" x14ac:dyDescent="0.25">
      <c r="A1093">
        <v>1094</v>
      </c>
      <c r="B1093">
        <v>11</v>
      </c>
      <c r="C1093">
        <v>7.1526788888888886</v>
      </c>
      <c r="D1093">
        <v>4.0423068181816664</v>
      </c>
      <c r="E1093">
        <f t="shared" si="68"/>
        <v>2.9802828703703699E-2</v>
      </c>
      <c r="F1093">
        <f t="shared" si="69"/>
        <v>1.6842945075756944E-2</v>
      </c>
      <c r="G1093">
        <f t="shared" si="70"/>
        <v>1</v>
      </c>
      <c r="H1093">
        <f t="shared" si="71"/>
        <v>0.35763394444444441</v>
      </c>
    </row>
    <row r="1094" spans="1:8" x14ac:dyDescent="0.25">
      <c r="A1094">
        <v>1094</v>
      </c>
      <c r="B1094">
        <v>12</v>
      </c>
      <c r="C1094">
        <v>5.114068333333333</v>
      </c>
      <c r="D1094">
        <v>3.5874537962961108</v>
      </c>
      <c r="E1094">
        <f t="shared" si="68"/>
        <v>2.1308618055555551E-2</v>
      </c>
      <c r="F1094">
        <f t="shared" si="69"/>
        <v>1.4947724151233794E-2</v>
      </c>
      <c r="G1094">
        <f t="shared" si="70"/>
        <v>1</v>
      </c>
      <c r="H1094">
        <f t="shared" si="71"/>
        <v>0.25570341666666663</v>
      </c>
    </row>
    <row r="1095" spans="1:8" x14ac:dyDescent="0.25">
      <c r="A1095">
        <v>1095</v>
      </c>
      <c r="B1095">
        <v>1</v>
      </c>
      <c r="C1095">
        <v>6.9444444444444446</v>
      </c>
      <c r="D1095">
        <v>1.7358333333333333</v>
      </c>
      <c r="E1095">
        <f t="shared" si="68"/>
        <v>2.8935185185185185E-2</v>
      </c>
      <c r="F1095">
        <f t="shared" si="69"/>
        <v>7.2326388888888891E-3</v>
      </c>
      <c r="G1095">
        <f t="shared" si="70"/>
        <v>1</v>
      </c>
      <c r="H1095">
        <f t="shared" si="71"/>
        <v>0.34722222222222221</v>
      </c>
    </row>
    <row r="1096" spans="1:8" x14ac:dyDescent="0.25">
      <c r="A1096">
        <v>1095</v>
      </c>
      <c r="B1096">
        <v>2</v>
      </c>
      <c r="C1096">
        <v>3.571295555555555</v>
      </c>
      <c r="D1096">
        <v>1.230233267195556</v>
      </c>
      <c r="E1096">
        <f t="shared" si="68"/>
        <v>1.4880398148148144E-2</v>
      </c>
      <c r="F1096">
        <f t="shared" si="69"/>
        <v>5.1259719466481496E-3</v>
      </c>
      <c r="G1096">
        <f t="shared" si="70"/>
        <v>1</v>
      </c>
      <c r="H1096">
        <f t="shared" si="71"/>
        <v>0.17856477777777774</v>
      </c>
    </row>
    <row r="1097" spans="1:8" x14ac:dyDescent="0.25">
      <c r="A1097">
        <v>1095</v>
      </c>
      <c r="B1097">
        <v>3</v>
      </c>
      <c r="C1097">
        <v>7.598779722222222</v>
      </c>
      <c r="D1097">
        <v>2.38862825</v>
      </c>
      <c r="E1097">
        <f t="shared" si="68"/>
        <v>3.1661582175925927E-2</v>
      </c>
      <c r="F1097">
        <f t="shared" si="69"/>
        <v>9.9526177083333334E-3</v>
      </c>
      <c r="G1097">
        <f t="shared" si="70"/>
        <v>1</v>
      </c>
      <c r="H1097">
        <f t="shared" si="71"/>
        <v>0.3799389861111111</v>
      </c>
    </row>
    <row r="1098" spans="1:8" x14ac:dyDescent="0.25">
      <c r="A1098">
        <v>1095</v>
      </c>
      <c r="B1098">
        <v>4</v>
      </c>
      <c r="C1098">
        <v>14.060801944444441</v>
      </c>
      <c r="D1098">
        <v>2.1903454894177781</v>
      </c>
      <c r="E1098">
        <f t="shared" si="68"/>
        <v>5.8586674768518504E-2</v>
      </c>
      <c r="F1098">
        <f t="shared" si="69"/>
        <v>9.1264395392407424E-3</v>
      </c>
      <c r="G1098">
        <f t="shared" si="70"/>
        <v>1</v>
      </c>
      <c r="H1098">
        <f t="shared" si="71"/>
        <v>0.70304009722222205</v>
      </c>
    </row>
    <row r="1099" spans="1:8" x14ac:dyDescent="0.25">
      <c r="A1099">
        <v>1095</v>
      </c>
      <c r="B1099">
        <v>5</v>
      </c>
      <c r="C1099">
        <v>6.9830469444444443</v>
      </c>
      <c r="D1099">
        <v>1.5689165</v>
      </c>
      <c r="E1099">
        <f t="shared" si="68"/>
        <v>2.9096028935185186E-2</v>
      </c>
      <c r="F1099">
        <f t="shared" si="69"/>
        <v>6.5371520833333334E-3</v>
      </c>
      <c r="G1099">
        <f t="shared" si="70"/>
        <v>1</v>
      </c>
      <c r="H1099">
        <f t="shared" si="71"/>
        <v>0.34915234722222221</v>
      </c>
    </row>
    <row r="1100" spans="1:8" x14ac:dyDescent="0.25">
      <c r="A1100">
        <v>1095</v>
      </c>
      <c r="B1100">
        <v>6</v>
      </c>
      <c r="C1100">
        <v>10.24032694444444</v>
      </c>
      <c r="D1100">
        <v>2.5716343888888891</v>
      </c>
      <c r="E1100">
        <f t="shared" si="68"/>
        <v>4.2668028935185169E-2</v>
      </c>
      <c r="F1100">
        <f t="shared" si="69"/>
        <v>1.0715143287037038E-2</v>
      </c>
      <c r="G1100">
        <f t="shared" si="70"/>
        <v>1</v>
      </c>
      <c r="H1100">
        <f t="shared" si="71"/>
        <v>0.512016347222222</v>
      </c>
    </row>
    <row r="1101" spans="1:8" x14ac:dyDescent="0.25">
      <c r="A1101">
        <v>1095</v>
      </c>
      <c r="B1101">
        <v>7</v>
      </c>
      <c r="C1101">
        <v>6.5798191666666668</v>
      </c>
      <c r="D1101">
        <v>1.736305608465555</v>
      </c>
      <c r="E1101">
        <f t="shared" si="68"/>
        <v>2.7415913194444447E-2</v>
      </c>
      <c r="F1101">
        <f t="shared" si="69"/>
        <v>7.2346067019398129E-3</v>
      </c>
      <c r="G1101">
        <f t="shared" si="70"/>
        <v>1</v>
      </c>
      <c r="H1101">
        <f t="shared" si="71"/>
        <v>0.32899095833333336</v>
      </c>
    </row>
    <row r="1102" spans="1:8" x14ac:dyDescent="0.25">
      <c r="A1102">
        <v>1095</v>
      </c>
      <c r="B1102">
        <v>8</v>
      </c>
      <c r="C1102">
        <v>7.4075177777777776</v>
      </c>
      <c r="D1102">
        <v>2.7721363043477778</v>
      </c>
      <c r="E1102">
        <f t="shared" si="68"/>
        <v>3.0864657407407407E-2</v>
      </c>
      <c r="F1102">
        <f t="shared" si="69"/>
        <v>1.1550567934782407E-2</v>
      </c>
      <c r="G1102">
        <f t="shared" si="70"/>
        <v>1</v>
      </c>
      <c r="H1102">
        <f t="shared" si="71"/>
        <v>0.37037588888888889</v>
      </c>
    </row>
    <row r="1103" spans="1:8" x14ac:dyDescent="0.25">
      <c r="A1103">
        <v>1095</v>
      </c>
      <c r="B1103">
        <v>9</v>
      </c>
      <c r="C1103">
        <v>5.5459094444444448</v>
      </c>
      <c r="D1103">
        <v>1.241696569444444</v>
      </c>
      <c r="E1103">
        <f t="shared" si="68"/>
        <v>2.3107956018518519E-2</v>
      </c>
      <c r="F1103">
        <f t="shared" si="69"/>
        <v>5.1737357060185167E-3</v>
      </c>
      <c r="G1103">
        <f t="shared" si="70"/>
        <v>1</v>
      </c>
      <c r="H1103">
        <f t="shared" si="71"/>
        <v>0.27729547222222223</v>
      </c>
    </row>
    <row r="1104" spans="1:8" x14ac:dyDescent="0.25">
      <c r="A1104">
        <v>1095</v>
      </c>
      <c r="B1104">
        <v>10</v>
      </c>
      <c r="C1104">
        <v>7.4200430555555554</v>
      </c>
      <c r="D1104">
        <v>1.2844990343913889</v>
      </c>
      <c r="E1104">
        <f t="shared" si="68"/>
        <v>3.0916846064814815E-2</v>
      </c>
      <c r="F1104">
        <f t="shared" si="69"/>
        <v>5.3520793099641204E-3</v>
      </c>
      <c r="G1104">
        <f t="shared" si="70"/>
        <v>1</v>
      </c>
      <c r="H1104">
        <f t="shared" si="71"/>
        <v>0.37100215277777776</v>
      </c>
    </row>
    <row r="1105" spans="1:8" x14ac:dyDescent="0.25">
      <c r="A1105">
        <v>1095</v>
      </c>
      <c r="B1105">
        <v>11</v>
      </c>
      <c r="C1105">
        <v>6.8113527777777776</v>
      </c>
      <c r="D1105">
        <v>1.748369040403889</v>
      </c>
      <c r="E1105">
        <f t="shared" si="68"/>
        <v>2.838063657407407E-2</v>
      </c>
      <c r="F1105">
        <f t="shared" si="69"/>
        <v>7.2848710016828709E-3</v>
      </c>
      <c r="G1105">
        <f t="shared" si="70"/>
        <v>1</v>
      </c>
      <c r="H1105">
        <f t="shared" si="71"/>
        <v>0.34056763888888886</v>
      </c>
    </row>
    <row r="1106" spans="1:8" x14ac:dyDescent="0.25">
      <c r="A1106">
        <v>1095</v>
      </c>
      <c r="B1106">
        <v>12</v>
      </c>
      <c r="C1106">
        <v>7.113825277777778</v>
      </c>
      <c r="D1106">
        <v>2.0943373280422222</v>
      </c>
      <c r="E1106">
        <f t="shared" si="68"/>
        <v>2.9640938657407408E-2</v>
      </c>
      <c r="F1106">
        <f t="shared" si="69"/>
        <v>8.7264055335092589E-3</v>
      </c>
      <c r="G1106">
        <f t="shared" si="70"/>
        <v>1</v>
      </c>
      <c r="H1106">
        <f t="shared" si="71"/>
        <v>0.35569126388888889</v>
      </c>
    </row>
    <row r="1107" spans="1:8" x14ac:dyDescent="0.25">
      <c r="A1107">
        <v>1096</v>
      </c>
      <c r="B1107">
        <v>1</v>
      </c>
      <c r="C1107">
        <v>6.8880555555555558</v>
      </c>
      <c r="D1107">
        <v>1.3077777777777777</v>
      </c>
      <c r="E1107">
        <f t="shared" si="68"/>
        <v>2.8700231481481483E-2</v>
      </c>
      <c r="F1107">
        <f t="shared" si="69"/>
        <v>5.4490740740740741E-3</v>
      </c>
      <c r="G1107">
        <f t="shared" si="70"/>
        <v>1</v>
      </c>
      <c r="H1107">
        <f t="shared" si="71"/>
        <v>0.34440277777777778</v>
      </c>
    </row>
    <row r="1108" spans="1:8" x14ac:dyDescent="0.25">
      <c r="A1108">
        <v>1096</v>
      </c>
      <c r="B1108">
        <v>2</v>
      </c>
      <c r="C1108">
        <v>16.622248055555559</v>
      </c>
      <c r="D1108">
        <v>1.313106260683611</v>
      </c>
      <c r="E1108">
        <f t="shared" si="68"/>
        <v>6.925936689814817E-2</v>
      </c>
      <c r="F1108">
        <f t="shared" si="69"/>
        <v>5.4712760861817126E-3</v>
      </c>
      <c r="G1108">
        <f t="shared" si="70"/>
        <v>1</v>
      </c>
      <c r="H1108">
        <f t="shared" si="71"/>
        <v>0.83111240277777809</v>
      </c>
    </row>
    <row r="1109" spans="1:8" x14ac:dyDescent="0.25">
      <c r="A1109">
        <v>1096</v>
      </c>
      <c r="B1109">
        <v>3</v>
      </c>
      <c r="C1109">
        <v>27.637058333333329</v>
      </c>
      <c r="D1109">
        <v>10.02404008547</v>
      </c>
      <c r="E1109">
        <f t="shared" si="68"/>
        <v>0.1151544097222222</v>
      </c>
      <c r="F1109">
        <f t="shared" si="69"/>
        <v>4.1766833689458334E-2</v>
      </c>
      <c r="G1109">
        <f t="shared" si="70"/>
        <v>2</v>
      </c>
      <c r="H1109">
        <f t="shared" si="71"/>
        <v>1.3818529166666664</v>
      </c>
    </row>
    <row r="1110" spans="1:8" x14ac:dyDescent="0.25">
      <c r="A1110">
        <v>1096</v>
      </c>
      <c r="B1110">
        <v>4</v>
      </c>
      <c r="C1110">
        <v>6.19259</v>
      </c>
      <c r="D1110">
        <v>1.6327806250000001</v>
      </c>
      <c r="E1110">
        <f t="shared" si="68"/>
        <v>2.5802458333333333E-2</v>
      </c>
      <c r="F1110">
        <f t="shared" si="69"/>
        <v>6.8032526041666673E-3</v>
      </c>
      <c r="G1110">
        <f t="shared" si="70"/>
        <v>1</v>
      </c>
      <c r="H1110">
        <f t="shared" si="71"/>
        <v>0.3096295</v>
      </c>
    </row>
    <row r="1111" spans="1:8" x14ac:dyDescent="0.25">
      <c r="A1111">
        <v>1096</v>
      </c>
      <c r="B1111">
        <v>5</v>
      </c>
      <c r="C1111">
        <v>8.2354577777777784</v>
      </c>
      <c r="D1111">
        <v>0.45410266666666671</v>
      </c>
      <c r="E1111">
        <f t="shared" si="68"/>
        <v>3.4314407407407412E-2</v>
      </c>
      <c r="F1111">
        <f t="shared" si="69"/>
        <v>1.8920944444444446E-3</v>
      </c>
      <c r="G1111">
        <f t="shared" si="70"/>
        <v>1</v>
      </c>
      <c r="H1111">
        <f t="shared" si="71"/>
        <v>0.41177288888888897</v>
      </c>
    </row>
    <row r="1112" spans="1:8" x14ac:dyDescent="0.25">
      <c r="A1112">
        <v>1096</v>
      </c>
      <c r="B1112">
        <v>6</v>
      </c>
      <c r="C1112">
        <v>0.78669416666666669</v>
      </c>
      <c r="D1112">
        <v>0.13341922222222219</v>
      </c>
      <c r="E1112">
        <f t="shared" si="68"/>
        <v>3.2778923611111112E-3</v>
      </c>
      <c r="F1112">
        <f t="shared" si="69"/>
        <v>5.5591342592592582E-4</v>
      </c>
      <c r="G1112">
        <f t="shared" si="70"/>
        <v>1</v>
      </c>
      <c r="H1112">
        <f t="shared" si="71"/>
        <v>3.9334708333333336E-2</v>
      </c>
    </row>
    <row r="1113" spans="1:8" x14ac:dyDescent="0.25">
      <c r="A1113">
        <v>1096</v>
      </c>
      <c r="B1113">
        <v>7</v>
      </c>
      <c r="C1113">
        <v>8.4022555555555556</v>
      </c>
      <c r="D1113">
        <v>0.87004880952361108</v>
      </c>
      <c r="E1113">
        <f t="shared" si="68"/>
        <v>3.5009398148148151E-2</v>
      </c>
      <c r="F1113">
        <f t="shared" si="69"/>
        <v>3.6252033730150464E-3</v>
      </c>
      <c r="G1113">
        <f t="shared" si="70"/>
        <v>1</v>
      </c>
      <c r="H1113">
        <f t="shared" si="71"/>
        <v>0.42011277777777778</v>
      </c>
    </row>
    <row r="1114" spans="1:8" x14ac:dyDescent="0.25">
      <c r="A1114">
        <v>1096</v>
      </c>
      <c r="B1114">
        <v>8</v>
      </c>
      <c r="C1114">
        <v>5.2391480555555558</v>
      </c>
      <c r="D1114">
        <v>0.36226327294666671</v>
      </c>
      <c r="E1114">
        <f t="shared" si="68"/>
        <v>2.1829783564814815E-2</v>
      </c>
      <c r="F1114">
        <f t="shared" si="69"/>
        <v>1.5094303039444445E-3</v>
      </c>
      <c r="G1114">
        <f t="shared" si="70"/>
        <v>1</v>
      </c>
      <c r="H1114">
        <f t="shared" si="71"/>
        <v>0.26195740277777779</v>
      </c>
    </row>
    <row r="1115" spans="1:8" x14ac:dyDescent="0.25">
      <c r="A1115">
        <v>1096</v>
      </c>
      <c r="B1115">
        <v>9</v>
      </c>
      <c r="C1115">
        <v>0.1131808333333333</v>
      </c>
      <c r="D1115">
        <v>6.4504777777777772E-2</v>
      </c>
      <c r="E1115">
        <f t="shared" si="68"/>
        <v>4.7158680555555539E-4</v>
      </c>
      <c r="F1115">
        <f t="shared" si="69"/>
        <v>2.6876990740740738E-4</v>
      </c>
      <c r="G1115">
        <f t="shared" si="70"/>
        <v>1</v>
      </c>
      <c r="H1115">
        <f t="shared" si="71"/>
        <v>5.6590416666666647E-3</v>
      </c>
    </row>
    <row r="1116" spans="1:8" x14ac:dyDescent="0.25">
      <c r="A1116">
        <v>1096</v>
      </c>
      <c r="B1116">
        <v>10</v>
      </c>
      <c r="C1116">
        <v>1.2339024999999999</v>
      </c>
      <c r="D1116">
        <v>0.17087816137555559</v>
      </c>
      <c r="E1116">
        <f t="shared" si="68"/>
        <v>5.1412604166666664E-3</v>
      </c>
      <c r="F1116">
        <f t="shared" si="69"/>
        <v>7.1199233906481501E-4</v>
      </c>
      <c r="G1116">
        <f t="shared" si="70"/>
        <v>1</v>
      </c>
      <c r="H1116">
        <f t="shared" si="71"/>
        <v>6.1695124999999996E-2</v>
      </c>
    </row>
    <row r="1117" spans="1:8" x14ac:dyDescent="0.25">
      <c r="A1117">
        <v>1096</v>
      </c>
      <c r="B1117">
        <v>11</v>
      </c>
      <c r="C1117">
        <v>7.8348361111111107</v>
      </c>
      <c r="D1117">
        <v>0.58965338383833332</v>
      </c>
      <c r="E1117">
        <f t="shared" si="68"/>
        <v>3.2645150462962964E-2</v>
      </c>
      <c r="F1117">
        <f t="shared" si="69"/>
        <v>2.456889099326389E-3</v>
      </c>
      <c r="G1117">
        <f t="shared" si="70"/>
        <v>1</v>
      </c>
      <c r="H1117">
        <f t="shared" si="71"/>
        <v>0.3917418055555556</v>
      </c>
    </row>
    <row r="1118" spans="1:8" x14ac:dyDescent="0.25">
      <c r="A1118">
        <v>1096</v>
      </c>
      <c r="B1118">
        <v>12</v>
      </c>
      <c r="C1118">
        <v>0.35658416666666659</v>
      </c>
      <c r="D1118">
        <v>7.7236230158611113E-2</v>
      </c>
      <c r="E1118">
        <f t="shared" si="68"/>
        <v>1.4857673611111107E-3</v>
      </c>
      <c r="F1118">
        <f t="shared" si="69"/>
        <v>3.2181762566087967E-4</v>
      </c>
      <c r="G1118">
        <f t="shared" si="70"/>
        <v>1</v>
      </c>
      <c r="H1118">
        <f t="shared" si="71"/>
        <v>1.7829208333333329E-2</v>
      </c>
    </row>
    <row r="1119" spans="1:8" x14ac:dyDescent="0.25">
      <c r="A1119">
        <v>1097</v>
      </c>
      <c r="B1119">
        <v>1</v>
      </c>
      <c r="C1119">
        <v>6.692222222222223</v>
      </c>
      <c r="D1119">
        <v>3.9605555555555556</v>
      </c>
      <c r="E1119">
        <f t="shared" si="68"/>
        <v>2.7884259259259261E-2</v>
      </c>
      <c r="F1119">
        <f t="shared" si="69"/>
        <v>1.6502314814814813E-2</v>
      </c>
      <c r="G1119">
        <f t="shared" si="70"/>
        <v>1</v>
      </c>
      <c r="H1119">
        <f t="shared" si="71"/>
        <v>0.33461111111111114</v>
      </c>
    </row>
    <row r="1120" spans="1:8" x14ac:dyDescent="0.25">
      <c r="A1120">
        <v>1097</v>
      </c>
      <c r="B1120">
        <v>2</v>
      </c>
      <c r="C1120">
        <v>6.736735277777778</v>
      </c>
      <c r="D1120">
        <v>3.954904204545278</v>
      </c>
      <c r="E1120">
        <f t="shared" si="68"/>
        <v>2.8069730324074074E-2</v>
      </c>
      <c r="F1120">
        <f t="shared" si="69"/>
        <v>1.6478767518938658E-2</v>
      </c>
      <c r="G1120">
        <f t="shared" si="70"/>
        <v>1</v>
      </c>
      <c r="H1120">
        <f t="shared" si="71"/>
        <v>0.33683676388888889</v>
      </c>
    </row>
    <row r="1121" spans="1:8" x14ac:dyDescent="0.25">
      <c r="A1121">
        <v>1097</v>
      </c>
      <c r="B1121">
        <v>3</v>
      </c>
      <c r="C1121">
        <v>5.4491686111111113</v>
      </c>
      <c r="D1121">
        <v>3.823885208333333</v>
      </c>
      <c r="E1121">
        <f t="shared" si="68"/>
        <v>2.2704869212962966E-2</v>
      </c>
      <c r="F1121">
        <f t="shared" si="69"/>
        <v>1.5932855034722221E-2</v>
      </c>
      <c r="G1121">
        <f t="shared" si="70"/>
        <v>1</v>
      </c>
      <c r="H1121">
        <f t="shared" si="71"/>
        <v>0.27245843055555558</v>
      </c>
    </row>
    <row r="1122" spans="1:8" x14ac:dyDescent="0.25">
      <c r="A1122">
        <v>1097</v>
      </c>
      <c r="B1122">
        <v>4</v>
      </c>
      <c r="C1122">
        <v>4.8055816666666669</v>
      </c>
      <c r="D1122">
        <v>3.3464713756611109</v>
      </c>
      <c r="E1122">
        <f t="shared" si="68"/>
        <v>2.0023256944444446E-2</v>
      </c>
      <c r="F1122">
        <f t="shared" si="69"/>
        <v>1.3943630731921295E-2</v>
      </c>
      <c r="G1122">
        <f t="shared" si="70"/>
        <v>1</v>
      </c>
      <c r="H1122">
        <f t="shared" si="71"/>
        <v>0.24027908333333337</v>
      </c>
    </row>
    <row r="1123" spans="1:8" x14ac:dyDescent="0.25">
      <c r="A1123">
        <v>1097</v>
      </c>
      <c r="B1123">
        <v>5</v>
      </c>
      <c r="C1123">
        <v>6.0833197222222219</v>
      </c>
      <c r="D1123">
        <v>3.794982791666667</v>
      </c>
      <c r="E1123">
        <f t="shared" si="68"/>
        <v>2.5347165509259261E-2</v>
      </c>
      <c r="F1123">
        <f t="shared" si="69"/>
        <v>1.5812428298611111E-2</v>
      </c>
      <c r="G1123">
        <f t="shared" si="70"/>
        <v>1</v>
      </c>
      <c r="H1123">
        <f t="shared" si="71"/>
        <v>0.30416598611111112</v>
      </c>
    </row>
    <row r="1124" spans="1:8" x14ac:dyDescent="0.25">
      <c r="A1124">
        <v>1097</v>
      </c>
      <c r="B1124">
        <v>6</v>
      </c>
      <c r="C1124">
        <v>9.2851547222222219</v>
      </c>
      <c r="D1124">
        <v>4.7582236250000003</v>
      </c>
      <c r="E1124">
        <f t="shared" si="68"/>
        <v>3.8688144675925927E-2</v>
      </c>
      <c r="F1124">
        <f t="shared" si="69"/>
        <v>1.9825931770833336E-2</v>
      </c>
      <c r="G1124">
        <f t="shared" si="70"/>
        <v>1</v>
      </c>
      <c r="H1124">
        <f t="shared" si="71"/>
        <v>0.4642577361111111</v>
      </c>
    </row>
    <row r="1125" spans="1:8" x14ac:dyDescent="0.25">
      <c r="A1125">
        <v>1097</v>
      </c>
      <c r="B1125">
        <v>7</v>
      </c>
      <c r="C1125">
        <v>8.6196649999999995</v>
      </c>
      <c r="D1125">
        <v>4.9066406140350001</v>
      </c>
      <c r="E1125">
        <f t="shared" si="68"/>
        <v>3.5915270833333332E-2</v>
      </c>
      <c r="F1125">
        <f t="shared" si="69"/>
        <v>2.04443358918125E-2</v>
      </c>
      <c r="G1125">
        <f t="shared" si="70"/>
        <v>1</v>
      </c>
      <c r="H1125">
        <f t="shared" si="71"/>
        <v>0.43098324999999998</v>
      </c>
    </row>
    <row r="1126" spans="1:8" x14ac:dyDescent="0.25">
      <c r="A1126">
        <v>1097</v>
      </c>
      <c r="B1126">
        <v>8</v>
      </c>
      <c r="C1126">
        <v>10.77150472222222</v>
      </c>
      <c r="D1126">
        <v>5.789998661616111</v>
      </c>
      <c r="E1126">
        <f t="shared" si="68"/>
        <v>4.4881269675925921E-2</v>
      </c>
      <c r="F1126">
        <f t="shared" si="69"/>
        <v>2.4124994423400464E-2</v>
      </c>
      <c r="G1126">
        <f t="shared" si="70"/>
        <v>1</v>
      </c>
      <c r="H1126">
        <f t="shared" si="71"/>
        <v>0.53857523611111102</v>
      </c>
    </row>
    <row r="1127" spans="1:8" x14ac:dyDescent="0.25">
      <c r="A1127">
        <v>1097</v>
      </c>
      <c r="B1127">
        <v>9</v>
      </c>
      <c r="C1127">
        <v>7.0758305555555552</v>
      </c>
      <c r="D1127">
        <v>3.809870861111111</v>
      </c>
      <c r="E1127">
        <f t="shared" si="68"/>
        <v>2.9482627314814814E-2</v>
      </c>
      <c r="F1127">
        <f t="shared" si="69"/>
        <v>1.5874461921296296E-2</v>
      </c>
      <c r="G1127">
        <f t="shared" si="70"/>
        <v>1</v>
      </c>
      <c r="H1127">
        <f t="shared" si="71"/>
        <v>0.35379152777777778</v>
      </c>
    </row>
    <row r="1128" spans="1:8" x14ac:dyDescent="0.25">
      <c r="A1128">
        <v>1097</v>
      </c>
      <c r="B1128">
        <v>10</v>
      </c>
      <c r="C1128">
        <v>5.9119927777777779</v>
      </c>
      <c r="D1128">
        <v>4.3084805808080553</v>
      </c>
      <c r="E1128">
        <f t="shared" si="68"/>
        <v>2.4633303240740742E-2</v>
      </c>
      <c r="F1128">
        <f t="shared" si="69"/>
        <v>1.7952002420033562E-2</v>
      </c>
      <c r="G1128">
        <f t="shared" si="70"/>
        <v>1</v>
      </c>
      <c r="H1128">
        <f t="shared" si="71"/>
        <v>0.2955996388888889</v>
      </c>
    </row>
    <row r="1129" spans="1:8" x14ac:dyDescent="0.25">
      <c r="A1129">
        <v>1097</v>
      </c>
      <c r="B1129">
        <v>11</v>
      </c>
      <c r="C1129">
        <v>8.2703252777777774</v>
      </c>
      <c r="D1129">
        <v>4.2208021843433334</v>
      </c>
      <c r="E1129">
        <f t="shared" si="68"/>
        <v>3.4459688657407402E-2</v>
      </c>
      <c r="F1129">
        <f t="shared" si="69"/>
        <v>1.7586675768097224E-2</v>
      </c>
      <c r="G1129">
        <f t="shared" si="70"/>
        <v>1</v>
      </c>
      <c r="H1129">
        <f t="shared" si="71"/>
        <v>0.41351626388888885</v>
      </c>
    </row>
    <row r="1130" spans="1:8" x14ac:dyDescent="0.25">
      <c r="A1130">
        <v>1097</v>
      </c>
      <c r="B1130">
        <v>12</v>
      </c>
      <c r="C1130">
        <v>7.2948047222222234</v>
      </c>
      <c r="D1130">
        <v>4.8092599867722221</v>
      </c>
      <c r="E1130">
        <f t="shared" si="68"/>
        <v>3.0395019675925932E-2</v>
      </c>
      <c r="F1130">
        <f t="shared" si="69"/>
        <v>2.003858327821759E-2</v>
      </c>
      <c r="G1130">
        <f t="shared" si="70"/>
        <v>1</v>
      </c>
      <c r="H1130">
        <f t="shared" si="71"/>
        <v>0.36474023611111117</v>
      </c>
    </row>
    <row r="1131" spans="1:8" x14ac:dyDescent="0.25">
      <c r="A1131">
        <v>1098</v>
      </c>
      <c r="B1131">
        <v>1</v>
      </c>
      <c r="C1131">
        <v>6.5497222222222229</v>
      </c>
      <c r="D1131">
        <v>2.7891666666666666</v>
      </c>
      <c r="E1131">
        <f t="shared" si="68"/>
        <v>2.7290509259259261E-2</v>
      </c>
      <c r="F1131">
        <f t="shared" si="69"/>
        <v>1.1621527777777777E-2</v>
      </c>
      <c r="G1131">
        <f t="shared" si="70"/>
        <v>1</v>
      </c>
      <c r="H1131">
        <f t="shared" si="71"/>
        <v>0.32748611111111114</v>
      </c>
    </row>
    <row r="1132" spans="1:8" x14ac:dyDescent="0.25">
      <c r="A1132">
        <v>1098</v>
      </c>
      <c r="B1132">
        <v>2</v>
      </c>
      <c r="C1132">
        <v>10.61738222222222</v>
      </c>
      <c r="D1132">
        <v>4.4796801388888889</v>
      </c>
      <c r="E1132">
        <f t="shared" si="68"/>
        <v>4.4239092592592587E-2</v>
      </c>
      <c r="F1132">
        <f t="shared" si="69"/>
        <v>1.8665333912037039E-2</v>
      </c>
      <c r="G1132">
        <f t="shared" si="70"/>
        <v>1</v>
      </c>
      <c r="H1132">
        <f t="shared" si="71"/>
        <v>0.53086911111111101</v>
      </c>
    </row>
    <row r="1133" spans="1:8" x14ac:dyDescent="0.25">
      <c r="A1133">
        <v>1098</v>
      </c>
      <c r="B1133">
        <v>3</v>
      </c>
      <c r="C1133">
        <v>4.9298880555555558</v>
      </c>
      <c r="D1133">
        <v>2.9070828888888891</v>
      </c>
      <c r="E1133">
        <f t="shared" si="68"/>
        <v>2.0541200231481482E-2</v>
      </c>
      <c r="F1133">
        <f t="shared" si="69"/>
        <v>1.211284537037037E-2</v>
      </c>
      <c r="G1133">
        <f t="shared" si="70"/>
        <v>1</v>
      </c>
      <c r="H1133">
        <f t="shared" si="71"/>
        <v>0.24649440277777779</v>
      </c>
    </row>
    <row r="1134" spans="1:8" x14ac:dyDescent="0.25">
      <c r="A1134">
        <v>1098</v>
      </c>
      <c r="B1134">
        <v>4</v>
      </c>
      <c r="C1134">
        <v>12.01369361111111</v>
      </c>
      <c r="D1134">
        <v>3.9138787962961108</v>
      </c>
      <c r="E1134">
        <f t="shared" si="68"/>
        <v>5.0057056712962955E-2</v>
      </c>
      <c r="F1134">
        <f t="shared" si="69"/>
        <v>1.6307828317900463E-2</v>
      </c>
      <c r="G1134">
        <f t="shared" si="70"/>
        <v>1</v>
      </c>
      <c r="H1134">
        <f t="shared" si="71"/>
        <v>0.60068468055555546</v>
      </c>
    </row>
    <row r="1135" spans="1:8" x14ac:dyDescent="0.25">
      <c r="A1135">
        <v>1098</v>
      </c>
      <c r="B1135">
        <v>5</v>
      </c>
      <c r="C1135">
        <v>9.2298452777777786</v>
      </c>
      <c r="D1135">
        <v>3.7295387638888888</v>
      </c>
      <c r="E1135">
        <f t="shared" si="68"/>
        <v>3.845768865740741E-2</v>
      </c>
      <c r="F1135">
        <f t="shared" si="69"/>
        <v>1.5539744849537037E-2</v>
      </c>
      <c r="G1135">
        <f t="shared" si="70"/>
        <v>1</v>
      </c>
      <c r="H1135">
        <f t="shared" si="71"/>
        <v>0.46149226388888892</v>
      </c>
    </row>
    <row r="1136" spans="1:8" x14ac:dyDescent="0.25">
      <c r="A1136">
        <v>1098</v>
      </c>
      <c r="B1136">
        <v>6</v>
      </c>
      <c r="C1136">
        <v>11.22664055555556</v>
      </c>
      <c r="D1136">
        <v>3.6262137361111111</v>
      </c>
      <c r="E1136">
        <f t="shared" si="68"/>
        <v>4.6777668981481502E-2</v>
      </c>
      <c r="F1136">
        <f t="shared" si="69"/>
        <v>1.5109223900462964E-2</v>
      </c>
      <c r="G1136">
        <f t="shared" si="70"/>
        <v>1</v>
      </c>
      <c r="H1136">
        <f t="shared" si="71"/>
        <v>0.56133202777777802</v>
      </c>
    </row>
    <row r="1137" spans="1:8" x14ac:dyDescent="0.25">
      <c r="A1137">
        <v>1098</v>
      </c>
      <c r="B1137">
        <v>7</v>
      </c>
      <c r="C1137">
        <v>9.2767366666666664</v>
      </c>
      <c r="D1137">
        <v>5.1631809305555558</v>
      </c>
      <c r="E1137">
        <f t="shared" si="68"/>
        <v>3.8653069444444445E-2</v>
      </c>
      <c r="F1137">
        <f t="shared" si="69"/>
        <v>2.1513253877314814E-2</v>
      </c>
      <c r="G1137">
        <f t="shared" si="70"/>
        <v>1</v>
      </c>
      <c r="H1137">
        <f t="shared" si="71"/>
        <v>0.46383683333333336</v>
      </c>
    </row>
    <row r="1138" spans="1:8" x14ac:dyDescent="0.25">
      <c r="A1138">
        <v>1098</v>
      </c>
      <c r="B1138">
        <v>8</v>
      </c>
      <c r="C1138">
        <v>8.3383186111111112</v>
      </c>
      <c r="D1138">
        <v>4.7660485265699997</v>
      </c>
      <c r="E1138">
        <f t="shared" si="68"/>
        <v>3.4742994212962959E-2</v>
      </c>
      <c r="F1138">
        <f t="shared" si="69"/>
        <v>1.9858535527374998E-2</v>
      </c>
      <c r="G1138">
        <f t="shared" si="70"/>
        <v>1</v>
      </c>
      <c r="H1138">
        <f t="shared" si="71"/>
        <v>0.41691593055555554</v>
      </c>
    </row>
    <row r="1139" spans="1:8" x14ac:dyDescent="0.25">
      <c r="A1139">
        <v>1098</v>
      </c>
      <c r="B1139">
        <v>9</v>
      </c>
      <c r="C1139">
        <v>2.077922222222222</v>
      </c>
      <c r="D1139">
        <v>0.89664755555555553</v>
      </c>
      <c r="E1139">
        <f t="shared" si="68"/>
        <v>8.6580092592592594E-3</v>
      </c>
      <c r="F1139">
        <f t="shared" si="69"/>
        <v>3.7360314814814818E-3</v>
      </c>
      <c r="G1139">
        <f t="shared" si="70"/>
        <v>1</v>
      </c>
      <c r="H1139">
        <f t="shared" si="71"/>
        <v>0.10389611111111111</v>
      </c>
    </row>
    <row r="1140" spans="1:8" x14ac:dyDescent="0.25">
      <c r="A1140">
        <v>1098</v>
      </c>
      <c r="B1140">
        <v>10</v>
      </c>
      <c r="C1140">
        <v>0.83174083333333337</v>
      </c>
      <c r="D1140">
        <v>0.70489511363611113</v>
      </c>
      <c r="E1140">
        <f t="shared" si="68"/>
        <v>3.465586805555556E-3</v>
      </c>
      <c r="F1140">
        <f t="shared" si="69"/>
        <v>2.9370629734837964E-3</v>
      </c>
      <c r="G1140">
        <f t="shared" si="70"/>
        <v>1</v>
      </c>
      <c r="H1140">
        <f t="shared" si="71"/>
        <v>4.1587041666666671E-2</v>
      </c>
    </row>
    <row r="1141" spans="1:8" x14ac:dyDescent="0.25">
      <c r="A1141">
        <v>1098</v>
      </c>
      <c r="B1141">
        <v>11</v>
      </c>
      <c r="C1141">
        <v>2.2523463888888888</v>
      </c>
      <c r="D1141">
        <v>1.018250952380833</v>
      </c>
      <c r="E1141">
        <f t="shared" si="68"/>
        <v>9.3847766203703706E-3</v>
      </c>
      <c r="F1141">
        <f t="shared" si="69"/>
        <v>4.2427123015868042E-3</v>
      </c>
      <c r="G1141">
        <f t="shared" si="70"/>
        <v>1</v>
      </c>
      <c r="H1141">
        <f t="shared" si="71"/>
        <v>0.11261731944444445</v>
      </c>
    </row>
    <row r="1142" spans="1:8" x14ac:dyDescent="0.25">
      <c r="A1142">
        <v>1098</v>
      </c>
      <c r="B1142">
        <v>12</v>
      </c>
      <c r="C1142">
        <v>7.8020619444444446</v>
      </c>
      <c r="D1142">
        <v>2.2623441137563889</v>
      </c>
      <c r="E1142">
        <f t="shared" si="68"/>
        <v>3.250859143518519E-2</v>
      </c>
      <c r="F1142">
        <f t="shared" si="69"/>
        <v>9.4264338073182866E-3</v>
      </c>
      <c r="G1142">
        <f t="shared" si="70"/>
        <v>1</v>
      </c>
      <c r="H1142">
        <f t="shared" si="71"/>
        <v>0.39010309722222225</v>
      </c>
    </row>
    <row r="1143" spans="1:8" x14ac:dyDescent="0.25">
      <c r="A1143">
        <v>1099</v>
      </c>
      <c r="B1143">
        <v>1</v>
      </c>
      <c r="C1143">
        <v>6.5177777777777779</v>
      </c>
      <c r="D1143">
        <v>3.171388888888889</v>
      </c>
      <c r="E1143">
        <f t="shared" si="68"/>
        <v>2.7157407407407408E-2</v>
      </c>
      <c r="F1143">
        <f t="shared" si="69"/>
        <v>1.3214120370370371E-2</v>
      </c>
      <c r="G1143">
        <f t="shared" si="70"/>
        <v>1</v>
      </c>
      <c r="H1143">
        <f t="shared" si="71"/>
        <v>0.32588888888888889</v>
      </c>
    </row>
    <row r="1144" spans="1:8" x14ac:dyDescent="0.25">
      <c r="A1144">
        <v>1099</v>
      </c>
      <c r="B1144">
        <v>2</v>
      </c>
      <c r="C1144">
        <v>9.9825611111111119</v>
      </c>
      <c r="D1144">
        <v>3.2360158574877782</v>
      </c>
      <c r="E1144">
        <f t="shared" si="68"/>
        <v>4.1594004629629637E-2</v>
      </c>
      <c r="F1144">
        <f t="shared" si="69"/>
        <v>1.3483399406199076E-2</v>
      </c>
      <c r="G1144">
        <f t="shared" si="70"/>
        <v>1</v>
      </c>
      <c r="H1144">
        <f t="shared" si="71"/>
        <v>0.49912805555555562</v>
      </c>
    </row>
    <row r="1145" spans="1:8" x14ac:dyDescent="0.25">
      <c r="A1145">
        <v>1099</v>
      </c>
      <c r="B1145">
        <v>3</v>
      </c>
      <c r="C1145">
        <v>4.6802469444444448</v>
      </c>
      <c r="D1145">
        <v>3.1615442361111108</v>
      </c>
      <c r="E1145">
        <f t="shared" si="68"/>
        <v>1.9501028935185186E-2</v>
      </c>
      <c r="F1145">
        <f t="shared" si="69"/>
        <v>1.3173100983796295E-2</v>
      </c>
      <c r="G1145">
        <f t="shared" si="70"/>
        <v>1</v>
      </c>
      <c r="H1145">
        <f t="shared" si="71"/>
        <v>0.23401234722222225</v>
      </c>
    </row>
    <row r="1146" spans="1:8" x14ac:dyDescent="0.25">
      <c r="A1146">
        <v>1099</v>
      </c>
      <c r="B1146">
        <v>4</v>
      </c>
      <c r="C1146">
        <v>8.343600277777778</v>
      </c>
      <c r="D1146">
        <v>3.2745578306877778</v>
      </c>
      <c r="E1146">
        <f t="shared" si="68"/>
        <v>3.476500115740741E-2</v>
      </c>
      <c r="F1146">
        <f t="shared" si="69"/>
        <v>1.3643990961199073E-2</v>
      </c>
      <c r="G1146">
        <f t="shared" si="70"/>
        <v>1</v>
      </c>
      <c r="H1146">
        <f t="shared" si="71"/>
        <v>0.41718001388888892</v>
      </c>
    </row>
    <row r="1147" spans="1:8" x14ac:dyDescent="0.25">
      <c r="A1147">
        <v>1099</v>
      </c>
      <c r="B1147">
        <v>5</v>
      </c>
      <c r="C1147">
        <v>5.167378888888889</v>
      </c>
      <c r="D1147">
        <v>3.2858692083333332</v>
      </c>
      <c r="E1147">
        <f t="shared" si="68"/>
        <v>2.1530745370370374E-2</v>
      </c>
      <c r="F1147">
        <f t="shared" si="69"/>
        <v>1.3691121701388887E-2</v>
      </c>
      <c r="G1147">
        <f t="shared" si="70"/>
        <v>1</v>
      </c>
      <c r="H1147">
        <f t="shared" si="71"/>
        <v>0.25836894444444447</v>
      </c>
    </row>
    <row r="1148" spans="1:8" x14ac:dyDescent="0.25">
      <c r="A1148">
        <v>1099</v>
      </c>
      <c r="B1148">
        <v>6</v>
      </c>
      <c r="C1148">
        <v>5.8640955555555552</v>
      </c>
      <c r="D1148">
        <v>3.2450249206347221</v>
      </c>
      <c r="E1148">
        <f t="shared" si="68"/>
        <v>2.443373148148148E-2</v>
      </c>
      <c r="F1148">
        <f t="shared" si="69"/>
        <v>1.3520937169311341E-2</v>
      </c>
      <c r="G1148">
        <f t="shared" si="70"/>
        <v>1</v>
      </c>
      <c r="H1148">
        <f t="shared" si="71"/>
        <v>0.29320477777777776</v>
      </c>
    </row>
    <row r="1149" spans="1:8" x14ac:dyDescent="0.25">
      <c r="A1149">
        <v>1099</v>
      </c>
      <c r="B1149">
        <v>7</v>
      </c>
      <c r="C1149">
        <v>4.5781169444444441</v>
      </c>
      <c r="D1149">
        <v>3.3529168915341661</v>
      </c>
      <c r="E1149">
        <f t="shared" si="68"/>
        <v>1.9075487268518519E-2</v>
      </c>
      <c r="F1149">
        <f t="shared" si="69"/>
        <v>1.3970487048059026E-2</v>
      </c>
      <c r="G1149">
        <f t="shared" si="70"/>
        <v>1</v>
      </c>
      <c r="H1149">
        <f t="shared" si="71"/>
        <v>0.22890584722222224</v>
      </c>
    </row>
    <row r="1150" spans="1:8" x14ac:dyDescent="0.25">
      <c r="A1150">
        <v>1099</v>
      </c>
      <c r="B1150">
        <v>8</v>
      </c>
      <c r="C1150">
        <v>10.15853805555555</v>
      </c>
      <c r="D1150">
        <v>3.9012182246374998</v>
      </c>
      <c r="E1150">
        <f t="shared" si="68"/>
        <v>4.2327241898148127E-2</v>
      </c>
      <c r="F1150">
        <f t="shared" si="69"/>
        <v>1.6255075935989582E-2</v>
      </c>
      <c r="G1150">
        <f t="shared" si="70"/>
        <v>1</v>
      </c>
      <c r="H1150">
        <f t="shared" si="71"/>
        <v>0.50792690277777752</v>
      </c>
    </row>
    <row r="1151" spans="1:8" x14ac:dyDescent="0.25">
      <c r="A1151">
        <v>1099</v>
      </c>
      <c r="B1151">
        <v>9</v>
      </c>
      <c r="C1151">
        <v>4.8657666666666666</v>
      </c>
      <c r="D1151">
        <v>3.293124444444445</v>
      </c>
      <c r="E1151">
        <f t="shared" si="68"/>
        <v>2.0274027777777776E-2</v>
      </c>
      <c r="F1151">
        <f t="shared" si="69"/>
        <v>1.3721351851851854E-2</v>
      </c>
      <c r="G1151">
        <f t="shared" si="70"/>
        <v>1</v>
      </c>
      <c r="H1151">
        <f t="shared" si="71"/>
        <v>0.24328833333333333</v>
      </c>
    </row>
    <row r="1152" spans="1:8" x14ac:dyDescent="0.25">
      <c r="A1152">
        <v>1099</v>
      </c>
      <c r="B1152">
        <v>10</v>
      </c>
      <c r="C1152">
        <v>10.152377777777779</v>
      </c>
      <c r="D1152">
        <v>4.1729219065655556</v>
      </c>
      <c r="E1152">
        <f t="shared" si="68"/>
        <v>4.2301574074074082E-2</v>
      </c>
      <c r="F1152">
        <f t="shared" si="69"/>
        <v>1.7387174610689813E-2</v>
      </c>
      <c r="G1152">
        <f t="shared" si="70"/>
        <v>1</v>
      </c>
      <c r="H1152">
        <f t="shared" si="71"/>
        <v>0.50761888888888895</v>
      </c>
    </row>
    <row r="1153" spans="1:8" x14ac:dyDescent="0.25">
      <c r="A1153">
        <v>1099</v>
      </c>
      <c r="B1153">
        <v>11</v>
      </c>
      <c r="C1153">
        <v>10.103024166666669</v>
      </c>
      <c r="D1153">
        <v>3.743700410627778</v>
      </c>
      <c r="E1153">
        <f t="shared" si="68"/>
        <v>4.2095934027777789E-2</v>
      </c>
      <c r="F1153">
        <f t="shared" si="69"/>
        <v>1.5598751710949077E-2</v>
      </c>
      <c r="G1153">
        <f t="shared" si="70"/>
        <v>1</v>
      </c>
      <c r="H1153">
        <f t="shared" si="71"/>
        <v>0.50515120833333349</v>
      </c>
    </row>
    <row r="1154" spans="1:8" x14ac:dyDescent="0.25">
      <c r="A1154">
        <v>1099</v>
      </c>
      <c r="B1154">
        <v>12</v>
      </c>
      <c r="C1154">
        <v>4.314399166666667</v>
      </c>
      <c r="D1154">
        <v>3.3867884523808329</v>
      </c>
      <c r="E1154">
        <f t="shared" ref="E1154:E1217" si="72">+C1154/20/12</f>
        <v>1.7976663194444447E-2</v>
      </c>
      <c r="F1154">
        <f t="shared" ref="F1154:F1217" si="73">+D1154/20/12</f>
        <v>1.4111618551586803E-2</v>
      </c>
      <c r="G1154">
        <f t="shared" ref="G1154:G1217" si="74">+ROUNDUP(E1154*12,0)</f>
        <v>1</v>
      </c>
      <c r="H1154">
        <f t="shared" ref="H1154:H1217" si="75">+E1154*12</f>
        <v>0.21571995833333335</v>
      </c>
    </row>
    <row r="1155" spans="1:8" x14ac:dyDescent="0.25">
      <c r="A1155">
        <v>1100</v>
      </c>
      <c r="B1155">
        <v>1</v>
      </c>
      <c r="C1155">
        <v>6.4730555555555558</v>
      </c>
      <c r="D1155">
        <v>4.4847222222222216</v>
      </c>
      <c r="E1155">
        <f t="shared" si="72"/>
        <v>2.6971064814814816E-2</v>
      </c>
      <c r="F1155">
        <f t="shared" si="73"/>
        <v>1.8686342592592591E-2</v>
      </c>
      <c r="G1155">
        <f t="shared" si="74"/>
        <v>1</v>
      </c>
      <c r="H1155">
        <f t="shared" si="75"/>
        <v>0.32365277777777779</v>
      </c>
    </row>
    <row r="1156" spans="1:8" x14ac:dyDescent="0.25">
      <c r="A1156">
        <v>1100</v>
      </c>
      <c r="B1156">
        <v>2</v>
      </c>
      <c r="C1156">
        <v>9.1891213888888892</v>
      </c>
      <c r="D1156">
        <v>5.122437133838333</v>
      </c>
      <c r="E1156">
        <f t="shared" si="72"/>
        <v>3.828800578703704E-2</v>
      </c>
      <c r="F1156">
        <f t="shared" si="73"/>
        <v>2.1343488057659721E-2</v>
      </c>
      <c r="G1156">
        <f t="shared" si="74"/>
        <v>1</v>
      </c>
      <c r="H1156">
        <f t="shared" si="75"/>
        <v>0.4594560694444445</v>
      </c>
    </row>
    <row r="1157" spans="1:8" x14ac:dyDescent="0.25">
      <c r="A1157">
        <v>1100</v>
      </c>
      <c r="B1157">
        <v>3</v>
      </c>
      <c r="C1157">
        <v>9.5748355555555555</v>
      </c>
      <c r="D1157">
        <v>5.8022671666666668</v>
      </c>
      <c r="E1157">
        <f t="shared" si="72"/>
        <v>3.9895148148148145E-2</v>
      </c>
      <c r="F1157">
        <f t="shared" si="73"/>
        <v>2.4176113194444446E-2</v>
      </c>
      <c r="G1157">
        <f t="shared" si="74"/>
        <v>1</v>
      </c>
      <c r="H1157">
        <f t="shared" si="75"/>
        <v>0.47874177777777771</v>
      </c>
    </row>
    <row r="1158" spans="1:8" x14ac:dyDescent="0.25">
      <c r="A1158">
        <v>1100</v>
      </c>
      <c r="B1158">
        <v>4</v>
      </c>
      <c r="C1158">
        <v>10.822221944444451</v>
      </c>
      <c r="D1158">
        <v>7.3029206878305546</v>
      </c>
      <c r="E1158">
        <f t="shared" si="72"/>
        <v>4.5092591435185209E-2</v>
      </c>
      <c r="F1158">
        <f t="shared" si="73"/>
        <v>3.0428836199293974E-2</v>
      </c>
      <c r="G1158">
        <f t="shared" si="74"/>
        <v>1</v>
      </c>
      <c r="H1158">
        <f t="shared" si="75"/>
        <v>0.5411110972222225</v>
      </c>
    </row>
    <row r="1159" spans="1:8" x14ac:dyDescent="0.25">
      <c r="A1159">
        <v>1100</v>
      </c>
      <c r="B1159">
        <v>5</v>
      </c>
      <c r="C1159">
        <v>7.3627463888888887</v>
      </c>
      <c r="D1159">
        <v>4.867127833333333</v>
      </c>
      <c r="E1159">
        <f t="shared" si="72"/>
        <v>3.0678109953703705E-2</v>
      </c>
      <c r="F1159">
        <f t="shared" si="73"/>
        <v>2.0279699305555555E-2</v>
      </c>
      <c r="G1159">
        <f t="shared" si="74"/>
        <v>1</v>
      </c>
      <c r="H1159">
        <f t="shared" si="75"/>
        <v>0.36813731944444444</v>
      </c>
    </row>
    <row r="1160" spans="1:8" x14ac:dyDescent="0.25">
      <c r="A1160">
        <v>1100</v>
      </c>
      <c r="B1160">
        <v>6</v>
      </c>
      <c r="C1160">
        <v>7.0932783333333331</v>
      </c>
      <c r="D1160">
        <v>5.0740241250000002</v>
      </c>
      <c r="E1160">
        <f t="shared" si="72"/>
        <v>2.9555326388888886E-2</v>
      </c>
      <c r="F1160">
        <f t="shared" si="73"/>
        <v>2.1141767187500004E-2</v>
      </c>
      <c r="G1160">
        <f t="shared" si="74"/>
        <v>1</v>
      </c>
      <c r="H1160">
        <f t="shared" si="75"/>
        <v>0.35466391666666663</v>
      </c>
    </row>
    <row r="1161" spans="1:8" x14ac:dyDescent="0.25">
      <c r="A1161">
        <v>1100</v>
      </c>
      <c r="B1161">
        <v>7</v>
      </c>
      <c r="C1161">
        <v>5.7102047222222234</v>
      </c>
      <c r="D1161">
        <v>4.5192461904761112</v>
      </c>
      <c r="E1161">
        <f t="shared" si="72"/>
        <v>2.3792519675925928E-2</v>
      </c>
      <c r="F1161">
        <f t="shared" si="73"/>
        <v>1.8830192460317131E-2</v>
      </c>
      <c r="G1161">
        <f t="shared" si="74"/>
        <v>1</v>
      </c>
      <c r="H1161">
        <f t="shared" si="75"/>
        <v>0.28551023611111115</v>
      </c>
    </row>
    <row r="1162" spans="1:8" x14ac:dyDescent="0.25">
      <c r="A1162">
        <v>1100</v>
      </c>
      <c r="B1162">
        <v>8</v>
      </c>
      <c r="C1162">
        <v>8.6461113888888885</v>
      </c>
      <c r="D1162">
        <v>6.8111841545891663</v>
      </c>
      <c r="E1162">
        <f t="shared" si="72"/>
        <v>3.6025464120370367E-2</v>
      </c>
      <c r="F1162">
        <f t="shared" si="73"/>
        <v>2.837993397745486E-2</v>
      </c>
      <c r="G1162">
        <f t="shared" si="74"/>
        <v>1</v>
      </c>
      <c r="H1162">
        <f t="shared" si="75"/>
        <v>0.43230556944444443</v>
      </c>
    </row>
    <row r="1163" spans="1:8" x14ac:dyDescent="0.25">
      <c r="A1163">
        <v>1100</v>
      </c>
      <c r="B1163">
        <v>9</v>
      </c>
      <c r="C1163">
        <v>2.236250555555555</v>
      </c>
      <c r="D1163">
        <v>1.297887158119444</v>
      </c>
      <c r="E1163">
        <f t="shared" si="72"/>
        <v>9.3177106481481461E-3</v>
      </c>
      <c r="F1163">
        <f t="shared" si="73"/>
        <v>5.4078631588310166E-3</v>
      </c>
      <c r="G1163">
        <f t="shared" si="74"/>
        <v>1</v>
      </c>
      <c r="H1163">
        <f t="shared" si="75"/>
        <v>0.11181252777777775</v>
      </c>
    </row>
    <row r="1164" spans="1:8" x14ac:dyDescent="0.25">
      <c r="A1164">
        <v>1100</v>
      </c>
      <c r="B1164">
        <v>10</v>
      </c>
      <c r="C1164">
        <v>5.045820833333333</v>
      </c>
      <c r="D1164">
        <v>4.1290880555555551</v>
      </c>
      <c r="E1164">
        <f t="shared" si="72"/>
        <v>2.1024253472222223E-2</v>
      </c>
      <c r="F1164">
        <f t="shared" si="73"/>
        <v>1.7204533564814814E-2</v>
      </c>
      <c r="G1164">
        <f t="shared" si="74"/>
        <v>1</v>
      </c>
      <c r="H1164">
        <f t="shared" si="75"/>
        <v>0.25229104166666666</v>
      </c>
    </row>
    <row r="1165" spans="1:8" x14ac:dyDescent="0.25">
      <c r="A1165">
        <v>1100</v>
      </c>
      <c r="B1165">
        <v>11</v>
      </c>
      <c r="C1165">
        <v>3.7137513888888889</v>
      </c>
      <c r="D1165">
        <v>2.6352796212119438</v>
      </c>
      <c r="E1165">
        <f t="shared" si="72"/>
        <v>1.5473964120370371E-2</v>
      </c>
      <c r="F1165">
        <f t="shared" si="73"/>
        <v>1.0980331755049767E-2</v>
      </c>
      <c r="G1165">
        <f t="shared" si="74"/>
        <v>1</v>
      </c>
      <c r="H1165">
        <f t="shared" si="75"/>
        <v>0.18568756944444445</v>
      </c>
    </row>
    <row r="1166" spans="1:8" x14ac:dyDescent="0.25">
      <c r="A1166">
        <v>1100</v>
      </c>
      <c r="B1166">
        <v>12</v>
      </c>
      <c r="C1166">
        <v>8.2816074999999998</v>
      </c>
      <c r="D1166">
        <v>6.2549120502644442</v>
      </c>
      <c r="E1166">
        <f t="shared" si="72"/>
        <v>3.4506697916666669E-2</v>
      </c>
      <c r="F1166">
        <f t="shared" si="73"/>
        <v>2.6062133542768515E-2</v>
      </c>
      <c r="G1166">
        <f t="shared" si="74"/>
        <v>1</v>
      </c>
      <c r="H1166">
        <f t="shared" si="75"/>
        <v>0.41408037500000006</v>
      </c>
    </row>
    <row r="1167" spans="1:8" x14ac:dyDescent="0.25">
      <c r="A1167">
        <v>1101</v>
      </c>
      <c r="B1167">
        <v>1</v>
      </c>
      <c r="C1167">
        <v>6.2277777777777779</v>
      </c>
      <c r="D1167">
        <v>2.4822222222222221</v>
      </c>
      <c r="E1167">
        <f t="shared" si="72"/>
        <v>2.5949074074074072E-2</v>
      </c>
      <c r="F1167">
        <f t="shared" si="73"/>
        <v>1.0342592592592592E-2</v>
      </c>
      <c r="G1167">
        <f t="shared" si="74"/>
        <v>1</v>
      </c>
      <c r="H1167">
        <f t="shared" si="75"/>
        <v>0.31138888888888888</v>
      </c>
    </row>
    <row r="1168" spans="1:8" x14ac:dyDescent="0.25">
      <c r="A1168">
        <v>1101</v>
      </c>
      <c r="B1168">
        <v>2</v>
      </c>
      <c r="C1168">
        <v>7.9761758333333326</v>
      </c>
      <c r="D1168">
        <v>7.9191851767674999</v>
      </c>
      <c r="E1168">
        <f t="shared" si="72"/>
        <v>3.323406597222222E-2</v>
      </c>
      <c r="F1168">
        <f t="shared" si="73"/>
        <v>3.2996604903197918E-2</v>
      </c>
      <c r="G1168">
        <f t="shared" si="74"/>
        <v>1</v>
      </c>
      <c r="H1168">
        <f t="shared" si="75"/>
        <v>0.39880879166666661</v>
      </c>
    </row>
    <row r="1169" spans="1:8" x14ac:dyDescent="0.25">
      <c r="A1169">
        <v>1101</v>
      </c>
      <c r="B1169">
        <v>3</v>
      </c>
      <c r="C1169">
        <v>7.9911369444444436</v>
      </c>
      <c r="D1169">
        <v>7.9276444305555556</v>
      </c>
      <c r="E1169">
        <f t="shared" si="72"/>
        <v>3.3296403935185181E-2</v>
      </c>
      <c r="F1169">
        <f t="shared" si="73"/>
        <v>3.3031851793981486E-2</v>
      </c>
      <c r="G1169">
        <f t="shared" si="74"/>
        <v>1</v>
      </c>
      <c r="H1169">
        <f t="shared" si="75"/>
        <v>0.39955684722222218</v>
      </c>
    </row>
    <row r="1170" spans="1:8" x14ac:dyDescent="0.25">
      <c r="A1170">
        <v>1101</v>
      </c>
      <c r="B1170">
        <v>4</v>
      </c>
      <c r="C1170">
        <v>7.9723563888888886</v>
      </c>
      <c r="D1170">
        <v>7.8626759259258332</v>
      </c>
      <c r="E1170">
        <f t="shared" si="72"/>
        <v>3.3218151620370368E-2</v>
      </c>
      <c r="F1170">
        <f t="shared" si="73"/>
        <v>3.2761149691357634E-2</v>
      </c>
      <c r="G1170">
        <f t="shared" si="74"/>
        <v>1</v>
      </c>
      <c r="H1170">
        <f t="shared" si="75"/>
        <v>0.39861781944444441</v>
      </c>
    </row>
    <row r="1171" spans="1:8" x14ac:dyDescent="0.25">
      <c r="A1171">
        <v>1101</v>
      </c>
      <c r="B1171">
        <v>5</v>
      </c>
      <c r="C1171">
        <v>9.0062216666666668</v>
      </c>
      <c r="D1171">
        <v>1.3162148611111111</v>
      </c>
      <c r="E1171">
        <f t="shared" si="72"/>
        <v>3.7525923611111116E-2</v>
      </c>
      <c r="F1171">
        <f t="shared" si="73"/>
        <v>5.4842285879629629E-3</v>
      </c>
      <c r="G1171">
        <f t="shared" si="74"/>
        <v>1</v>
      </c>
      <c r="H1171">
        <f t="shared" si="75"/>
        <v>0.45031108333333336</v>
      </c>
    </row>
    <row r="1172" spans="1:8" x14ac:dyDescent="0.25">
      <c r="A1172">
        <v>1101</v>
      </c>
      <c r="B1172">
        <v>6</v>
      </c>
      <c r="C1172">
        <v>6.1852591666666674</v>
      </c>
      <c r="D1172">
        <v>0.92153179012333331</v>
      </c>
      <c r="E1172">
        <f t="shared" si="72"/>
        <v>2.5771913194444451E-2</v>
      </c>
      <c r="F1172">
        <f t="shared" si="73"/>
        <v>3.8397157921805556E-3</v>
      </c>
      <c r="G1172">
        <f t="shared" si="74"/>
        <v>1</v>
      </c>
      <c r="H1172">
        <f t="shared" si="75"/>
        <v>0.30926295833333339</v>
      </c>
    </row>
    <row r="1173" spans="1:8" x14ac:dyDescent="0.25">
      <c r="A1173">
        <v>1101</v>
      </c>
      <c r="B1173">
        <v>7</v>
      </c>
      <c r="C1173">
        <v>5.7398908333333329</v>
      </c>
      <c r="D1173">
        <v>0.43077454166666668</v>
      </c>
      <c r="E1173">
        <f t="shared" si="72"/>
        <v>2.3916211805555556E-2</v>
      </c>
      <c r="F1173">
        <f t="shared" si="73"/>
        <v>1.7948939236111111E-3</v>
      </c>
      <c r="G1173">
        <f t="shared" si="74"/>
        <v>1</v>
      </c>
      <c r="H1173">
        <f t="shared" si="75"/>
        <v>0.28699454166666666</v>
      </c>
    </row>
    <row r="1174" spans="1:8" x14ac:dyDescent="0.25">
      <c r="A1174">
        <v>1101</v>
      </c>
      <c r="B1174">
        <v>8</v>
      </c>
      <c r="C1174">
        <v>5.9992708333333331</v>
      </c>
      <c r="D1174">
        <v>0.51621746376805555</v>
      </c>
      <c r="E1174">
        <f t="shared" si="72"/>
        <v>2.4996961805555554E-2</v>
      </c>
      <c r="F1174">
        <f t="shared" si="73"/>
        <v>2.1509060990335649E-3</v>
      </c>
      <c r="G1174">
        <f t="shared" si="74"/>
        <v>1</v>
      </c>
      <c r="H1174">
        <f t="shared" si="75"/>
        <v>0.29996354166666667</v>
      </c>
    </row>
    <row r="1175" spans="1:8" x14ac:dyDescent="0.25">
      <c r="A1175">
        <v>1101</v>
      </c>
      <c r="B1175">
        <v>9</v>
      </c>
      <c r="C1175">
        <v>6.1254425000000001</v>
      </c>
      <c r="D1175">
        <v>0.62482477777777778</v>
      </c>
      <c r="E1175">
        <f t="shared" si="72"/>
        <v>2.5522677083333334E-2</v>
      </c>
      <c r="F1175">
        <f t="shared" si="73"/>
        <v>2.6034365740740741E-3</v>
      </c>
      <c r="G1175">
        <f t="shared" si="74"/>
        <v>1</v>
      </c>
      <c r="H1175">
        <f t="shared" si="75"/>
        <v>0.30627212500000001</v>
      </c>
    </row>
    <row r="1176" spans="1:8" x14ac:dyDescent="0.25">
      <c r="A1176">
        <v>1101</v>
      </c>
      <c r="B1176">
        <v>10</v>
      </c>
      <c r="C1176">
        <v>6.7995130555555559</v>
      </c>
      <c r="D1176">
        <v>0.6140810227272222</v>
      </c>
      <c r="E1176">
        <f t="shared" si="72"/>
        <v>2.8331304398148151E-2</v>
      </c>
      <c r="F1176">
        <f t="shared" si="73"/>
        <v>2.5586709280300923E-3</v>
      </c>
      <c r="G1176">
        <f t="shared" si="74"/>
        <v>1</v>
      </c>
      <c r="H1176">
        <f t="shared" si="75"/>
        <v>0.3399756527777778</v>
      </c>
    </row>
    <row r="1177" spans="1:8" x14ac:dyDescent="0.25">
      <c r="A1177">
        <v>1101</v>
      </c>
      <c r="B1177">
        <v>11</v>
      </c>
      <c r="C1177">
        <v>6.9454874999999996</v>
      </c>
      <c r="D1177">
        <v>1.087039783950555</v>
      </c>
      <c r="E1177">
        <f t="shared" si="72"/>
        <v>2.8939531249999997E-2</v>
      </c>
      <c r="F1177">
        <f t="shared" si="73"/>
        <v>4.5293324331273123E-3</v>
      </c>
      <c r="G1177">
        <f t="shared" si="74"/>
        <v>1</v>
      </c>
      <c r="H1177">
        <f t="shared" si="75"/>
        <v>0.34727437499999997</v>
      </c>
    </row>
    <row r="1178" spans="1:8" x14ac:dyDescent="0.25">
      <c r="A1178">
        <v>1101</v>
      </c>
      <c r="B1178">
        <v>12</v>
      </c>
      <c r="C1178">
        <v>3.990963888888889</v>
      </c>
      <c r="D1178">
        <v>0.56618432539666663</v>
      </c>
      <c r="E1178">
        <f t="shared" si="72"/>
        <v>1.6629016203703703E-2</v>
      </c>
      <c r="F1178">
        <f t="shared" si="73"/>
        <v>2.3591013558194444E-3</v>
      </c>
      <c r="G1178">
        <f t="shared" si="74"/>
        <v>1</v>
      </c>
      <c r="H1178">
        <f t="shared" si="75"/>
        <v>0.19954819444444444</v>
      </c>
    </row>
    <row r="1179" spans="1:8" x14ac:dyDescent="0.25">
      <c r="A1179">
        <v>1102</v>
      </c>
      <c r="B1179">
        <v>1</v>
      </c>
      <c r="C1179">
        <v>5.9886111111111111</v>
      </c>
      <c r="D1179">
        <v>4.2188888888888885</v>
      </c>
      <c r="E1179">
        <f t="shared" si="72"/>
        <v>2.4952546296296296E-2</v>
      </c>
      <c r="F1179">
        <f t="shared" si="73"/>
        <v>1.7578703703703704E-2</v>
      </c>
      <c r="G1179">
        <f t="shared" si="74"/>
        <v>1</v>
      </c>
      <c r="H1179">
        <f t="shared" si="75"/>
        <v>0.29943055555555553</v>
      </c>
    </row>
    <row r="1180" spans="1:8" x14ac:dyDescent="0.25">
      <c r="A1180">
        <v>1102</v>
      </c>
      <c r="B1180">
        <v>2</v>
      </c>
      <c r="C1180">
        <v>10.904022222222221</v>
      </c>
      <c r="D1180">
        <v>10.79706930555556</v>
      </c>
      <c r="E1180">
        <f t="shared" si="72"/>
        <v>4.5433425925925919E-2</v>
      </c>
      <c r="F1180">
        <f t="shared" si="73"/>
        <v>4.4987788773148164E-2</v>
      </c>
      <c r="G1180">
        <f t="shared" si="74"/>
        <v>1</v>
      </c>
      <c r="H1180">
        <f t="shared" si="75"/>
        <v>0.54520111111111103</v>
      </c>
    </row>
    <row r="1181" spans="1:8" x14ac:dyDescent="0.25">
      <c r="A1181">
        <v>1102</v>
      </c>
      <c r="B1181">
        <v>3</v>
      </c>
      <c r="C1181">
        <v>10.91478138888889</v>
      </c>
      <c r="D1181">
        <v>10.71226252777778</v>
      </c>
      <c r="E1181">
        <f t="shared" si="72"/>
        <v>4.5478255787037042E-2</v>
      </c>
      <c r="F1181">
        <f t="shared" si="73"/>
        <v>4.4634427199074088E-2</v>
      </c>
      <c r="G1181">
        <f t="shared" si="74"/>
        <v>1</v>
      </c>
      <c r="H1181">
        <f t="shared" si="75"/>
        <v>0.5457390694444445</v>
      </c>
    </row>
    <row r="1182" spans="1:8" x14ac:dyDescent="0.25">
      <c r="A1182">
        <v>1102</v>
      </c>
      <c r="B1182">
        <v>4</v>
      </c>
      <c r="C1182">
        <v>10.903684999999999</v>
      </c>
      <c r="D1182">
        <v>9.950676164021111</v>
      </c>
      <c r="E1182">
        <f t="shared" si="72"/>
        <v>4.5432020833333329E-2</v>
      </c>
      <c r="F1182">
        <f t="shared" si="73"/>
        <v>4.1461150683421294E-2</v>
      </c>
      <c r="G1182">
        <f t="shared" si="74"/>
        <v>1</v>
      </c>
      <c r="H1182">
        <f t="shared" si="75"/>
        <v>0.54518424999999993</v>
      </c>
    </row>
    <row r="1183" spans="1:8" x14ac:dyDescent="0.25">
      <c r="A1183">
        <v>1102</v>
      </c>
      <c r="B1183">
        <v>5</v>
      </c>
      <c r="C1183">
        <v>2.893184166666666</v>
      </c>
      <c r="D1183">
        <v>1.6949656527777781</v>
      </c>
      <c r="E1183">
        <f t="shared" si="72"/>
        <v>1.2054934027777775E-2</v>
      </c>
      <c r="F1183">
        <f t="shared" si="73"/>
        <v>7.062356886574076E-3</v>
      </c>
      <c r="G1183">
        <f t="shared" si="74"/>
        <v>1</v>
      </c>
      <c r="H1183">
        <f t="shared" si="75"/>
        <v>0.14465920833333329</v>
      </c>
    </row>
    <row r="1184" spans="1:8" x14ac:dyDescent="0.25">
      <c r="A1184">
        <v>1102</v>
      </c>
      <c r="B1184">
        <v>6</v>
      </c>
      <c r="C1184">
        <v>10.903469166666669</v>
      </c>
      <c r="D1184">
        <v>2.306580541666666</v>
      </c>
      <c r="E1184">
        <f t="shared" si="72"/>
        <v>4.5431121527777785E-2</v>
      </c>
      <c r="F1184">
        <f t="shared" si="73"/>
        <v>9.6107522569444416E-3</v>
      </c>
      <c r="G1184">
        <f t="shared" si="74"/>
        <v>1</v>
      </c>
      <c r="H1184">
        <f t="shared" si="75"/>
        <v>0.54517345833333342</v>
      </c>
    </row>
    <row r="1185" spans="1:8" x14ac:dyDescent="0.25">
      <c r="A1185">
        <v>1102</v>
      </c>
      <c r="B1185">
        <v>7</v>
      </c>
      <c r="C1185">
        <v>4.0356541666666663</v>
      </c>
      <c r="D1185">
        <v>2.2721412638888889</v>
      </c>
      <c r="E1185">
        <f t="shared" si="72"/>
        <v>1.6815225694444443E-2</v>
      </c>
      <c r="F1185">
        <f t="shared" si="73"/>
        <v>9.467255266203704E-3</v>
      </c>
      <c r="G1185">
        <f t="shared" si="74"/>
        <v>1</v>
      </c>
      <c r="H1185">
        <f t="shared" si="75"/>
        <v>0.20178270833333331</v>
      </c>
    </row>
    <row r="1186" spans="1:8" x14ac:dyDescent="0.25">
      <c r="A1186">
        <v>1102</v>
      </c>
      <c r="B1186">
        <v>8</v>
      </c>
      <c r="C1186">
        <v>4.0191994444444443</v>
      </c>
      <c r="D1186">
        <v>2.3055893478258329</v>
      </c>
      <c r="E1186">
        <f t="shared" si="72"/>
        <v>1.6746664351851851E-2</v>
      </c>
      <c r="F1186">
        <f t="shared" si="73"/>
        <v>9.6066222826076374E-3</v>
      </c>
      <c r="G1186">
        <f t="shared" si="74"/>
        <v>1</v>
      </c>
      <c r="H1186">
        <f t="shared" si="75"/>
        <v>0.20095997222222223</v>
      </c>
    </row>
    <row r="1187" spans="1:8" x14ac:dyDescent="0.25">
      <c r="A1187">
        <v>1102</v>
      </c>
      <c r="B1187">
        <v>9</v>
      </c>
      <c r="C1187">
        <v>4.2516158333333331</v>
      </c>
      <c r="D1187">
        <v>2.8460108333333332</v>
      </c>
      <c r="E1187">
        <f t="shared" si="72"/>
        <v>1.7715065972222221E-2</v>
      </c>
      <c r="F1187">
        <f t="shared" si="73"/>
        <v>1.1858378472222222E-2</v>
      </c>
      <c r="G1187">
        <f t="shared" si="74"/>
        <v>1</v>
      </c>
      <c r="H1187">
        <f t="shared" si="75"/>
        <v>0.21258079166666666</v>
      </c>
    </row>
    <row r="1188" spans="1:8" x14ac:dyDescent="0.25">
      <c r="A1188">
        <v>1102</v>
      </c>
      <c r="B1188">
        <v>10</v>
      </c>
      <c r="C1188">
        <v>5.1844802777777774</v>
      </c>
      <c r="D1188">
        <v>2.7856181060605549</v>
      </c>
      <c r="E1188">
        <f t="shared" si="72"/>
        <v>2.1602001157407406E-2</v>
      </c>
      <c r="F1188">
        <f t="shared" si="73"/>
        <v>1.1606742108585645E-2</v>
      </c>
      <c r="G1188">
        <f t="shared" si="74"/>
        <v>1</v>
      </c>
      <c r="H1188">
        <f t="shared" si="75"/>
        <v>0.25922401388888888</v>
      </c>
    </row>
    <row r="1189" spans="1:8" x14ac:dyDescent="0.25">
      <c r="A1189">
        <v>1102</v>
      </c>
      <c r="B1189">
        <v>11</v>
      </c>
      <c r="C1189">
        <v>4.8081830555555554</v>
      </c>
      <c r="D1189">
        <v>2.721960845959444</v>
      </c>
      <c r="E1189">
        <f t="shared" si="72"/>
        <v>2.0034096064814814E-2</v>
      </c>
      <c r="F1189">
        <f t="shared" si="73"/>
        <v>1.1341503524831016E-2</v>
      </c>
      <c r="G1189">
        <f t="shared" si="74"/>
        <v>1</v>
      </c>
      <c r="H1189">
        <f t="shared" si="75"/>
        <v>0.24040915277777777</v>
      </c>
    </row>
    <row r="1190" spans="1:8" x14ac:dyDescent="0.25">
      <c r="A1190">
        <v>1102</v>
      </c>
      <c r="B1190">
        <v>12</v>
      </c>
      <c r="C1190">
        <v>3.0441172222222219</v>
      </c>
      <c r="D1190">
        <v>2.231401798941667</v>
      </c>
      <c r="E1190">
        <f t="shared" si="72"/>
        <v>1.2683821759259258E-2</v>
      </c>
      <c r="F1190">
        <f t="shared" si="73"/>
        <v>9.2975074955902789E-3</v>
      </c>
      <c r="G1190">
        <f t="shared" si="74"/>
        <v>1</v>
      </c>
      <c r="H1190">
        <f t="shared" si="75"/>
        <v>0.15220586111111109</v>
      </c>
    </row>
    <row r="1191" spans="1:8" x14ac:dyDescent="0.25">
      <c r="A1191">
        <v>1103</v>
      </c>
      <c r="B1191">
        <v>1</v>
      </c>
      <c r="C1191">
        <v>5.8491666666666662</v>
      </c>
      <c r="D1191">
        <v>3.4336111111111114</v>
      </c>
      <c r="E1191">
        <f t="shared" si="72"/>
        <v>2.4371527777777777E-2</v>
      </c>
      <c r="F1191">
        <f t="shared" si="73"/>
        <v>1.4306712962962964E-2</v>
      </c>
      <c r="G1191">
        <f t="shared" si="74"/>
        <v>1</v>
      </c>
      <c r="H1191">
        <f t="shared" si="75"/>
        <v>0.29245833333333332</v>
      </c>
    </row>
    <row r="1192" spans="1:8" x14ac:dyDescent="0.25">
      <c r="A1192">
        <v>1103</v>
      </c>
      <c r="B1192">
        <v>2</v>
      </c>
      <c r="C1192">
        <v>4.1938722222222218</v>
      </c>
      <c r="D1192">
        <v>3.5620744318180551</v>
      </c>
      <c r="E1192">
        <f t="shared" si="72"/>
        <v>1.747446759259259E-2</v>
      </c>
      <c r="F1192">
        <f t="shared" si="73"/>
        <v>1.4841976799241896E-2</v>
      </c>
      <c r="G1192">
        <f t="shared" si="74"/>
        <v>1</v>
      </c>
      <c r="H1192">
        <f t="shared" si="75"/>
        <v>0.20969361111111107</v>
      </c>
    </row>
    <row r="1193" spans="1:8" x14ac:dyDescent="0.25">
      <c r="A1193">
        <v>1103</v>
      </c>
      <c r="B1193">
        <v>3</v>
      </c>
      <c r="C1193">
        <v>10.307913055555559</v>
      </c>
      <c r="D1193">
        <v>3.687154152777778</v>
      </c>
      <c r="E1193">
        <f t="shared" si="72"/>
        <v>4.2949637731481499E-2</v>
      </c>
      <c r="F1193">
        <f t="shared" si="73"/>
        <v>1.5363142303240741E-2</v>
      </c>
      <c r="G1193">
        <f t="shared" si="74"/>
        <v>1</v>
      </c>
      <c r="H1193">
        <f t="shared" si="75"/>
        <v>0.51539565277777799</v>
      </c>
    </row>
    <row r="1194" spans="1:8" x14ac:dyDescent="0.25">
      <c r="A1194">
        <v>1103</v>
      </c>
      <c r="B1194">
        <v>4</v>
      </c>
      <c r="C1194">
        <v>9.8334663888888887</v>
      </c>
      <c r="D1194">
        <v>3.7134565476188892</v>
      </c>
      <c r="E1194">
        <f t="shared" si="72"/>
        <v>4.0972776620370369E-2</v>
      </c>
      <c r="F1194">
        <f t="shared" si="73"/>
        <v>1.5472735615078705E-2</v>
      </c>
      <c r="G1194">
        <f t="shared" si="74"/>
        <v>1</v>
      </c>
      <c r="H1194">
        <f t="shared" si="75"/>
        <v>0.49167331944444442</v>
      </c>
    </row>
    <row r="1195" spans="1:8" x14ac:dyDescent="0.25">
      <c r="A1195">
        <v>1103</v>
      </c>
      <c r="B1195">
        <v>5</v>
      </c>
      <c r="C1195">
        <v>5.8543811111111106</v>
      </c>
      <c r="D1195">
        <v>3.758154777777778</v>
      </c>
      <c r="E1195">
        <f t="shared" si="72"/>
        <v>2.4393254629629629E-2</v>
      </c>
      <c r="F1195">
        <f t="shared" si="73"/>
        <v>1.565897824074074E-2</v>
      </c>
      <c r="G1195">
        <f t="shared" si="74"/>
        <v>1</v>
      </c>
      <c r="H1195">
        <f t="shared" si="75"/>
        <v>0.29271905555555555</v>
      </c>
    </row>
    <row r="1196" spans="1:8" x14ac:dyDescent="0.25">
      <c r="A1196">
        <v>1103</v>
      </c>
      <c r="B1196">
        <v>6</v>
      </c>
      <c r="C1196">
        <v>5.7929222222222219</v>
      </c>
      <c r="D1196">
        <v>3.6084816111111109</v>
      </c>
      <c r="E1196">
        <f t="shared" si="72"/>
        <v>2.4137175925925927E-2</v>
      </c>
      <c r="F1196">
        <f t="shared" si="73"/>
        <v>1.5035340046296294E-2</v>
      </c>
      <c r="G1196">
        <f t="shared" si="74"/>
        <v>1</v>
      </c>
      <c r="H1196">
        <f t="shared" si="75"/>
        <v>0.2896461111111111</v>
      </c>
    </row>
    <row r="1197" spans="1:8" x14ac:dyDescent="0.25">
      <c r="A1197">
        <v>1103</v>
      </c>
      <c r="B1197">
        <v>7</v>
      </c>
      <c r="C1197">
        <v>5.5258688888888887</v>
      </c>
      <c r="D1197">
        <v>3.4661991137563888</v>
      </c>
      <c r="E1197">
        <f t="shared" si="72"/>
        <v>2.3024453703703703E-2</v>
      </c>
      <c r="F1197">
        <f t="shared" si="73"/>
        <v>1.4442496307318286E-2</v>
      </c>
      <c r="G1197">
        <f t="shared" si="74"/>
        <v>1</v>
      </c>
      <c r="H1197">
        <f t="shared" si="75"/>
        <v>0.27629344444444442</v>
      </c>
    </row>
    <row r="1198" spans="1:8" x14ac:dyDescent="0.25">
      <c r="A1198">
        <v>1103</v>
      </c>
      <c r="B1198">
        <v>8</v>
      </c>
      <c r="C1198">
        <v>4.9369797222222216</v>
      </c>
      <c r="D1198">
        <v>3.3938762560386109</v>
      </c>
      <c r="E1198">
        <f t="shared" si="72"/>
        <v>2.0570748842592589E-2</v>
      </c>
      <c r="F1198">
        <f t="shared" si="73"/>
        <v>1.4141151066827546E-2</v>
      </c>
      <c r="G1198">
        <f t="shared" si="74"/>
        <v>1</v>
      </c>
      <c r="H1198">
        <f t="shared" si="75"/>
        <v>0.24684898611111106</v>
      </c>
    </row>
    <row r="1199" spans="1:8" x14ac:dyDescent="0.25">
      <c r="A1199">
        <v>1103</v>
      </c>
      <c r="B1199">
        <v>9</v>
      </c>
      <c r="C1199">
        <v>5.9901855555555557</v>
      </c>
      <c r="D1199">
        <v>3.888490569444444</v>
      </c>
      <c r="E1199">
        <f t="shared" si="72"/>
        <v>2.4959106481481485E-2</v>
      </c>
      <c r="F1199">
        <f t="shared" si="73"/>
        <v>1.620204403935185E-2</v>
      </c>
      <c r="G1199">
        <f t="shared" si="74"/>
        <v>1</v>
      </c>
      <c r="H1199">
        <f t="shared" si="75"/>
        <v>0.2995092777777778</v>
      </c>
    </row>
    <row r="1200" spans="1:8" x14ac:dyDescent="0.25">
      <c r="A1200">
        <v>1103</v>
      </c>
      <c r="B1200">
        <v>10</v>
      </c>
      <c r="C1200">
        <v>6.12704</v>
      </c>
      <c r="D1200">
        <v>3.9852561237372219</v>
      </c>
      <c r="E1200">
        <f t="shared" si="72"/>
        <v>2.5529333333333334E-2</v>
      </c>
      <c r="F1200">
        <f t="shared" si="73"/>
        <v>1.6605233848905093E-2</v>
      </c>
      <c r="G1200">
        <f t="shared" si="74"/>
        <v>1</v>
      </c>
      <c r="H1200">
        <f t="shared" si="75"/>
        <v>0.30635200000000001</v>
      </c>
    </row>
    <row r="1201" spans="1:8" x14ac:dyDescent="0.25">
      <c r="A1201">
        <v>1103</v>
      </c>
      <c r="B1201">
        <v>11</v>
      </c>
      <c r="C1201">
        <v>5.9300747222222219</v>
      </c>
      <c r="D1201">
        <v>4.0378561237372219</v>
      </c>
      <c r="E1201">
        <f t="shared" si="72"/>
        <v>2.4708644675925925E-2</v>
      </c>
      <c r="F1201">
        <f t="shared" si="73"/>
        <v>1.6824400515571759E-2</v>
      </c>
      <c r="G1201">
        <f t="shared" si="74"/>
        <v>1</v>
      </c>
      <c r="H1201">
        <f t="shared" si="75"/>
        <v>0.29650373611111108</v>
      </c>
    </row>
    <row r="1202" spans="1:8" x14ac:dyDescent="0.25">
      <c r="A1202">
        <v>1103</v>
      </c>
      <c r="B1202">
        <v>12</v>
      </c>
      <c r="C1202">
        <v>5.6952697222222222</v>
      </c>
      <c r="D1202">
        <v>4.0990914153438887</v>
      </c>
      <c r="E1202">
        <f t="shared" si="72"/>
        <v>2.3730290509259261E-2</v>
      </c>
      <c r="F1202">
        <f t="shared" si="73"/>
        <v>1.707954756393287E-2</v>
      </c>
      <c r="G1202">
        <f t="shared" si="74"/>
        <v>1</v>
      </c>
      <c r="H1202">
        <f t="shared" si="75"/>
        <v>0.28476348611111113</v>
      </c>
    </row>
    <row r="1203" spans="1:8" x14ac:dyDescent="0.25">
      <c r="A1203">
        <v>1104</v>
      </c>
      <c r="B1203">
        <v>1</v>
      </c>
      <c r="C1203">
        <v>5.7702777777777774</v>
      </c>
      <c r="D1203">
        <v>2.0483333333333333</v>
      </c>
      <c r="E1203">
        <f t="shared" si="72"/>
        <v>2.4042824074074071E-2</v>
      </c>
      <c r="F1203">
        <f t="shared" si="73"/>
        <v>8.5347222222222231E-3</v>
      </c>
      <c r="G1203">
        <f t="shared" si="74"/>
        <v>1</v>
      </c>
      <c r="H1203">
        <f t="shared" si="75"/>
        <v>0.28851388888888885</v>
      </c>
    </row>
    <row r="1204" spans="1:8" x14ac:dyDescent="0.25">
      <c r="A1204">
        <v>1104</v>
      </c>
      <c r="B1204">
        <v>2</v>
      </c>
      <c r="C1204">
        <v>9.2145777777777784</v>
      </c>
      <c r="D1204">
        <v>2.0552090151513891</v>
      </c>
      <c r="E1204">
        <f t="shared" si="72"/>
        <v>3.8394074074074074E-2</v>
      </c>
      <c r="F1204">
        <f t="shared" si="73"/>
        <v>8.5633708964641207E-3</v>
      </c>
      <c r="G1204">
        <f t="shared" si="74"/>
        <v>1</v>
      </c>
      <c r="H1204">
        <f t="shared" si="75"/>
        <v>0.46072888888888885</v>
      </c>
    </row>
    <row r="1205" spans="1:8" x14ac:dyDescent="0.25">
      <c r="A1205">
        <v>1104</v>
      </c>
      <c r="B1205">
        <v>3</v>
      </c>
      <c r="C1205">
        <v>5.7677674999999997</v>
      </c>
      <c r="D1205">
        <v>1.822426444444444</v>
      </c>
      <c r="E1205">
        <f t="shared" si="72"/>
        <v>2.403236458333333E-2</v>
      </c>
      <c r="F1205">
        <f t="shared" si="73"/>
        <v>7.5934435185185173E-3</v>
      </c>
      <c r="G1205">
        <f t="shared" si="74"/>
        <v>1</v>
      </c>
      <c r="H1205">
        <f t="shared" si="75"/>
        <v>0.28838837499999997</v>
      </c>
    </row>
    <row r="1206" spans="1:8" x14ac:dyDescent="0.25">
      <c r="A1206">
        <v>1104</v>
      </c>
      <c r="B1206">
        <v>4</v>
      </c>
      <c r="C1206">
        <v>7.6660391666666667</v>
      </c>
      <c r="D1206">
        <v>2.6623550925925001</v>
      </c>
      <c r="E1206">
        <f t="shared" si="72"/>
        <v>3.1941829861111111E-2</v>
      </c>
      <c r="F1206">
        <f t="shared" si="73"/>
        <v>1.1093146219135416E-2</v>
      </c>
      <c r="G1206">
        <f t="shared" si="74"/>
        <v>1</v>
      </c>
      <c r="H1206">
        <f t="shared" si="75"/>
        <v>0.38330195833333336</v>
      </c>
    </row>
    <row r="1207" spans="1:8" x14ac:dyDescent="0.25">
      <c r="A1207">
        <v>1104</v>
      </c>
      <c r="B1207">
        <v>5</v>
      </c>
      <c r="C1207">
        <v>10.466542499999999</v>
      </c>
      <c r="D1207">
        <v>4.1451177361111107</v>
      </c>
      <c r="E1207">
        <f t="shared" si="72"/>
        <v>4.3610593750000003E-2</v>
      </c>
      <c r="F1207">
        <f t="shared" si="73"/>
        <v>1.7271323900462963E-2</v>
      </c>
      <c r="G1207">
        <f t="shared" si="74"/>
        <v>1</v>
      </c>
      <c r="H1207">
        <f t="shared" si="75"/>
        <v>0.523327125</v>
      </c>
    </row>
    <row r="1208" spans="1:8" x14ac:dyDescent="0.25">
      <c r="A1208">
        <v>1104</v>
      </c>
      <c r="B1208">
        <v>6</v>
      </c>
      <c r="C1208">
        <v>5.393556666666667</v>
      </c>
      <c r="D1208">
        <v>2.2589561805555549</v>
      </c>
      <c r="E1208">
        <f t="shared" si="72"/>
        <v>2.2473152777777779E-2</v>
      </c>
      <c r="F1208">
        <f t="shared" si="73"/>
        <v>9.4123174189814796E-3</v>
      </c>
      <c r="G1208">
        <f t="shared" si="74"/>
        <v>1</v>
      </c>
      <c r="H1208">
        <f t="shared" si="75"/>
        <v>0.26967783333333334</v>
      </c>
    </row>
    <row r="1209" spans="1:8" x14ac:dyDescent="0.25">
      <c r="A1209">
        <v>1104</v>
      </c>
      <c r="B1209">
        <v>7</v>
      </c>
      <c r="C1209">
        <v>5.34185</v>
      </c>
      <c r="D1209">
        <v>2.2075415972222219</v>
      </c>
      <c r="E1209">
        <f t="shared" si="72"/>
        <v>2.2257708333333334E-2</v>
      </c>
      <c r="F1209">
        <f t="shared" si="73"/>
        <v>9.198089988425924E-3</v>
      </c>
      <c r="G1209">
        <f t="shared" si="74"/>
        <v>1</v>
      </c>
      <c r="H1209">
        <f t="shared" si="75"/>
        <v>0.26709250000000001</v>
      </c>
    </row>
    <row r="1210" spans="1:8" x14ac:dyDescent="0.25">
      <c r="A1210">
        <v>1104</v>
      </c>
      <c r="B1210">
        <v>8</v>
      </c>
      <c r="C1210">
        <v>4.9607208333333332</v>
      </c>
      <c r="D1210">
        <v>1.7480399275361109</v>
      </c>
      <c r="E1210">
        <f t="shared" si="72"/>
        <v>2.0669670138888888E-2</v>
      </c>
      <c r="F1210">
        <f t="shared" si="73"/>
        <v>7.2834996980671281E-3</v>
      </c>
      <c r="G1210">
        <f t="shared" si="74"/>
        <v>1</v>
      </c>
      <c r="H1210">
        <f t="shared" si="75"/>
        <v>0.24803604166666665</v>
      </c>
    </row>
    <row r="1211" spans="1:8" x14ac:dyDescent="0.25">
      <c r="A1211">
        <v>1104</v>
      </c>
      <c r="B1211">
        <v>9</v>
      </c>
      <c r="C1211">
        <v>5.1723841666666663</v>
      </c>
      <c r="D1211">
        <v>1.872318172514444</v>
      </c>
      <c r="E1211">
        <f t="shared" si="72"/>
        <v>2.155160069444444E-2</v>
      </c>
      <c r="F1211">
        <f t="shared" si="73"/>
        <v>7.8013257188101828E-3</v>
      </c>
      <c r="G1211">
        <f t="shared" si="74"/>
        <v>1</v>
      </c>
      <c r="H1211">
        <f t="shared" si="75"/>
        <v>0.25861920833333329</v>
      </c>
    </row>
    <row r="1212" spans="1:8" x14ac:dyDescent="0.25">
      <c r="A1212">
        <v>1104</v>
      </c>
      <c r="B1212">
        <v>10</v>
      </c>
      <c r="C1212">
        <v>5.7481633333333333</v>
      </c>
      <c r="D1212">
        <v>2.1741031084655562</v>
      </c>
      <c r="E1212">
        <f t="shared" si="72"/>
        <v>2.3950680555555558E-2</v>
      </c>
      <c r="F1212">
        <f t="shared" si="73"/>
        <v>9.0587629519398184E-3</v>
      </c>
      <c r="G1212">
        <f t="shared" si="74"/>
        <v>1</v>
      </c>
      <c r="H1212">
        <f t="shared" si="75"/>
        <v>0.28740816666666669</v>
      </c>
    </row>
    <row r="1213" spans="1:8" x14ac:dyDescent="0.25">
      <c r="A1213">
        <v>1104</v>
      </c>
      <c r="B1213">
        <v>11</v>
      </c>
      <c r="C1213">
        <v>5.4393750000000001</v>
      </c>
      <c r="D1213">
        <v>2.265153017676667</v>
      </c>
      <c r="E1213">
        <f t="shared" si="72"/>
        <v>2.2664062499999998E-2</v>
      </c>
      <c r="F1213">
        <f t="shared" si="73"/>
        <v>9.438137573652779E-3</v>
      </c>
      <c r="G1213">
        <f t="shared" si="74"/>
        <v>1</v>
      </c>
      <c r="H1213">
        <f t="shared" si="75"/>
        <v>0.27196874999999998</v>
      </c>
    </row>
    <row r="1214" spans="1:8" x14ac:dyDescent="0.25">
      <c r="A1214">
        <v>1104</v>
      </c>
      <c r="B1214">
        <v>12</v>
      </c>
      <c r="C1214">
        <v>4.0714047222222218</v>
      </c>
      <c r="D1214">
        <v>1.3655951190475</v>
      </c>
      <c r="E1214">
        <f t="shared" si="72"/>
        <v>1.6964186342592589E-2</v>
      </c>
      <c r="F1214">
        <f t="shared" si="73"/>
        <v>5.689979662697916E-3</v>
      </c>
      <c r="G1214">
        <f t="shared" si="74"/>
        <v>1</v>
      </c>
      <c r="H1214">
        <f t="shared" si="75"/>
        <v>0.20357023611111108</v>
      </c>
    </row>
    <row r="1215" spans="1:8" x14ac:dyDescent="0.25">
      <c r="A1215">
        <v>1105</v>
      </c>
      <c r="B1215">
        <v>1</v>
      </c>
      <c r="C1215">
        <v>4.8647222222222224</v>
      </c>
      <c r="D1215">
        <v>1.1594444444444443</v>
      </c>
      <c r="E1215">
        <f t="shared" si="72"/>
        <v>2.0269675925925927E-2</v>
      </c>
      <c r="F1215">
        <f t="shared" si="73"/>
        <v>4.8310185185185183E-3</v>
      </c>
      <c r="G1215">
        <f t="shared" si="74"/>
        <v>1</v>
      </c>
      <c r="H1215">
        <f t="shared" si="75"/>
        <v>0.24323611111111113</v>
      </c>
    </row>
    <row r="1216" spans="1:8" x14ac:dyDescent="0.25">
      <c r="A1216">
        <v>1105</v>
      </c>
      <c r="B1216">
        <v>2</v>
      </c>
      <c r="C1216">
        <v>9.5502166666666675</v>
      </c>
      <c r="D1216">
        <v>2.1808061231883329</v>
      </c>
      <c r="E1216">
        <f t="shared" si="72"/>
        <v>3.9792569444444446E-2</v>
      </c>
      <c r="F1216">
        <f t="shared" si="73"/>
        <v>9.0866921799513875E-3</v>
      </c>
      <c r="G1216">
        <f t="shared" si="74"/>
        <v>1</v>
      </c>
      <c r="H1216">
        <f t="shared" si="75"/>
        <v>0.47751083333333333</v>
      </c>
    </row>
    <row r="1217" spans="1:8" x14ac:dyDescent="0.25">
      <c r="A1217">
        <v>1105</v>
      </c>
      <c r="B1217">
        <v>3</v>
      </c>
      <c r="C1217">
        <v>11.9581225</v>
      </c>
      <c r="D1217">
        <v>1.3592650115738889</v>
      </c>
      <c r="E1217">
        <f t="shared" si="72"/>
        <v>4.9825510416666663E-2</v>
      </c>
      <c r="F1217">
        <f t="shared" si="73"/>
        <v>5.6636042148912038E-3</v>
      </c>
      <c r="G1217">
        <f t="shared" si="74"/>
        <v>1</v>
      </c>
      <c r="H1217">
        <f t="shared" si="75"/>
        <v>0.59790612499999995</v>
      </c>
    </row>
    <row r="1218" spans="1:8" x14ac:dyDescent="0.25">
      <c r="A1218">
        <v>1105</v>
      </c>
      <c r="B1218">
        <v>4</v>
      </c>
      <c r="C1218">
        <v>11.110947222222221</v>
      </c>
      <c r="D1218">
        <v>1.538945309828889</v>
      </c>
      <c r="E1218">
        <f t="shared" ref="E1218:E1281" si="76">+C1218/20/12</f>
        <v>4.6295613425925919E-2</v>
      </c>
      <c r="F1218">
        <f t="shared" ref="F1218:F1281" si="77">+D1218/20/12</f>
        <v>6.4122721242870382E-3</v>
      </c>
      <c r="G1218">
        <f t="shared" ref="G1218:G1281" si="78">+ROUNDUP(E1218*12,0)</f>
        <v>1</v>
      </c>
      <c r="H1218">
        <f t="shared" ref="H1218:H1281" si="79">+E1218*12</f>
        <v>0.55554736111111103</v>
      </c>
    </row>
    <row r="1219" spans="1:8" x14ac:dyDescent="0.25">
      <c r="A1219">
        <v>1105</v>
      </c>
      <c r="B1219">
        <v>5</v>
      </c>
      <c r="C1219">
        <v>8.9157055555555562</v>
      </c>
      <c r="D1219">
        <v>4.9677362615738891</v>
      </c>
      <c r="E1219">
        <f t="shared" si="76"/>
        <v>3.714877314814815E-2</v>
      </c>
      <c r="F1219">
        <f t="shared" si="77"/>
        <v>2.0698901089891204E-2</v>
      </c>
      <c r="G1219">
        <f t="shared" si="78"/>
        <v>1</v>
      </c>
      <c r="H1219">
        <f t="shared" si="79"/>
        <v>0.44578527777777777</v>
      </c>
    </row>
    <row r="1220" spans="1:8" x14ac:dyDescent="0.25">
      <c r="A1220">
        <v>1105</v>
      </c>
      <c r="B1220">
        <v>6</v>
      </c>
      <c r="C1220">
        <v>8.7720149999999997</v>
      </c>
      <c r="D1220">
        <v>3.3932252662036109</v>
      </c>
      <c r="E1220">
        <f t="shared" si="76"/>
        <v>3.6550062500000001E-2</v>
      </c>
      <c r="F1220">
        <f t="shared" si="77"/>
        <v>1.4138438609181713E-2</v>
      </c>
      <c r="G1220">
        <f t="shared" si="78"/>
        <v>1</v>
      </c>
      <c r="H1220">
        <f t="shared" si="79"/>
        <v>0.43860074999999998</v>
      </c>
    </row>
    <row r="1221" spans="1:8" x14ac:dyDescent="0.25">
      <c r="A1221">
        <v>1105</v>
      </c>
      <c r="B1221">
        <v>7</v>
      </c>
      <c r="C1221">
        <v>1.5102777777777779E-2</v>
      </c>
      <c r="D1221">
        <v>8.7535144924999995E-3</v>
      </c>
      <c r="E1221">
        <f t="shared" si="76"/>
        <v>6.2928240740740742E-5</v>
      </c>
      <c r="F1221">
        <f t="shared" si="77"/>
        <v>3.6472977052083329E-5</v>
      </c>
      <c r="G1221">
        <f t="shared" si="78"/>
        <v>1</v>
      </c>
      <c r="H1221">
        <f t="shared" si="79"/>
        <v>7.5513888888888896E-4</v>
      </c>
    </row>
    <row r="1222" spans="1:8" x14ac:dyDescent="0.25">
      <c r="A1222">
        <v>1105</v>
      </c>
      <c r="B1222">
        <v>8</v>
      </c>
      <c r="C1222">
        <v>7.1554855555555559</v>
      </c>
      <c r="D1222">
        <v>0.39156535024138889</v>
      </c>
      <c r="E1222">
        <f t="shared" si="76"/>
        <v>2.9814523148148152E-2</v>
      </c>
      <c r="F1222">
        <f t="shared" si="77"/>
        <v>1.6315222926724538E-3</v>
      </c>
      <c r="G1222">
        <f t="shared" si="78"/>
        <v>1</v>
      </c>
      <c r="H1222">
        <f t="shared" si="79"/>
        <v>0.35777427777777782</v>
      </c>
    </row>
    <row r="1223" spans="1:8" x14ac:dyDescent="0.25">
      <c r="A1223">
        <v>1105</v>
      </c>
      <c r="B1223">
        <v>9</v>
      </c>
      <c r="C1223">
        <v>5.1694444444444444E-3</v>
      </c>
      <c r="D1223">
        <v>4.5173472222222221E-3</v>
      </c>
      <c r="E1223">
        <f t="shared" si="76"/>
        <v>2.1539351851851852E-5</v>
      </c>
      <c r="F1223">
        <f t="shared" si="77"/>
        <v>1.8822280092592593E-5</v>
      </c>
      <c r="G1223">
        <f t="shared" si="78"/>
        <v>1</v>
      </c>
      <c r="H1223">
        <f t="shared" si="79"/>
        <v>2.5847222222222222E-4</v>
      </c>
    </row>
    <row r="1224" spans="1:8" x14ac:dyDescent="0.25">
      <c r="A1224">
        <v>1105</v>
      </c>
      <c r="B1224">
        <v>10</v>
      </c>
      <c r="C1224">
        <v>0.32195861111111113</v>
      </c>
      <c r="D1224">
        <v>1.912867424222222E-2</v>
      </c>
      <c r="E1224">
        <f t="shared" si="76"/>
        <v>1.341494212962963E-3</v>
      </c>
      <c r="F1224">
        <f t="shared" si="77"/>
        <v>7.9702809342592582E-5</v>
      </c>
      <c r="G1224">
        <f t="shared" si="78"/>
        <v>1</v>
      </c>
      <c r="H1224">
        <f t="shared" si="79"/>
        <v>1.6097930555555556E-2</v>
      </c>
    </row>
    <row r="1225" spans="1:8" x14ac:dyDescent="0.25">
      <c r="A1225">
        <v>1105</v>
      </c>
      <c r="B1225">
        <v>11</v>
      </c>
      <c r="C1225">
        <v>0.43069249999999998</v>
      </c>
      <c r="D1225">
        <v>3.6957702019999997E-2</v>
      </c>
      <c r="E1225">
        <f t="shared" si="76"/>
        <v>1.7945520833333331E-3</v>
      </c>
      <c r="F1225">
        <f t="shared" si="77"/>
        <v>1.5399042508333331E-4</v>
      </c>
      <c r="G1225">
        <f t="shared" si="78"/>
        <v>1</v>
      </c>
      <c r="H1225">
        <f t="shared" si="79"/>
        <v>2.1534624999999998E-2</v>
      </c>
    </row>
    <row r="1226" spans="1:8" x14ac:dyDescent="0.25">
      <c r="A1226">
        <v>1105</v>
      </c>
      <c r="B1226">
        <v>12</v>
      </c>
      <c r="C1226">
        <v>0.1401375</v>
      </c>
      <c r="D1226">
        <v>1.0943465608333329E-2</v>
      </c>
      <c r="E1226">
        <f t="shared" si="76"/>
        <v>5.8390625000000001E-4</v>
      </c>
      <c r="F1226">
        <f t="shared" si="77"/>
        <v>4.5597773368055533E-5</v>
      </c>
      <c r="G1226">
        <f t="shared" si="78"/>
        <v>1</v>
      </c>
      <c r="H1226">
        <f t="shared" si="79"/>
        <v>7.0068750000000001E-3</v>
      </c>
    </row>
    <row r="1227" spans="1:8" x14ac:dyDescent="0.25">
      <c r="A1227">
        <v>1106</v>
      </c>
      <c r="B1227">
        <v>1</v>
      </c>
      <c r="C1227">
        <v>9.1969444444444459</v>
      </c>
      <c r="D1227">
        <v>6.7813888888888885</v>
      </c>
      <c r="E1227">
        <f t="shared" si="76"/>
        <v>3.8320601851851856E-2</v>
      </c>
      <c r="F1227">
        <f t="shared" si="77"/>
        <v>2.8255787037037034E-2</v>
      </c>
      <c r="G1227">
        <f t="shared" si="78"/>
        <v>1</v>
      </c>
      <c r="H1227">
        <f t="shared" si="79"/>
        <v>0.4598472222222223</v>
      </c>
    </row>
    <row r="1228" spans="1:8" x14ac:dyDescent="0.25">
      <c r="A1228">
        <v>1106</v>
      </c>
      <c r="B1228">
        <v>8</v>
      </c>
      <c r="C1228">
        <v>4.337682222222222</v>
      </c>
      <c r="D1228">
        <v>1.5329931481480561</v>
      </c>
      <c r="E1228">
        <f t="shared" si="76"/>
        <v>1.8073675925925927E-2</v>
      </c>
      <c r="F1228">
        <f t="shared" si="77"/>
        <v>6.3874714506169002E-3</v>
      </c>
      <c r="G1228">
        <f t="shared" si="78"/>
        <v>1</v>
      </c>
      <c r="H1228">
        <f t="shared" si="79"/>
        <v>0.21688411111111111</v>
      </c>
    </row>
    <row r="1229" spans="1:8" x14ac:dyDescent="0.25">
      <c r="A1229">
        <v>1106</v>
      </c>
      <c r="B1229">
        <v>9</v>
      </c>
      <c r="C1229">
        <v>11.929781388888889</v>
      </c>
      <c r="D1229">
        <v>5.567470138888889</v>
      </c>
      <c r="E1229">
        <f t="shared" si="76"/>
        <v>4.9707422453703708E-2</v>
      </c>
      <c r="F1229">
        <f t="shared" si="77"/>
        <v>2.3197792245370372E-2</v>
      </c>
      <c r="G1229">
        <f t="shared" si="78"/>
        <v>1</v>
      </c>
      <c r="H1229">
        <f t="shared" si="79"/>
        <v>0.59648906944444446</v>
      </c>
    </row>
    <row r="1230" spans="1:8" x14ac:dyDescent="0.25">
      <c r="A1230">
        <v>1106</v>
      </c>
      <c r="B1230">
        <v>10</v>
      </c>
      <c r="C1230">
        <v>15.049278611111109</v>
      </c>
      <c r="D1230">
        <v>12.00804082070694</v>
      </c>
      <c r="E1230">
        <f t="shared" si="76"/>
        <v>6.2705327546296291E-2</v>
      </c>
      <c r="F1230">
        <f t="shared" si="77"/>
        <v>5.0033503419612248E-2</v>
      </c>
      <c r="G1230">
        <f t="shared" si="78"/>
        <v>1</v>
      </c>
      <c r="H1230">
        <f t="shared" si="79"/>
        <v>0.75246393055555549</v>
      </c>
    </row>
    <row r="1231" spans="1:8" x14ac:dyDescent="0.25">
      <c r="A1231">
        <v>1106</v>
      </c>
      <c r="B1231">
        <v>11</v>
      </c>
      <c r="C1231">
        <v>11.93818527777778</v>
      </c>
      <c r="D1231">
        <v>11.45251744708972</v>
      </c>
      <c r="E1231">
        <f t="shared" si="76"/>
        <v>4.9742438657407413E-2</v>
      </c>
      <c r="F1231">
        <f t="shared" si="77"/>
        <v>4.7718822696207169E-2</v>
      </c>
      <c r="G1231">
        <f t="shared" si="78"/>
        <v>1</v>
      </c>
      <c r="H1231">
        <f t="shared" si="79"/>
        <v>0.59690926388888899</v>
      </c>
    </row>
    <row r="1232" spans="1:8" x14ac:dyDescent="0.25">
      <c r="A1232">
        <v>1106</v>
      </c>
      <c r="B1232">
        <v>12</v>
      </c>
      <c r="C1232">
        <v>11.92522111111111</v>
      </c>
      <c r="D1232">
        <v>10.12703706349194</v>
      </c>
      <c r="E1232">
        <f t="shared" si="76"/>
        <v>4.9688421296296297E-2</v>
      </c>
      <c r="F1232">
        <f t="shared" si="77"/>
        <v>4.2195987764549747E-2</v>
      </c>
      <c r="G1232">
        <f t="shared" si="78"/>
        <v>1</v>
      </c>
      <c r="H1232">
        <f t="shared" si="79"/>
        <v>0.59626105555555553</v>
      </c>
    </row>
    <row r="1233" spans="1:8" x14ac:dyDescent="0.25">
      <c r="A1233">
        <v>1107</v>
      </c>
      <c r="B1233">
        <v>1</v>
      </c>
      <c r="C1233">
        <v>4.9930555555555554</v>
      </c>
      <c r="D1233">
        <v>3.6583333333333332</v>
      </c>
      <c r="E1233">
        <f t="shared" si="76"/>
        <v>2.0804398148148148E-2</v>
      </c>
      <c r="F1233">
        <f t="shared" si="77"/>
        <v>1.5243055555555557E-2</v>
      </c>
      <c r="G1233">
        <f t="shared" si="78"/>
        <v>1</v>
      </c>
      <c r="H1233">
        <f t="shared" si="79"/>
        <v>0.24965277777777778</v>
      </c>
    </row>
    <row r="1234" spans="1:8" x14ac:dyDescent="0.25">
      <c r="A1234">
        <v>1107</v>
      </c>
      <c r="B1234">
        <v>2</v>
      </c>
      <c r="C1234">
        <v>0.79872583333333336</v>
      </c>
      <c r="D1234">
        <v>0.79872583333333336</v>
      </c>
      <c r="E1234">
        <f t="shared" si="76"/>
        <v>3.3280243055555554E-3</v>
      </c>
      <c r="F1234">
        <f t="shared" si="77"/>
        <v>3.3280243055555554E-3</v>
      </c>
      <c r="G1234">
        <f t="shared" si="78"/>
        <v>1</v>
      </c>
      <c r="H1234">
        <f t="shared" si="79"/>
        <v>3.9936291666666665E-2</v>
      </c>
    </row>
    <row r="1235" spans="1:8" x14ac:dyDescent="0.25">
      <c r="A1235">
        <v>1107</v>
      </c>
      <c r="B1235">
        <v>3</v>
      </c>
      <c r="C1235">
        <v>0.58881944444444445</v>
      </c>
      <c r="D1235">
        <v>0.58881944444444445</v>
      </c>
      <c r="E1235">
        <f t="shared" si="76"/>
        <v>2.453414351851852E-3</v>
      </c>
      <c r="F1235">
        <f t="shared" si="77"/>
        <v>2.453414351851852E-3</v>
      </c>
      <c r="G1235">
        <f t="shared" si="78"/>
        <v>1</v>
      </c>
      <c r="H1235">
        <f t="shared" si="79"/>
        <v>2.9440972222222223E-2</v>
      </c>
    </row>
    <row r="1236" spans="1:8" x14ac:dyDescent="0.25">
      <c r="A1236">
        <v>1107</v>
      </c>
      <c r="B1236">
        <v>5</v>
      </c>
      <c r="C1236">
        <v>4.7740416666666663</v>
      </c>
      <c r="D1236">
        <v>4.7740416666666663</v>
      </c>
      <c r="E1236">
        <f t="shared" si="76"/>
        <v>1.9891840277777777E-2</v>
      </c>
      <c r="F1236">
        <f t="shared" si="77"/>
        <v>1.9891840277777777E-2</v>
      </c>
      <c r="G1236">
        <f t="shared" si="78"/>
        <v>1</v>
      </c>
      <c r="H1236">
        <f t="shared" si="79"/>
        <v>0.23870208333333331</v>
      </c>
    </row>
    <row r="1237" spans="1:8" x14ac:dyDescent="0.25">
      <c r="A1237">
        <v>1107</v>
      </c>
      <c r="B1237">
        <v>6</v>
      </c>
      <c r="C1237">
        <v>8.3012591666666662</v>
      </c>
      <c r="D1237">
        <v>4.2086174999999999</v>
      </c>
      <c r="E1237">
        <f t="shared" si="76"/>
        <v>3.4588579861111107E-2</v>
      </c>
      <c r="F1237">
        <f t="shared" si="77"/>
        <v>1.753590625E-2</v>
      </c>
      <c r="G1237">
        <f t="shared" si="78"/>
        <v>1</v>
      </c>
      <c r="H1237">
        <f t="shared" si="79"/>
        <v>0.41506295833333329</v>
      </c>
    </row>
    <row r="1238" spans="1:8" x14ac:dyDescent="0.25">
      <c r="A1238">
        <v>1107</v>
      </c>
      <c r="B1238">
        <v>7</v>
      </c>
      <c r="C1238">
        <v>6.8438619444444448</v>
      </c>
      <c r="D1238">
        <v>6.8438619444444448</v>
      </c>
      <c r="E1238">
        <f t="shared" si="76"/>
        <v>2.8516091435185187E-2</v>
      </c>
      <c r="F1238">
        <f t="shared" si="77"/>
        <v>2.8516091435185187E-2</v>
      </c>
      <c r="G1238">
        <f t="shared" si="78"/>
        <v>1</v>
      </c>
      <c r="H1238">
        <f t="shared" si="79"/>
        <v>0.34219309722222224</v>
      </c>
    </row>
    <row r="1239" spans="1:8" x14ac:dyDescent="0.25">
      <c r="A1239">
        <v>1107</v>
      </c>
      <c r="B1239">
        <v>8</v>
      </c>
      <c r="C1239">
        <v>3.568401944444445</v>
      </c>
      <c r="D1239">
        <v>1.9834677777777781</v>
      </c>
      <c r="E1239">
        <f t="shared" si="76"/>
        <v>1.4868341435185187E-2</v>
      </c>
      <c r="F1239">
        <f t="shared" si="77"/>
        <v>8.2644490740740751E-3</v>
      </c>
      <c r="G1239">
        <f t="shared" si="78"/>
        <v>1</v>
      </c>
      <c r="H1239">
        <f t="shared" si="79"/>
        <v>0.17842009722222224</v>
      </c>
    </row>
    <row r="1240" spans="1:8" x14ac:dyDescent="0.25">
      <c r="A1240">
        <v>1107</v>
      </c>
      <c r="B1240">
        <v>9</v>
      </c>
      <c r="C1240">
        <v>4.9490722222222221</v>
      </c>
      <c r="D1240">
        <v>4.9490722222222221</v>
      </c>
      <c r="E1240">
        <f t="shared" si="76"/>
        <v>2.0621134259259259E-2</v>
      </c>
      <c r="F1240">
        <f t="shared" si="77"/>
        <v>2.0621134259259259E-2</v>
      </c>
      <c r="G1240">
        <f t="shared" si="78"/>
        <v>1</v>
      </c>
      <c r="H1240">
        <f t="shared" si="79"/>
        <v>0.24745361111111111</v>
      </c>
    </row>
    <row r="1241" spans="1:8" x14ac:dyDescent="0.25">
      <c r="A1241">
        <v>1107</v>
      </c>
      <c r="B1241">
        <v>10</v>
      </c>
      <c r="C1241">
        <v>6.1151138888888887</v>
      </c>
      <c r="D1241">
        <v>3.610761597222222</v>
      </c>
      <c r="E1241">
        <f t="shared" si="76"/>
        <v>2.5479641203703704E-2</v>
      </c>
      <c r="F1241">
        <f t="shared" si="77"/>
        <v>1.5044839988425924E-2</v>
      </c>
      <c r="G1241">
        <f t="shared" si="78"/>
        <v>1</v>
      </c>
      <c r="H1241">
        <f t="shared" si="79"/>
        <v>0.30575569444444445</v>
      </c>
    </row>
    <row r="1242" spans="1:8" x14ac:dyDescent="0.25">
      <c r="A1242">
        <v>1107</v>
      </c>
      <c r="B1242">
        <v>11</v>
      </c>
      <c r="C1242">
        <v>8.6082416666666663</v>
      </c>
      <c r="D1242">
        <v>8.6082416666666663</v>
      </c>
      <c r="E1242">
        <f t="shared" si="76"/>
        <v>3.5867673611111109E-2</v>
      </c>
      <c r="F1242">
        <f t="shared" si="77"/>
        <v>3.5867673611111109E-2</v>
      </c>
      <c r="G1242">
        <f t="shared" si="78"/>
        <v>1</v>
      </c>
      <c r="H1242">
        <f t="shared" si="79"/>
        <v>0.43041208333333331</v>
      </c>
    </row>
    <row r="1243" spans="1:8" x14ac:dyDescent="0.25">
      <c r="A1243">
        <v>1107</v>
      </c>
      <c r="B1243">
        <v>12</v>
      </c>
      <c r="C1243">
        <v>10.375678611111111</v>
      </c>
      <c r="D1243">
        <v>3.8731187962961111</v>
      </c>
      <c r="E1243">
        <f t="shared" si="76"/>
        <v>4.3231994212962956E-2</v>
      </c>
      <c r="F1243">
        <f t="shared" si="77"/>
        <v>1.6137994984567128E-2</v>
      </c>
      <c r="G1243">
        <f t="shared" si="78"/>
        <v>1</v>
      </c>
      <c r="H1243">
        <f t="shared" si="79"/>
        <v>0.51878393055555549</v>
      </c>
    </row>
    <row r="1244" spans="1:8" x14ac:dyDescent="0.25">
      <c r="A1244">
        <v>1108</v>
      </c>
      <c r="B1244">
        <v>1</v>
      </c>
      <c r="C1244">
        <v>18.250833333333333</v>
      </c>
      <c r="D1244">
        <v>7.1941666666666659</v>
      </c>
      <c r="E1244">
        <f t="shared" si="76"/>
        <v>7.6045138888888877E-2</v>
      </c>
      <c r="F1244">
        <f t="shared" si="77"/>
        <v>2.997569444444444E-2</v>
      </c>
      <c r="G1244">
        <f t="shared" si="78"/>
        <v>1</v>
      </c>
      <c r="H1244">
        <f t="shared" si="79"/>
        <v>0.91254166666666658</v>
      </c>
    </row>
    <row r="1245" spans="1:8" x14ac:dyDescent="0.25">
      <c r="A1245">
        <v>1108</v>
      </c>
      <c r="B1245">
        <v>9</v>
      </c>
      <c r="C1245">
        <v>16.495941388888891</v>
      </c>
      <c r="D1245">
        <v>10.887650583333331</v>
      </c>
      <c r="E1245">
        <f t="shared" si="76"/>
        <v>6.8733089120370378E-2</v>
      </c>
      <c r="F1245">
        <f t="shared" si="77"/>
        <v>4.5365210763888879E-2</v>
      </c>
      <c r="G1245">
        <f t="shared" si="78"/>
        <v>1</v>
      </c>
      <c r="H1245">
        <f t="shared" si="79"/>
        <v>0.82479706944444453</v>
      </c>
    </row>
    <row r="1246" spans="1:8" x14ac:dyDescent="0.25">
      <c r="A1246">
        <v>1108</v>
      </c>
      <c r="B1246">
        <v>11</v>
      </c>
      <c r="C1246">
        <v>38.256144444444438</v>
      </c>
      <c r="D1246">
        <v>10.694313383838329</v>
      </c>
      <c r="E1246">
        <f t="shared" si="76"/>
        <v>0.15940060185185181</v>
      </c>
      <c r="F1246">
        <f t="shared" si="77"/>
        <v>4.4559639099326372E-2</v>
      </c>
      <c r="G1246">
        <f t="shared" si="78"/>
        <v>2</v>
      </c>
      <c r="H1246">
        <f t="shared" si="79"/>
        <v>1.9128072222222219</v>
      </c>
    </row>
    <row r="1247" spans="1:8" x14ac:dyDescent="0.25">
      <c r="A1247">
        <v>1109</v>
      </c>
      <c r="B1247">
        <v>1</v>
      </c>
      <c r="C1247">
        <v>4.3902777777777784</v>
      </c>
      <c r="D1247">
        <v>0.76305555555555549</v>
      </c>
      <c r="E1247">
        <f t="shared" si="76"/>
        <v>1.8292824074074076E-2</v>
      </c>
      <c r="F1247">
        <f t="shared" si="77"/>
        <v>3.1793981481481478E-3</v>
      </c>
      <c r="G1247">
        <f t="shared" si="78"/>
        <v>1</v>
      </c>
      <c r="H1247">
        <f t="shared" si="79"/>
        <v>0.2195138888888889</v>
      </c>
    </row>
    <row r="1248" spans="1:8" x14ac:dyDescent="0.25">
      <c r="A1248">
        <v>1109</v>
      </c>
      <c r="B1248">
        <v>2</v>
      </c>
      <c r="C1248">
        <v>3.6411572222222222</v>
      </c>
      <c r="D1248">
        <v>0.35444393939388891</v>
      </c>
      <c r="E1248">
        <f t="shared" si="76"/>
        <v>1.5171488425925925E-2</v>
      </c>
      <c r="F1248">
        <f t="shared" si="77"/>
        <v>1.476849747474537E-3</v>
      </c>
      <c r="G1248">
        <f t="shared" si="78"/>
        <v>1</v>
      </c>
      <c r="H1248">
        <f t="shared" si="79"/>
        <v>0.18205786111111111</v>
      </c>
    </row>
    <row r="1249" spans="1:8" x14ac:dyDescent="0.25">
      <c r="A1249">
        <v>1109</v>
      </c>
      <c r="B1249">
        <v>3</v>
      </c>
      <c r="C1249">
        <v>4.5552269444444446</v>
      </c>
      <c r="D1249">
        <v>0.40301145833333341</v>
      </c>
      <c r="E1249">
        <f t="shared" si="76"/>
        <v>1.898011226851852E-2</v>
      </c>
      <c r="F1249">
        <f t="shared" si="77"/>
        <v>1.6792144097222226E-3</v>
      </c>
      <c r="G1249">
        <f t="shared" si="78"/>
        <v>1</v>
      </c>
      <c r="H1249">
        <f t="shared" si="79"/>
        <v>0.22776134722222224</v>
      </c>
    </row>
    <row r="1250" spans="1:8" x14ac:dyDescent="0.25">
      <c r="A1250">
        <v>1109</v>
      </c>
      <c r="B1250">
        <v>4</v>
      </c>
      <c r="C1250">
        <v>3.348085555555556</v>
      </c>
      <c r="D1250">
        <v>0.36629533068777781</v>
      </c>
      <c r="E1250">
        <f t="shared" si="76"/>
        <v>1.3950356481481484E-2</v>
      </c>
      <c r="F1250">
        <f t="shared" si="77"/>
        <v>1.5262305445324076E-3</v>
      </c>
      <c r="G1250">
        <f t="shared" si="78"/>
        <v>1</v>
      </c>
      <c r="H1250">
        <f t="shared" si="79"/>
        <v>0.1674042777777778</v>
      </c>
    </row>
    <row r="1251" spans="1:8" x14ac:dyDescent="0.25">
      <c r="A1251">
        <v>1109</v>
      </c>
      <c r="B1251">
        <v>5</v>
      </c>
      <c r="C1251">
        <v>2.990223055555556</v>
      </c>
      <c r="D1251">
        <v>0.57621586111111112</v>
      </c>
      <c r="E1251">
        <f t="shared" si="76"/>
        <v>1.2459262731481483E-2</v>
      </c>
      <c r="F1251">
        <f t="shared" si="77"/>
        <v>2.4008994212962962E-3</v>
      </c>
      <c r="G1251">
        <f t="shared" si="78"/>
        <v>1</v>
      </c>
      <c r="H1251">
        <f t="shared" si="79"/>
        <v>0.14951115277777779</v>
      </c>
    </row>
    <row r="1252" spans="1:8" x14ac:dyDescent="0.25">
      <c r="A1252">
        <v>1109</v>
      </c>
      <c r="B1252">
        <v>6</v>
      </c>
      <c r="C1252">
        <v>5.2021808333333333</v>
      </c>
      <c r="D1252">
        <v>0.76692173611111114</v>
      </c>
      <c r="E1252">
        <f t="shared" si="76"/>
        <v>2.1675753472222222E-2</v>
      </c>
      <c r="F1252">
        <f t="shared" si="77"/>
        <v>3.1955072337962963E-3</v>
      </c>
      <c r="G1252">
        <f t="shared" si="78"/>
        <v>1</v>
      </c>
      <c r="H1252">
        <f t="shared" si="79"/>
        <v>0.26010904166666665</v>
      </c>
    </row>
    <row r="1253" spans="1:8" x14ac:dyDescent="0.25">
      <c r="A1253">
        <v>1109</v>
      </c>
      <c r="B1253">
        <v>7</v>
      </c>
      <c r="C1253">
        <v>6.7282502777777777</v>
      </c>
      <c r="D1253">
        <v>1.076941208333333</v>
      </c>
      <c r="E1253">
        <f t="shared" si="76"/>
        <v>2.8034376157407406E-2</v>
      </c>
      <c r="F1253">
        <f t="shared" si="77"/>
        <v>4.4872550347222206E-3</v>
      </c>
      <c r="G1253">
        <f t="shared" si="78"/>
        <v>1</v>
      </c>
      <c r="H1253">
        <f t="shared" si="79"/>
        <v>0.33641251388888888</v>
      </c>
    </row>
    <row r="1254" spans="1:8" x14ac:dyDescent="0.25">
      <c r="A1254">
        <v>1109</v>
      </c>
      <c r="B1254">
        <v>8</v>
      </c>
      <c r="C1254">
        <v>5.4522872222222221</v>
      </c>
      <c r="D1254">
        <v>0.94332653381638887</v>
      </c>
      <c r="E1254">
        <f t="shared" si="76"/>
        <v>2.2717863425925924E-2</v>
      </c>
      <c r="F1254">
        <f t="shared" si="77"/>
        <v>3.930527224234954E-3</v>
      </c>
      <c r="G1254">
        <f t="shared" si="78"/>
        <v>1</v>
      </c>
      <c r="H1254">
        <f t="shared" si="79"/>
        <v>0.27261436111111109</v>
      </c>
    </row>
    <row r="1255" spans="1:8" x14ac:dyDescent="0.25">
      <c r="A1255">
        <v>1109</v>
      </c>
      <c r="B1255">
        <v>9</v>
      </c>
      <c r="C1255">
        <v>3.2697258333333332</v>
      </c>
      <c r="D1255">
        <v>0.56835786324777782</v>
      </c>
      <c r="E1255">
        <f t="shared" si="76"/>
        <v>1.3623857638888889E-2</v>
      </c>
      <c r="F1255">
        <f t="shared" si="77"/>
        <v>2.3681577635324075E-3</v>
      </c>
      <c r="G1255">
        <f t="shared" si="78"/>
        <v>1</v>
      </c>
      <c r="H1255">
        <f t="shared" si="79"/>
        <v>0.16348629166666667</v>
      </c>
    </row>
    <row r="1256" spans="1:8" x14ac:dyDescent="0.25">
      <c r="A1256">
        <v>1109</v>
      </c>
      <c r="B1256">
        <v>10</v>
      </c>
      <c r="C1256">
        <v>6.1416391666666668</v>
      </c>
      <c r="D1256">
        <v>1.2815519191916671</v>
      </c>
      <c r="E1256">
        <f t="shared" si="76"/>
        <v>2.5590163194444446E-2</v>
      </c>
      <c r="F1256">
        <f t="shared" si="77"/>
        <v>5.3397996632986132E-3</v>
      </c>
      <c r="G1256">
        <f t="shared" si="78"/>
        <v>1</v>
      </c>
      <c r="H1256">
        <f t="shared" si="79"/>
        <v>0.30708195833333335</v>
      </c>
    </row>
    <row r="1257" spans="1:8" x14ac:dyDescent="0.25">
      <c r="A1257">
        <v>1109</v>
      </c>
      <c r="B1257">
        <v>11</v>
      </c>
      <c r="C1257">
        <v>5.8276044444444448</v>
      </c>
      <c r="D1257">
        <v>1.579556365740556</v>
      </c>
      <c r="E1257">
        <f t="shared" si="76"/>
        <v>2.4281685185185187E-2</v>
      </c>
      <c r="F1257">
        <f t="shared" si="77"/>
        <v>6.5814848572523163E-3</v>
      </c>
      <c r="G1257">
        <f t="shared" si="78"/>
        <v>1</v>
      </c>
      <c r="H1257">
        <f t="shared" si="79"/>
        <v>0.29138022222222226</v>
      </c>
    </row>
    <row r="1258" spans="1:8" x14ac:dyDescent="0.25">
      <c r="A1258">
        <v>1109</v>
      </c>
      <c r="B1258">
        <v>12</v>
      </c>
      <c r="C1258">
        <v>5.5239630555555559</v>
      </c>
      <c r="D1258">
        <v>1.237418201058055</v>
      </c>
      <c r="E1258">
        <f t="shared" si="76"/>
        <v>2.3016512731481486E-2</v>
      </c>
      <c r="F1258">
        <f t="shared" si="77"/>
        <v>5.1559091710752297E-3</v>
      </c>
      <c r="G1258">
        <f t="shared" si="78"/>
        <v>1</v>
      </c>
      <c r="H1258">
        <f t="shared" si="79"/>
        <v>0.27619815277777782</v>
      </c>
    </row>
    <row r="1259" spans="1:8" x14ac:dyDescent="0.25">
      <c r="A1259">
        <v>1110</v>
      </c>
      <c r="B1259">
        <v>1</v>
      </c>
      <c r="C1259">
        <v>4.3019444444444446</v>
      </c>
      <c r="D1259">
        <v>3.7425000000000002</v>
      </c>
      <c r="E1259">
        <f t="shared" si="76"/>
        <v>1.7924768518518517E-2</v>
      </c>
      <c r="F1259">
        <f t="shared" si="77"/>
        <v>1.5593750000000002E-2</v>
      </c>
      <c r="G1259">
        <f t="shared" si="78"/>
        <v>1</v>
      </c>
      <c r="H1259">
        <f t="shared" si="79"/>
        <v>0.21509722222222222</v>
      </c>
    </row>
    <row r="1260" spans="1:8" x14ac:dyDescent="0.25">
      <c r="A1260">
        <v>1110</v>
      </c>
      <c r="B1260">
        <v>2</v>
      </c>
      <c r="C1260">
        <v>0.28703333333333331</v>
      </c>
      <c r="D1260">
        <v>0.1450779545452778</v>
      </c>
      <c r="E1260">
        <f t="shared" si="76"/>
        <v>1.1959722222222222E-3</v>
      </c>
      <c r="F1260">
        <f t="shared" si="77"/>
        <v>6.0449147727199089E-4</v>
      </c>
      <c r="G1260">
        <f t="shared" si="78"/>
        <v>1</v>
      </c>
      <c r="H1260">
        <f t="shared" si="79"/>
        <v>1.4351666666666665E-2</v>
      </c>
    </row>
    <row r="1261" spans="1:8" x14ac:dyDescent="0.25">
      <c r="A1261">
        <v>1110</v>
      </c>
      <c r="B1261">
        <v>3</v>
      </c>
      <c r="C1261">
        <v>0.19048777777777781</v>
      </c>
      <c r="D1261">
        <v>0.13681913888888891</v>
      </c>
      <c r="E1261">
        <f t="shared" si="76"/>
        <v>7.9369907407407427E-4</v>
      </c>
      <c r="F1261">
        <f t="shared" si="77"/>
        <v>5.7007974537037049E-4</v>
      </c>
      <c r="G1261">
        <f t="shared" si="78"/>
        <v>1</v>
      </c>
      <c r="H1261">
        <f t="shared" si="79"/>
        <v>9.5243888888888913E-3</v>
      </c>
    </row>
    <row r="1262" spans="1:8" x14ac:dyDescent="0.25">
      <c r="A1262">
        <v>1110</v>
      </c>
      <c r="B1262">
        <v>4</v>
      </c>
      <c r="C1262">
        <v>0.19088861111111111</v>
      </c>
      <c r="D1262">
        <v>0.14321973544972219</v>
      </c>
      <c r="E1262">
        <f t="shared" si="76"/>
        <v>7.95369212962963E-4</v>
      </c>
      <c r="F1262">
        <f t="shared" si="77"/>
        <v>5.9674889770717577E-4</v>
      </c>
      <c r="G1262">
        <f t="shared" si="78"/>
        <v>1</v>
      </c>
      <c r="H1262">
        <f t="shared" si="79"/>
        <v>9.544430555555556E-3</v>
      </c>
    </row>
    <row r="1263" spans="1:8" x14ac:dyDescent="0.25">
      <c r="A1263">
        <v>1110</v>
      </c>
      <c r="B1263">
        <v>5</v>
      </c>
      <c r="C1263">
        <v>0.25177333333333329</v>
      </c>
      <c r="D1263">
        <v>0.15452538888888889</v>
      </c>
      <c r="E1263">
        <f t="shared" si="76"/>
        <v>1.0490555555555555E-3</v>
      </c>
      <c r="F1263">
        <f t="shared" si="77"/>
        <v>6.4385578703703703E-4</v>
      </c>
      <c r="G1263">
        <f t="shared" si="78"/>
        <v>1</v>
      </c>
      <c r="H1263">
        <f t="shared" si="79"/>
        <v>1.2588666666666665E-2</v>
      </c>
    </row>
    <row r="1264" spans="1:8" x14ac:dyDescent="0.25">
      <c r="A1264">
        <v>1110</v>
      </c>
      <c r="B1264">
        <v>6</v>
      </c>
      <c r="C1264">
        <v>0.19916500000000001</v>
      </c>
      <c r="D1264">
        <v>0.15104777777777781</v>
      </c>
      <c r="E1264">
        <f t="shared" si="76"/>
        <v>8.2985416666666667E-4</v>
      </c>
      <c r="F1264">
        <f t="shared" si="77"/>
        <v>6.2936574074074088E-4</v>
      </c>
      <c r="G1264">
        <f t="shared" si="78"/>
        <v>1</v>
      </c>
      <c r="H1264">
        <f t="shared" si="79"/>
        <v>9.9582500000000001E-3</v>
      </c>
    </row>
    <row r="1265" spans="1:8" x14ac:dyDescent="0.25">
      <c r="A1265">
        <v>1110</v>
      </c>
      <c r="B1265">
        <v>7</v>
      </c>
      <c r="C1265">
        <v>0.2286488888888889</v>
      </c>
      <c r="D1265">
        <v>0.1578647222222222</v>
      </c>
      <c r="E1265">
        <f t="shared" si="76"/>
        <v>9.5270370370370376E-4</v>
      </c>
      <c r="F1265">
        <f t="shared" si="77"/>
        <v>6.577696759259258E-4</v>
      </c>
      <c r="G1265">
        <f t="shared" si="78"/>
        <v>1</v>
      </c>
      <c r="H1265">
        <f t="shared" si="79"/>
        <v>1.1432444444444445E-2</v>
      </c>
    </row>
    <row r="1266" spans="1:8" x14ac:dyDescent="0.25">
      <c r="A1266">
        <v>1110</v>
      </c>
      <c r="B1266">
        <v>8</v>
      </c>
      <c r="C1266">
        <v>10.07293916666667</v>
      </c>
      <c r="D1266">
        <v>4.1080167632849998</v>
      </c>
      <c r="E1266">
        <f t="shared" si="76"/>
        <v>4.1970579861111128E-2</v>
      </c>
      <c r="F1266">
        <f t="shared" si="77"/>
        <v>1.7116736513687499E-2</v>
      </c>
      <c r="G1266">
        <f t="shared" si="78"/>
        <v>1</v>
      </c>
      <c r="H1266">
        <f t="shared" si="79"/>
        <v>0.50364695833333351</v>
      </c>
    </row>
    <row r="1267" spans="1:8" x14ac:dyDescent="0.25">
      <c r="A1267">
        <v>1110</v>
      </c>
      <c r="B1267">
        <v>9</v>
      </c>
      <c r="C1267">
        <v>10.047849166666669</v>
      </c>
      <c r="D1267">
        <v>9.9882942361111109</v>
      </c>
      <c r="E1267">
        <f t="shared" si="76"/>
        <v>4.1866038194444455E-2</v>
      </c>
      <c r="F1267">
        <f t="shared" si="77"/>
        <v>4.1617892650462958E-2</v>
      </c>
      <c r="G1267">
        <f t="shared" si="78"/>
        <v>1</v>
      </c>
      <c r="H1267">
        <f t="shared" si="79"/>
        <v>0.50239245833333346</v>
      </c>
    </row>
    <row r="1268" spans="1:8" x14ac:dyDescent="0.25">
      <c r="A1268">
        <v>1110</v>
      </c>
      <c r="B1268">
        <v>10</v>
      </c>
      <c r="C1268">
        <v>10.04328527777778</v>
      </c>
      <c r="D1268">
        <v>10.002639191919171</v>
      </c>
      <c r="E1268">
        <f t="shared" si="76"/>
        <v>4.1847021990740751E-2</v>
      </c>
      <c r="F1268">
        <f t="shared" si="77"/>
        <v>4.1677663299663215E-2</v>
      </c>
      <c r="G1268">
        <f t="shared" si="78"/>
        <v>1</v>
      </c>
      <c r="H1268">
        <f t="shared" si="79"/>
        <v>0.50216426388888902</v>
      </c>
    </row>
    <row r="1269" spans="1:8" x14ac:dyDescent="0.25">
      <c r="A1269">
        <v>1110</v>
      </c>
      <c r="B1269">
        <v>11</v>
      </c>
      <c r="C1269">
        <v>10.04281277777778</v>
      </c>
      <c r="D1269">
        <v>9.9177898989897226</v>
      </c>
      <c r="E1269">
        <f t="shared" si="76"/>
        <v>4.1845053240740747E-2</v>
      </c>
      <c r="F1269">
        <f t="shared" si="77"/>
        <v>4.1324124579123843E-2</v>
      </c>
      <c r="G1269">
        <f t="shared" si="78"/>
        <v>1</v>
      </c>
      <c r="H1269">
        <f t="shared" si="79"/>
        <v>0.50214063888888893</v>
      </c>
    </row>
    <row r="1270" spans="1:8" x14ac:dyDescent="0.25">
      <c r="A1270">
        <v>1110</v>
      </c>
      <c r="B1270">
        <v>12</v>
      </c>
      <c r="C1270">
        <v>10.06560833333333</v>
      </c>
      <c r="D1270">
        <v>10.00278912698389</v>
      </c>
      <c r="E1270">
        <f t="shared" si="76"/>
        <v>4.1940034722222207E-2</v>
      </c>
      <c r="F1270">
        <f t="shared" si="77"/>
        <v>4.1678288029099543E-2</v>
      </c>
      <c r="G1270">
        <f t="shared" si="78"/>
        <v>1</v>
      </c>
      <c r="H1270">
        <f t="shared" si="79"/>
        <v>0.50328041666666645</v>
      </c>
    </row>
    <row r="1271" spans="1:8" x14ac:dyDescent="0.25">
      <c r="A1271">
        <v>1111</v>
      </c>
      <c r="B1271">
        <v>1</v>
      </c>
      <c r="C1271">
        <v>3.9894444444444446</v>
      </c>
      <c r="D1271">
        <v>3.5611111111111109</v>
      </c>
      <c r="E1271">
        <f t="shared" si="76"/>
        <v>1.6622685185185185E-2</v>
      </c>
      <c r="F1271">
        <f t="shared" si="77"/>
        <v>1.4837962962962963E-2</v>
      </c>
      <c r="G1271">
        <f t="shared" si="78"/>
        <v>1</v>
      </c>
      <c r="H1271">
        <f t="shared" si="79"/>
        <v>0.19947222222222222</v>
      </c>
    </row>
    <row r="1272" spans="1:8" x14ac:dyDescent="0.25">
      <c r="A1272">
        <v>1111</v>
      </c>
      <c r="B1272">
        <v>2</v>
      </c>
      <c r="C1272">
        <v>3.0977725</v>
      </c>
      <c r="D1272">
        <v>2.9979385732322221</v>
      </c>
      <c r="E1272">
        <f t="shared" si="76"/>
        <v>1.2907385416666667E-2</v>
      </c>
      <c r="F1272">
        <f t="shared" si="77"/>
        <v>1.2491410721800926E-2</v>
      </c>
      <c r="G1272">
        <f t="shared" si="78"/>
        <v>1</v>
      </c>
      <c r="H1272">
        <f t="shared" si="79"/>
        <v>0.154888625</v>
      </c>
    </row>
    <row r="1273" spans="1:8" x14ac:dyDescent="0.25">
      <c r="A1273">
        <v>1111</v>
      </c>
      <c r="B1273">
        <v>3</v>
      </c>
      <c r="C1273">
        <v>3.3299325</v>
      </c>
      <c r="D1273">
        <v>2.8921842916666671</v>
      </c>
      <c r="E1273">
        <f t="shared" si="76"/>
        <v>1.3874718750000001E-2</v>
      </c>
      <c r="F1273">
        <f t="shared" si="77"/>
        <v>1.2050767881944447E-2</v>
      </c>
      <c r="G1273">
        <f t="shared" si="78"/>
        <v>1</v>
      </c>
      <c r="H1273">
        <f t="shared" si="79"/>
        <v>0.16649662500000001</v>
      </c>
    </row>
    <row r="1274" spans="1:8" x14ac:dyDescent="0.25">
      <c r="A1274">
        <v>1111</v>
      </c>
      <c r="B1274">
        <v>4</v>
      </c>
      <c r="C1274">
        <v>3.0475211111111111</v>
      </c>
      <c r="D1274">
        <v>2.799123082010555</v>
      </c>
      <c r="E1274">
        <f t="shared" si="76"/>
        <v>1.269800462962963E-2</v>
      </c>
      <c r="F1274">
        <f t="shared" si="77"/>
        <v>1.1663012841710646E-2</v>
      </c>
      <c r="G1274">
        <f t="shared" si="78"/>
        <v>1</v>
      </c>
      <c r="H1274">
        <f t="shared" si="79"/>
        <v>0.15237605555555556</v>
      </c>
    </row>
    <row r="1275" spans="1:8" x14ac:dyDescent="0.25">
      <c r="A1275">
        <v>1111</v>
      </c>
      <c r="B1275">
        <v>5</v>
      </c>
      <c r="C1275">
        <v>3.1318383333333339</v>
      </c>
      <c r="D1275">
        <v>2.9236548472222221</v>
      </c>
      <c r="E1275">
        <f t="shared" si="76"/>
        <v>1.3049326388888892E-2</v>
      </c>
      <c r="F1275">
        <f t="shared" si="77"/>
        <v>1.218189519675926E-2</v>
      </c>
      <c r="G1275">
        <f t="shared" si="78"/>
        <v>1</v>
      </c>
      <c r="H1275">
        <f t="shared" si="79"/>
        <v>0.15659191666666669</v>
      </c>
    </row>
    <row r="1276" spans="1:8" x14ac:dyDescent="0.25">
      <c r="A1276">
        <v>1111</v>
      </c>
      <c r="B1276">
        <v>6</v>
      </c>
      <c r="C1276">
        <v>4.9523358333333336</v>
      </c>
      <c r="D1276">
        <v>3.2363562638888892</v>
      </c>
      <c r="E1276">
        <f t="shared" si="76"/>
        <v>2.0634732638888889E-2</v>
      </c>
      <c r="F1276">
        <f t="shared" si="77"/>
        <v>1.3484817766203706E-2</v>
      </c>
      <c r="G1276">
        <f t="shared" si="78"/>
        <v>1</v>
      </c>
      <c r="H1276">
        <f t="shared" si="79"/>
        <v>0.24761679166666667</v>
      </c>
    </row>
    <row r="1277" spans="1:8" x14ac:dyDescent="0.25">
      <c r="A1277">
        <v>1111</v>
      </c>
      <c r="B1277">
        <v>7</v>
      </c>
      <c r="C1277">
        <v>4.8282961111111113</v>
      </c>
      <c r="D1277">
        <v>4.1932136243386111</v>
      </c>
      <c r="E1277">
        <f t="shared" si="76"/>
        <v>2.0117900462962964E-2</v>
      </c>
      <c r="F1277">
        <f t="shared" si="77"/>
        <v>1.7471723434744211E-2</v>
      </c>
      <c r="G1277">
        <f t="shared" si="78"/>
        <v>1</v>
      </c>
      <c r="H1277">
        <f t="shared" si="79"/>
        <v>0.24141480555555556</v>
      </c>
    </row>
    <row r="1278" spans="1:8" x14ac:dyDescent="0.25">
      <c r="A1278">
        <v>1111</v>
      </c>
      <c r="B1278">
        <v>8</v>
      </c>
      <c r="C1278">
        <v>5.0439613888888886</v>
      </c>
      <c r="D1278">
        <v>4.4734990579708329</v>
      </c>
      <c r="E1278">
        <f t="shared" si="76"/>
        <v>2.1016505787037038E-2</v>
      </c>
      <c r="F1278">
        <f t="shared" si="77"/>
        <v>1.8639579408211805E-2</v>
      </c>
      <c r="G1278">
        <f t="shared" si="78"/>
        <v>1</v>
      </c>
      <c r="H1278">
        <f t="shared" si="79"/>
        <v>0.25219806944444445</v>
      </c>
    </row>
    <row r="1279" spans="1:8" x14ac:dyDescent="0.25">
      <c r="A1279">
        <v>1111</v>
      </c>
      <c r="B1279">
        <v>9</v>
      </c>
      <c r="C1279">
        <v>5.1353038888888891</v>
      </c>
      <c r="D1279">
        <v>4.89753025</v>
      </c>
      <c r="E1279">
        <f t="shared" si="76"/>
        <v>2.1397099537037039E-2</v>
      </c>
      <c r="F1279">
        <f t="shared" si="77"/>
        <v>2.0406376041666667E-2</v>
      </c>
      <c r="G1279">
        <f t="shared" si="78"/>
        <v>1</v>
      </c>
      <c r="H1279">
        <f t="shared" si="79"/>
        <v>0.25676519444444446</v>
      </c>
    </row>
    <row r="1280" spans="1:8" x14ac:dyDescent="0.25">
      <c r="A1280">
        <v>1111</v>
      </c>
      <c r="B1280">
        <v>10</v>
      </c>
      <c r="C1280">
        <v>4.9038588888888892</v>
      </c>
      <c r="D1280">
        <v>4.673951123737222</v>
      </c>
      <c r="E1280">
        <f t="shared" si="76"/>
        <v>2.0432745370370372E-2</v>
      </c>
      <c r="F1280">
        <f t="shared" si="77"/>
        <v>1.9474796348905091E-2</v>
      </c>
      <c r="G1280">
        <f t="shared" si="78"/>
        <v>1</v>
      </c>
      <c r="H1280">
        <f t="shared" si="79"/>
        <v>0.24519294444444445</v>
      </c>
    </row>
    <row r="1281" spans="1:8" x14ac:dyDescent="0.25">
      <c r="A1281">
        <v>1111</v>
      </c>
      <c r="B1281">
        <v>11</v>
      </c>
      <c r="C1281">
        <v>5.2166113888888894</v>
      </c>
      <c r="D1281">
        <v>4.7459298989897221</v>
      </c>
      <c r="E1281">
        <f t="shared" si="76"/>
        <v>2.1735880787037042E-2</v>
      </c>
      <c r="F1281">
        <f t="shared" si="77"/>
        <v>1.9774707912457175E-2</v>
      </c>
      <c r="G1281">
        <f t="shared" si="78"/>
        <v>1</v>
      </c>
      <c r="H1281">
        <f t="shared" si="79"/>
        <v>0.26083056944444449</v>
      </c>
    </row>
    <row r="1282" spans="1:8" x14ac:dyDescent="0.25">
      <c r="A1282">
        <v>1111</v>
      </c>
      <c r="B1282">
        <v>12</v>
      </c>
      <c r="C1282">
        <v>5.1849986111111113</v>
      </c>
      <c r="D1282">
        <v>4.8986488492061113</v>
      </c>
      <c r="E1282">
        <f t="shared" ref="E1282:E1345" si="80">+C1282/20/12</f>
        <v>2.160416087962963E-2</v>
      </c>
      <c r="F1282">
        <f t="shared" ref="F1282:F1345" si="81">+D1282/20/12</f>
        <v>2.0411036871692132E-2</v>
      </c>
      <c r="G1282">
        <f t="shared" ref="G1282:G1345" si="82">+ROUNDUP(E1282*12,0)</f>
        <v>1</v>
      </c>
      <c r="H1282">
        <f t="shared" ref="H1282:H1345" si="83">+E1282*12</f>
        <v>0.25924993055555556</v>
      </c>
    </row>
    <row r="1283" spans="1:8" x14ac:dyDescent="0.25">
      <c r="A1283">
        <v>1112</v>
      </c>
      <c r="B1283">
        <v>1</v>
      </c>
      <c r="C1283">
        <v>3.5622222222222222</v>
      </c>
      <c r="D1283">
        <v>1.9786111111111111</v>
      </c>
      <c r="E1283">
        <f t="shared" si="80"/>
        <v>1.4842592592592593E-2</v>
      </c>
      <c r="F1283">
        <f t="shared" si="81"/>
        <v>8.2442129629629619E-3</v>
      </c>
      <c r="G1283">
        <f t="shared" si="82"/>
        <v>1</v>
      </c>
      <c r="H1283">
        <f t="shared" si="83"/>
        <v>0.17811111111111111</v>
      </c>
    </row>
    <row r="1284" spans="1:8" x14ac:dyDescent="0.25">
      <c r="A1284">
        <v>1112</v>
      </c>
      <c r="B1284">
        <v>2</v>
      </c>
      <c r="C1284">
        <v>3.623842777777778</v>
      </c>
      <c r="D1284">
        <v>2.576024356060556</v>
      </c>
      <c r="E1284">
        <f t="shared" si="80"/>
        <v>1.5099344907407409E-2</v>
      </c>
      <c r="F1284">
        <f t="shared" si="81"/>
        <v>1.0733434816918984E-2</v>
      </c>
      <c r="G1284">
        <f t="shared" si="82"/>
        <v>1</v>
      </c>
      <c r="H1284">
        <f t="shared" si="83"/>
        <v>0.18119213888888891</v>
      </c>
    </row>
    <row r="1285" spans="1:8" x14ac:dyDescent="0.25">
      <c r="A1285">
        <v>1112</v>
      </c>
      <c r="B1285">
        <v>3</v>
      </c>
      <c r="C1285">
        <v>3.0990655555555562</v>
      </c>
      <c r="D1285">
        <v>2.2095351944444439</v>
      </c>
      <c r="E1285">
        <f t="shared" si="80"/>
        <v>1.2912773148148151E-2</v>
      </c>
      <c r="F1285">
        <f t="shared" si="81"/>
        <v>9.2063966435185166E-3</v>
      </c>
      <c r="G1285">
        <f t="shared" si="82"/>
        <v>1</v>
      </c>
      <c r="H1285">
        <f t="shared" si="83"/>
        <v>0.15495327777777781</v>
      </c>
    </row>
    <row r="1286" spans="1:8" x14ac:dyDescent="0.25">
      <c r="A1286">
        <v>1112</v>
      </c>
      <c r="B1286">
        <v>4</v>
      </c>
      <c r="C1286">
        <v>7.6975591666666663</v>
      </c>
      <c r="D1286">
        <v>2.4656373677247219</v>
      </c>
      <c r="E1286">
        <f t="shared" si="80"/>
        <v>3.2073163194444441E-2</v>
      </c>
      <c r="F1286">
        <f t="shared" si="81"/>
        <v>1.0273489032186341E-2</v>
      </c>
      <c r="G1286">
        <f t="shared" si="82"/>
        <v>1</v>
      </c>
      <c r="H1286">
        <f t="shared" si="83"/>
        <v>0.38487795833333327</v>
      </c>
    </row>
    <row r="1287" spans="1:8" x14ac:dyDescent="0.25">
      <c r="A1287">
        <v>1112</v>
      </c>
      <c r="B1287">
        <v>5</v>
      </c>
      <c r="C1287">
        <v>3.9963322222222222</v>
      </c>
      <c r="D1287">
        <v>2.578681722222222</v>
      </c>
      <c r="E1287">
        <f t="shared" si="80"/>
        <v>1.6651384259259258E-2</v>
      </c>
      <c r="F1287">
        <f t="shared" si="81"/>
        <v>1.0744507175925925E-2</v>
      </c>
      <c r="G1287">
        <f t="shared" si="82"/>
        <v>1</v>
      </c>
      <c r="H1287">
        <f t="shared" si="83"/>
        <v>0.1998166111111111</v>
      </c>
    </row>
    <row r="1288" spans="1:8" x14ac:dyDescent="0.25">
      <c r="A1288">
        <v>1112</v>
      </c>
      <c r="B1288">
        <v>6</v>
      </c>
      <c r="C1288">
        <v>5.4788772222222226</v>
      </c>
      <c r="D1288">
        <v>3.1958598611111109</v>
      </c>
      <c r="E1288">
        <f t="shared" si="80"/>
        <v>2.2828655092592593E-2</v>
      </c>
      <c r="F1288">
        <f t="shared" si="81"/>
        <v>1.331608275462963E-2</v>
      </c>
      <c r="G1288">
        <f t="shared" si="82"/>
        <v>1</v>
      </c>
      <c r="H1288">
        <f t="shared" si="83"/>
        <v>0.27394386111111113</v>
      </c>
    </row>
    <row r="1289" spans="1:8" x14ac:dyDescent="0.25">
      <c r="A1289">
        <v>1112</v>
      </c>
      <c r="B1289">
        <v>7</v>
      </c>
      <c r="C1289">
        <v>6.4290119444444436</v>
      </c>
      <c r="D1289">
        <v>2.022216319444444</v>
      </c>
      <c r="E1289">
        <f t="shared" si="80"/>
        <v>2.6787549768518517E-2</v>
      </c>
      <c r="F1289">
        <f t="shared" si="81"/>
        <v>8.4259013310185159E-3</v>
      </c>
      <c r="G1289">
        <f t="shared" si="82"/>
        <v>1</v>
      </c>
      <c r="H1289">
        <f t="shared" si="83"/>
        <v>0.32145059722222219</v>
      </c>
    </row>
    <row r="1290" spans="1:8" x14ac:dyDescent="0.25">
      <c r="A1290">
        <v>1112</v>
      </c>
      <c r="B1290">
        <v>8</v>
      </c>
      <c r="C1290">
        <v>2.8881702777777778</v>
      </c>
      <c r="D1290">
        <v>1.825963115941944</v>
      </c>
      <c r="E1290">
        <f t="shared" si="80"/>
        <v>1.2034042824074075E-2</v>
      </c>
      <c r="F1290">
        <f t="shared" si="81"/>
        <v>7.6081796497581003E-3</v>
      </c>
      <c r="G1290">
        <f t="shared" si="82"/>
        <v>1</v>
      </c>
      <c r="H1290">
        <f t="shared" si="83"/>
        <v>0.1444085138888889</v>
      </c>
    </row>
    <row r="1291" spans="1:8" x14ac:dyDescent="0.25">
      <c r="A1291">
        <v>1112</v>
      </c>
      <c r="B1291">
        <v>9</v>
      </c>
      <c r="C1291">
        <v>2.4219955555555561</v>
      </c>
      <c r="D1291">
        <v>1.579192972222222</v>
      </c>
      <c r="E1291">
        <f t="shared" si="80"/>
        <v>1.009164814814815E-2</v>
      </c>
      <c r="F1291">
        <f t="shared" si="81"/>
        <v>6.5799707175925913E-3</v>
      </c>
      <c r="G1291">
        <f t="shared" si="82"/>
        <v>1</v>
      </c>
      <c r="H1291">
        <f t="shared" si="83"/>
        <v>0.12109977777777781</v>
      </c>
    </row>
    <row r="1292" spans="1:8" x14ac:dyDescent="0.25">
      <c r="A1292">
        <v>1112</v>
      </c>
      <c r="B1292">
        <v>10</v>
      </c>
      <c r="C1292">
        <v>2.578183333333333</v>
      </c>
      <c r="D1292">
        <v>1.9481401767675</v>
      </c>
      <c r="E1292">
        <f t="shared" si="80"/>
        <v>1.0742430555555555E-2</v>
      </c>
      <c r="F1292">
        <f t="shared" si="81"/>
        <v>8.1172507365312504E-3</v>
      </c>
      <c r="G1292">
        <f t="shared" si="82"/>
        <v>1</v>
      </c>
      <c r="H1292">
        <f t="shared" si="83"/>
        <v>0.12890916666666666</v>
      </c>
    </row>
    <row r="1293" spans="1:8" x14ac:dyDescent="0.25">
      <c r="A1293">
        <v>1112</v>
      </c>
      <c r="B1293">
        <v>11</v>
      </c>
      <c r="C1293">
        <v>2.0057980555555561</v>
      </c>
      <c r="D1293">
        <v>1.518366401515</v>
      </c>
      <c r="E1293">
        <f t="shared" si="80"/>
        <v>8.3574918981481495E-3</v>
      </c>
      <c r="F1293">
        <f t="shared" si="81"/>
        <v>6.326526672979167E-3</v>
      </c>
      <c r="G1293">
        <f t="shared" si="82"/>
        <v>1</v>
      </c>
      <c r="H1293">
        <f t="shared" si="83"/>
        <v>0.1002899027777778</v>
      </c>
    </row>
    <row r="1294" spans="1:8" x14ac:dyDescent="0.25">
      <c r="A1294">
        <v>1112</v>
      </c>
      <c r="B1294">
        <v>12</v>
      </c>
      <c r="C1294">
        <v>2.5252750000000002</v>
      </c>
      <c r="D1294">
        <v>1.823495621693056</v>
      </c>
      <c r="E1294">
        <f t="shared" si="80"/>
        <v>1.0521979166666667E-2</v>
      </c>
      <c r="F1294">
        <f t="shared" si="81"/>
        <v>7.5978984237210665E-3</v>
      </c>
      <c r="G1294">
        <f t="shared" si="82"/>
        <v>1</v>
      </c>
      <c r="H1294">
        <f t="shared" si="83"/>
        <v>0.12626375000000001</v>
      </c>
    </row>
    <row r="1295" spans="1:8" x14ac:dyDescent="0.25">
      <c r="A1295">
        <v>1113</v>
      </c>
      <c r="B1295">
        <v>1</v>
      </c>
      <c r="C1295">
        <v>3.0322222222222224</v>
      </c>
      <c r="D1295">
        <v>0.74055555555555552</v>
      </c>
      <c r="E1295">
        <f t="shared" si="80"/>
        <v>1.263425925925926E-2</v>
      </c>
      <c r="F1295">
        <f t="shared" si="81"/>
        <v>3.0856481481481481E-3</v>
      </c>
      <c r="G1295">
        <f t="shared" si="82"/>
        <v>1</v>
      </c>
      <c r="H1295">
        <f t="shared" si="83"/>
        <v>0.15161111111111111</v>
      </c>
    </row>
    <row r="1296" spans="1:8" x14ac:dyDescent="0.25">
      <c r="A1296">
        <v>1113</v>
      </c>
      <c r="B1296">
        <v>2</v>
      </c>
      <c r="C1296">
        <v>2.1067297222222221</v>
      </c>
      <c r="D1296">
        <v>0.6240343055555555</v>
      </c>
      <c r="E1296">
        <f t="shared" si="80"/>
        <v>8.7780405092592589E-3</v>
      </c>
      <c r="F1296">
        <f t="shared" si="81"/>
        <v>2.6001429398148147E-3</v>
      </c>
      <c r="G1296">
        <f t="shared" si="82"/>
        <v>1</v>
      </c>
      <c r="H1296">
        <f t="shared" si="83"/>
        <v>0.1053364861111111</v>
      </c>
    </row>
    <row r="1297" spans="1:8" x14ac:dyDescent="0.25">
      <c r="A1297">
        <v>1113</v>
      </c>
      <c r="B1297">
        <v>3</v>
      </c>
      <c r="C1297">
        <v>1.218158333333333</v>
      </c>
      <c r="D1297">
        <v>0.43188797222222219</v>
      </c>
      <c r="E1297">
        <f t="shared" si="80"/>
        <v>5.075659722222221E-3</v>
      </c>
      <c r="F1297">
        <f t="shared" si="81"/>
        <v>1.7995332175925925E-3</v>
      </c>
      <c r="G1297">
        <f t="shared" si="82"/>
        <v>1</v>
      </c>
      <c r="H1297">
        <f t="shared" si="83"/>
        <v>6.0907916666666652E-2</v>
      </c>
    </row>
    <row r="1298" spans="1:8" x14ac:dyDescent="0.25">
      <c r="A1298">
        <v>1113</v>
      </c>
      <c r="B1298">
        <v>4</v>
      </c>
      <c r="C1298">
        <v>1.969973611111111</v>
      </c>
      <c r="D1298">
        <v>0.34164900793638892</v>
      </c>
      <c r="E1298">
        <f t="shared" si="80"/>
        <v>8.2082233796296287E-3</v>
      </c>
      <c r="F1298">
        <f t="shared" si="81"/>
        <v>1.4235375330682871E-3</v>
      </c>
      <c r="G1298">
        <f t="shared" si="82"/>
        <v>1</v>
      </c>
      <c r="H1298">
        <f t="shared" si="83"/>
        <v>9.8498680555555551E-2</v>
      </c>
    </row>
    <row r="1299" spans="1:8" x14ac:dyDescent="0.25">
      <c r="A1299">
        <v>1113</v>
      </c>
      <c r="B1299">
        <v>5</v>
      </c>
      <c r="C1299">
        <v>1.5159377777777781</v>
      </c>
      <c r="D1299">
        <v>0.32918695833333328</v>
      </c>
      <c r="E1299">
        <f t="shared" si="80"/>
        <v>6.3164074074074086E-3</v>
      </c>
      <c r="F1299">
        <f t="shared" si="81"/>
        <v>1.3716123263888887E-3</v>
      </c>
      <c r="G1299">
        <f t="shared" si="82"/>
        <v>1</v>
      </c>
      <c r="H1299">
        <f t="shared" si="83"/>
        <v>7.57968888888889E-2</v>
      </c>
    </row>
    <row r="1300" spans="1:8" x14ac:dyDescent="0.25">
      <c r="A1300">
        <v>1113</v>
      </c>
      <c r="B1300">
        <v>6</v>
      </c>
      <c r="C1300">
        <v>6.6139975</v>
      </c>
      <c r="D1300">
        <v>0.85829126388888888</v>
      </c>
      <c r="E1300">
        <f t="shared" si="80"/>
        <v>2.7558322916666666E-2</v>
      </c>
      <c r="F1300">
        <f t="shared" si="81"/>
        <v>3.5762135995370367E-3</v>
      </c>
      <c r="G1300">
        <f t="shared" si="82"/>
        <v>1</v>
      </c>
      <c r="H1300">
        <f t="shared" si="83"/>
        <v>0.33069987499999998</v>
      </c>
    </row>
    <row r="1301" spans="1:8" x14ac:dyDescent="0.25">
      <c r="A1301">
        <v>1113</v>
      </c>
      <c r="B1301">
        <v>7</v>
      </c>
      <c r="C1301">
        <v>1.514139166666667</v>
      </c>
      <c r="D1301">
        <v>0.61880164021138884</v>
      </c>
      <c r="E1301">
        <f t="shared" si="80"/>
        <v>6.308913194444446E-3</v>
      </c>
      <c r="F1301">
        <f t="shared" si="81"/>
        <v>2.5783401675474535E-3</v>
      </c>
      <c r="G1301">
        <f t="shared" si="82"/>
        <v>1</v>
      </c>
      <c r="H1301">
        <f t="shared" si="83"/>
        <v>7.5706958333333352E-2</v>
      </c>
    </row>
    <row r="1302" spans="1:8" x14ac:dyDescent="0.25">
      <c r="A1302">
        <v>1113</v>
      </c>
      <c r="B1302">
        <v>8</v>
      </c>
      <c r="C1302">
        <v>4.1245424999999996</v>
      </c>
      <c r="D1302">
        <v>1.0762020893719439</v>
      </c>
      <c r="E1302">
        <f t="shared" si="80"/>
        <v>1.7185593749999999E-2</v>
      </c>
      <c r="F1302">
        <f t="shared" si="81"/>
        <v>4.4841753723831E-3</v>
      </c>
      <c r="G1302">
        <f t="shared" si="82"/>
        <v>1</v>
      </c>
      <c r="H1302">
        <f t="shared" si="83"/>
        <v>0.20622712499999998</v>
      </c>
    </row>
    <row r="1303" spans="1:8" x14ac:dyDescent="0.25">
      <c r="A1303">
        <v>1113</v>
      </c>
      <c r="B1303">
        <v>9</v>
      </c>
      <c r="C1303">
        <v>3.3867702777777779</v>
      </c>
      <c r="D1303">
        <v>1.1708972499999999</v>
      </c>
      <c r="E1303">
        <f t="shared" si="80"/>
        <v>1.4111542824074076E-2</v>
      </c>
      <c r="F1303">
        <f t="shared" si="81"/>
        <v>4.878738541666666E-3</v>
      </c>
      <c r="G1303">
        <f t="shared" si="82"/>
        <v>1</v>
      </c>
      <c r="H1303">
        <f t="shared" si="83"/>
        <v>0.1693385138888889</v>
      </c>
    </row>
    <row r="1304" spans="1:8" x14ac:dyDescent="0.25">
      <c r="A1304">
        <v>1113</v>
      </c>
      <c r="B1304">
        <v>10</v>
      </c>
      <c r="C1304">
        <v>3.6338369444444441</v>
      </c>
      <c r="D1304">
        <v>1.0505724873736111</v>
      </c>
      <c r="E1304">
        <f t="shared" si="80"/>
        <v>1.5140987268518516E-2</v>
      </c>
      <c r="F1304">
        <f t="shared" si="81"/>
        <v>4.3773853640567129E-3</v>
      </c>
      <c r="G1304">
        <f t="shared" si="82"/>
        <v>1</v>
      </c>
      <c r="H1304">
        <f t="shared" si="83"/>
        <v>0.1816918472222222</v>
      </c>
    </row>
    <row r="1305" spans="1:8" x14ac:dyDescent="0.25">
      <c r="A1305">
        <v>1113</v>
      </c>
      <c r="B1305">
        <v>11</v>
      </c>
      <c r="C1305">
        <v>3.405709166666667</v>
      </c>
      <c r="D1305">
        <v>1.1826886489897219</v>
      </c>
      <c r="E1305">
        <f t="shared" si="80"/>
        <v>1.4190454861111113E-2</v>
      </c>
      <c r="F1305">
        <f t="shared" si="81"/>
        <v>4.9278693707905082E-3</v>
      </c>
      <c r="G1305">
        <f t="shared" si="82"/>
        <v>1</v>
      </c>
      <c r="H1305">
        <f t="shared" si="83"/>
        <v>0.17028545833333336</v>
      </c>
    </row>
    <row r="1306" spans="1:8" x14ac:dyDescent="0.25">
      <c r="A1306">
        <v>1113</v>
      </c>
      <c r="B1306">
        <v>12</v>
      </c>
      <c r="C1306">
        <v>6.8964944444444436</v>
      </c>
      <c r="D1306">
        <v>1.200095304232778</v>
      </c>
      <c r="E1306">
        <f t="shared" si="80"/>
        <v>2.8735393518518514E-2</v>
      </c>
      <c r="F1306">
        <f t="shared" si="81"/>
        <v>5.0003971009699088E-3</v>
      </c>
      <c r="G1306">
        <f t="shared" si="82"/>
        <v>1</v>
      </c>
      <c r="H1306">
        <f t="shared" si="83"/>
        <v>0.34482472222222216</v>
      </c>
    </row>
    <row r="1307" spans="1:8" x14ac:dyDescent="0.25">
      <c r="A1307">
        <v>1114</v>
      </c>
      <c r="B1307">
        <v>1</v>
      </c>
      <c r="C1307">
        <v>6.0141666666666671</v>
      </c>
      <c r="D1307">
        <v>1.4808333333333332</v>
      </c>
      <c r="E1307">
        <f t="shared" si="80"/>
        <v>2.5059027777777781E-2</v>
      </c>
      <c r="F1307">
        <f t="shared" si="81"/>
        <v>6.1701388888888882E-3</v>
      </c>
      <c r="G1307">
        <f t="shared" si="82"/>
        <v>1</v>
      </c>
      <c r="H1307">
        <f t="shared" si="83"/>
        <v>0.30070833333333336</v>
      </c>
    </row>
    <row r="1308" spans="1:8" x14ac:dyDescent="0.25">
      <c r="A1308">
        <v>1114</v>
      </c>
      <c r="B1308">
        <v>8</v>
      </c>
      <c r="C1308">
        <v>9.7828347222222227</v>
      </c>
      <c r="D1308">
        <v>3.4315200631311109</v>
      </c>
      <c r="E1308">
        <f t="shared" si="80"/>
        <v>4.0761811342592595E-2</v>
      </c>
      <c r="F1308">
        <f t="shared" si="81"/>
        <v>1.4298000263046296E-2</v>
      </c>
      <c r="G1308">
        <f t="shared" si="82"/>
        <v>1</v>
      </c>
      <c r="H1308">
        <f t="shared" si="83"/>
        <v>0.48914173611111111</v>
      </c>
    </row>
    <row r="1309" spans="1:8" x14ac:dyDescent="0.25">
      <c r="A1309">
        <v>1114</v>
      </c>
      <c r="B1309">
        <v>9</v>
      </c>
      <c r="C1309">
        <v>10.673224166666669</v>
      </c>
      <c r="D1309">
        <v>1.854987305555555</v>
      </c>
      <c r="E1309">
        <f t="shared" si="80"/>
        <v>4.4471767361111116E-2</v>
      </c>
      <c r="F1309">
        <f t="shared" si="81"/>
        <v>7.7291137731481455E-3</v>
      </c>
      <c r="G1309">
        <f t="shared" si="82"/>
        <v>1</v>
      </c>
      <c r="H1309">
        <f t="shared" si="83"/>
        <v>0.53366120833333341</v>
      </c>
    </row>
    <row r="1310" spans="1:8" x14ac:dyDescent="0.25">
      <c r="A1310">
        <v>1114</v>
      </c>
      <c r="B1310">
        <v>10</v>
      </c>
      <c r="C1310">
        <v>3.2591722222222219</v>
      </c>
      <c r="D1310">
        <v>1.0847371717169449</v>
      </c>
      <c r="E1310">
        <f t="shared" si="80"/>
        <v>1.3579884259259259E-2</v>
      </c>
      <c r="F1310">
        <f t="shared" si="81"/>
        <v>4.5197382154872701E-3</v>
      </c>
      <c r="G1310">
        <f t="shared" si="82"/>
        <v>1</v>
      </c>
      <c r="H1310">
        <f t="shared" si="83"/>
        <v>0.1629586111111111</v>
      </c>
    </row>
    <row r="1311" spans="1:8" x14ac:dyDescent="0.25">
      <c r="A1311">
        <v>1114</v>
      </c>
      <c r="B1311">
        <v>11</v>
      </c>
      <c r="C1311">
        <v>1.5466983333333331</v>
      </c>
      <c r="D1311">
        <v>0.85078982323222219</v>
      </c>
      <c r="E1311">
        <f t="shared" si="80"/>
        <v>6.4445763888888877E-3</v>
      </c>
      <c r="F1311">
        <f t="shared" si="81"/>
        <v>3.544957596800926E-3</v>
      </c>
      <c r="G1311">
        <f t="shared" si="82"/>
        <v>1</v>
      </c>
      <c r="H1311">
        <f t="shared" si="83"/>
        <v>7.7334916666666656E-2</v>
      </c>
    </row>
    <row r="1312" spans="1:8" x14ac:dyDescent="0.25">
      <c r="A1312">
        <v>1114</v>
      </c>
      <c r="B1312">
        <v>12</v>
      </c>
      <c r="C1312">
        <v>10.821420833333329</v>
      </c>
      <c r="D1312">
        <v>1.661328783068611</v>
      </c>
      <c r="E1312">
        <f t="shared" si="80"/>
        <v>4.5089253472222202E-2</v>
      </c>
      <c r="F1312">
        <f t="shared" si="81"/>
        <v>6.922203262785879E-3</v>
      </c>
      <c r="G1312">
        <f t="shared" si="82"/>
        <v>1</v>
      </c>
      <c r="H1312">
        <f t="shared" si="83"/>
        <v>0.54107104166666642</v>
      </c>
    </row>
    <row r="1313" spans="1:8" x14ac:dyDescent="0.25">
      <c r="A1313">
        <v>1115</v>
      </c>
      <c r="B1313">
        <v>1</v>
      </c>
      <c r="C1313">
        <v>2.8011111111111111</v>
      </c>
      <c r="D1313">
        <v>1.418611111111111</v>
      </c>
      <c r="E1313">
        <f t="shared" si="80"/>
        <v>1.1671296296296296E-2</v>
      </c>
      <c r="F1313">
        <f t="shared" si="81"/>
        <v>5.9108796296296296E-3</v>
      </c>
      <c r="G1313">
        <f t="shared" si="82"/>
        <v>1</v>
      </c>
      <c r="H1313">
        <f t="shared" si="83"/>
        <v>0.14005555555555554</v>
      </c>
    </row>
    <row r="1314" spans="1:8" x14ac:dyDescent="0.25">
      <c r="A1314">
        <v>1115</v>
      </c>
      <c r="B1314">
        <v>2</v>
      </c>
      <c r="C1314">
        <v>3.1597425000000001</v>
      </c>
      <c r="D1314">
        <v>1.5210658695649999</v>
      </c>
      <c r="E1314">
        <f t="shared" si="80"/>
        <v>1.3165593750000001E-2</v>
      </c>
      <c r="F1314">
        <f t="shared" si="81"/>
        <v>6.3377744565208324E-3</v>
      </c>
      <c r="G1314">
        <f t="shared" si="82"/>
        <v>1</v>
      </c>
      <c r="H1314">
        <f t="shared" si="83"/>
        <v>0.15798712500000001</v>
      </c>
    </row>
    <row r="1315" spans="1:8" x14ac:dyDescent="0.25">
      <c r="A1315">
        <v>1115</v>
      </c>
      <c r="B1315">
        <v>3</v>
      </c>
      <c r="C1315">
        <v>3.0572463888888892</v>
      </c>
      <c r="D1315">
        <v>1.665943763888889</v>
      </c>
      <c r="E1315">
        <f t="shared" si="80"/>
        <v>1.2738526620370371E-2</v>
      </c>
      <c r="F1315">
        <f t="shared" si="81"/>
        <v>6.9414323495370382E-3</v>
      </c>
      <c r="G1315">
        <f t="shared" si="82"/>
        <v>1</v>
      </c>
      <c r="H1315">
        <f t="shared" si="83"/>
        <v>0.15286231944444445</v>
      </c>
    </row>
    <row r="1316" spans="1:8" x14ac:dyDescent="0.25">
      <c r="A1316">
        <v>1115</v>
      </c>
      <c r="B1316">
        <v>4</v>
      </c>
      <c r="C1316">
        <v>2.7214594444444451</v>
      </c>
      <c r="D1316">
        <v>1.688572354497222</v>
      </c>
      <c r="E1316">
        <f t="shared" si="80"/>
        <v>1.1339414351851854E-2</v>
      </c>
      <c r="F1316">
        <f t="shared" si="81"/>
        <v>7.0357181437384246E-3</v>
      </c>
      <c r="G1316">
        <f t="shared" si="82"/>
        <v>1</v>
      </c>
      <c r="H1316">
        <f t="shared" si="83"/>
        <v>0.13607297222222225</v>
      </c>
    </row>
    <row r="1317" spans="1:8" x14ac:dyDescent="0.25">
      <c r="A1317">
        <v>1115</v>
      </c>
      <c r="B1317">
        <v>5</v>
      </c>
      <c r="C1317">
        <v>2.9399822222222221</v>
      </c>
      <c r="D1317">
        <v>1.474321414141389</v>
      </c>
      <c r="E1317">
        <f t="shared" si="80"/>
        <v>1.2249925925925926E-2</v>
      </c>
      <c r="F1317">
        <f t="shared" si="81"/>
        <v>6.1430058922557875E-3</v>
      </c>
      <c r="G1317">
        <f t="shared" si="82"/>
        <v>1</v>
      </c>
      <c r="H1317">
        <f t="shared" si="83"/>
        <v>0.14699911111111111</v>
      </c>
    </row>
    <row r="1318" spans="1:8" x14ac:dyDescent="0.25">
      <c r="A1318">
        <v>1115</v>
      </c>
      <c r="B1318">
        <v>6</v>
      </c>
      <c r="C1318">
        <v>3.211903611111111</v>
      </c>
      <c r="D1318">
        <v>1.458718181818055</v>
      </c>
      <c r="E1318">
        <f t="shared" si="80"/>
        <v>1.3382931712962962E-2</v>
      </c>
      <c r="F1318">
        <f t="shared" si="81"/>
        <v>6.0779924242418959E-3</v>
      </c>
      <c r="G1318">
        <f t="shared" si="82"/>
        <v>1</v>
      </c>
      <c r="H1318">
        <f t="shared" si="83"/>
        <v>0.16059518055555555</v>
      </c>
    </row>
    <row r="1319" spans="1:8" x14ac:dyDescent="0.25">
      <c r="A1319">
        <v>1115</v>
      </c>
      <c r="B1319">
        <v>7</v>
      </c>
      <c r="C1319">
        <v>2.4997813888888891</v>
      </c>
      <c r="D1319">
        <v>1.4468619708994439</v>
      </c>
      <c r="E1319">
        <f t="shared" si="80"/>
        <v>1.0415755787037038E-2</v>
      </c>
      <c r="F1319">
        <f t="shared" si="81"/>
        <v>6.0285915454143498E-3</v>
      </c>
      <c r="G1319">
        <f t="shared" si="82"/>
        <v>1</v>
      </c>
      <c r="H1319">
        <f t="shared" si="83"/>
        <v>0.12498906944444446</v>
      </c>
    </row>
    <row r="1320" spans="1:8" x14ac:dyDescent="0.25">
      <c r="A1320">
        <v>1115</v>
      </c>
      <c r="B1320">
        <v>8</v>
      </c>
      <c r="C1320">
        <v>5.0438527777777784</v>
      </c>
      <c r="D1320">
        <v>1.7412448309177779</v>
      </c>
      <c r="E1320">
        <f t="shared" si="80"/>
        <v>2.1016053240740743E-2</v>
      </c>
      <c r="F1320">
        <f t="shared" si="81"/>
        <v>7.2551867954907421E-3</v>
      </c>
      <c r="G1320">
        <f t="shared" si="82"/>
        <v>1</v>
      </c>
      <c r="H1320">
        <f t="shared" si="83"/>
        <v>0.25219263888888893</v>
      </c>
    </row>
    <row r="1321" spans="1:8" x14ac:dyDescent="0.25">
      <c r="A1321">
        <v>1115</v>
      </c>
      <c r="B1321">
        <v>9</v>
      </c>
      <c r="C1321">
        <v>3.1203805555555562</v>
      </c>
      <c r="D1321">
        <v>1.5627475</v>
      </c>
      <c r="E1321">
        <f t="shared" si="80"/>
        <v>1.3001585648148151E-2</v>
      </c>
      <c r="F1321">
        <f t="shared" si="81"/>
        <v>6.5114479166666663E-3</v>
      </c>
      <c r="G1321">
        <f t="shared" si="82"/>
        <v>1</v>
      </c>
      <c r="H1321">
        <f t="shared" si="83"/>
        <v>0.15601902777777782</v>
      </c>
    </row>
    <row r="1322" spans="1:8" x14ac:dyDescent="0.25">
      <c r="A1322">
        <v>1115</v>
      </c>
      <c r="B1322">
        <v>10</v>
      </c>
      <c r="C1322">
        <v>2.2362852777777782</v>
      </c>
      <c r="D1322">
        <v>1.5232339772725001</v>
      </c>
      <c r="E1322">
        <f t="shared" si="80"/>
        <v>9.3178553240740748E-3</v>
      </c>
      <c r="F1322">
        <f t="shared" si="81"/>
        <v>6.3468082386354168E-3</v>
      </c>
      <c r="G1322">
        <f t="shared" si="82"/>
        <v>1</v>
      </c>
      <c r="H1322">
        <f t="shared" si="83"/>
        <v>0.1118142638888889</v>
      </c>
    </row>
    <row r="1323" spans="1:8" x14ac:dyDescent="0.25">
      <c r="A1323">
        <v>1115</v>
      </c>
      <c r="B1323">
        <v>11</v>
      </c>
      <c r="C1323">
        <v>3.287831666666666</v>
      </c>
      <c r="D1323">
        <v>1.459990398550556</v>
      </c>
      <c r="E1323">
        <f t="shared" si="80"/>
        <v>1.369929861111111E-2</v>
      </c>
      <c r="F1323">
        <f t="shared" si="81"/>
        <v>6.0832933272939836E-3</v>
      </c>
      <c r="G1323">
        <f t="shared" si="82"/>
        <v>1</v>
      </c>
      <c r="H1323">
        <f t="shared" si="83"/>
        <v>0.16439158333333331</v>
      </c>
    </row>
    <row r="1324" spans="1:8" x14ac:dyDescent="0.25">
      <c r="A1324">
        <v>1115</v>
      </c>
      <c r="B1324">
        <v>12</v>
      </c>
      <c r="C1324">
        <v>2.332697222222222</v>
      </c>
      <c r="D1324">
        <v>1.479181560846389</v>
      </c>
      <c r="E1324">
        <f t="shared" si="80"/>
        <v>9.7195717592592577E-3</v>
      </c>
      <c r="F1324">
        <f t="shared" si="81"/>
        <v>6.1632565035266212E-3</v>
      </c>
      <c r="G1324">
        <f t="shared" si="82"/>
        <v>1</v>
      </c>
      <c r="H1324">
        <f t="shared" si="83"/>
        <v>0.1166348611111111</v>
      </c>
    </row>
    <row r="1325" spans="1:8" x14ac:dyDescent="0.25">
      <c r="A1325">
        <v>1116</v>
      </c>
      <c r="B1325">
        <v>1</v>
      </c>
      <c r="C1325">
        <v>10.637499999999999</v>
      </c>
      <c r="D1325">
        <v>10.456944444444444</v>
      </c>
      <c r="E1325">
        <f t="shared" si="80"/>
        <v>4.4322916666666663E-2</v>
      </c>
      <c r="F1325">
        <f t="shared" si="81"/>
        <v>4.3570601851851853E-2</v>
      </c>
      <c r="G1325">
        <f t="shared" si="82"/>
        <v>1</v>
      </c>
      <c r="H1325">
        <f t="shared" si="83"/>
        <v>0.53187499999999999</v>
      </c>
    </row>
    <row r="1326" spans="1:8" x14ac:dyDescent="0.25">
      <c r="A1326">
        <v>1116</v>
      </c>
      <c r="B1326">
        <v>2</v>
      </c>
      <c r="C1326">
        <v>15.95948416666667</v>
      </c>
      <c r="D1326">
        <v>15.45549976010083</v>
      </c>
      <c r="E1326">
        <f t="shared" si="80"/>
        <v>6.6497850694444458E-2</v>
      </c>
      <c r="F1326">
        <f t="shared" si="81"/>
        <v>6.4397915667086789E-2</v>
      </c>
      <c r="G1326">
        <f t="shared" si="82"/>
        <v>1</v>
      </c>
      <c r="H1326">
        <f t="shared" si="83"/>
        <v>0.79797420833333343</v>
      </c>
    </row>
    <row r="1327" spans="1:8" x14ac:dyDescent="0.25">
      <c r="A1327">
        <v>1116</v>
      </c>
      <c r="B1327">
        <v>3</v>
      </c>
      <c r="C1327">
        <v>15.953008333333329</v>
      </c>
      <c r="D1327">
        <v>15.914662986111111</v>
      </c>
      <c r="E1327">
        <f t="shared" si="80"/>
        <v>6.6470868055555535E-2</v>
      </c>
      <c r="F1327">
        <f t="shared" si="81"/>
        <v>6.6311095775462958E-2</v>
      </c>
      <c r="G1327">
        <f t="shared" si="82"/>
        <v>1</v>
      </c>
      <c r="H1327">
        <f t="shared" si="83"/>
        <v>0.79765041666666647</v>
      </c>
    </row>
    <row r="1328" spans="1:8" x14ac:dyDescent="0.25">
      <c r="A1328">
        <v>1117</v>
      </c>
      <c r="B1328">
        <v>1</v>
      </c>
      <c r="C1328">
        <v>14.313055555555556</v>
      </c>
      <c r="D1328">
        <v>12.930277777777778</v>
      </c>
      <c r="E1328">
        <f t="shared" si="80"/>
        <v>5.9637731481481486E-2</v>
      </c>
      <c r="F1328">
        <f t="shared" si="81"/>
        <v>5.3876157407407414E-2</v>
      </c>
      <c r="G1328">
        <f t="shared" si="82"/>
        <v>1</v>
      </c>
      <c r="H1328">
        <f t="shared" si="83"/>
        <v>0.7156527777777778</v>
      </c>
    </row>
    <row r="1329" spans="1:8" x14ac:dyDescent="0.25">
      <c r="A1329">
        <v>1117</v>
      </c>
      <c r="B1329">
        <v>6</v>
      </c>
      <c r="C1329">
        <v>28.62556027777778</v>
      </c>
      <c r="D1329">
        <v>25.860003333333339</v>
      </c>
      <c r="E1329">
        <f t="shared" si="80"/>
        <v>0.11927316782407409</v>
      </c>
      <c r="F1329">
        <f t="shared" si="81"/>
        <v>0.1077500138888889</v>
      </c>
      <c r="G1329">
        <f t="shared" si="82"/>
        <v>2</v>
      </c>
      <c r="H1329">
        <f t="shared" si="83"/>
        <v>1.431278013888889</v>
      </c>
    </row>
    <row r="1330" spans="1:8" x14ac:dyDescent="0.25">
      <c r="A1330">
        <v>1118</v>
      </c>
      <c r="B1330">
        <v>1</v>
      </c>
      <c r="C1330">
        <v>2.3097222222222222</v>
      </c>
      <c r="D1330">
        <v>1.2025000000000001</v>
      </c>
      <c r="E1330">
        <f t="shared" si="80"/>
        <v>9.6238425925925918E-3</v>
      </c>
      <c r="F1330">
        <f t="shared" si="81"/>
        <v>5.0104166666666674E-3</v>
      </c>
      <c r="G1330">
        <f t="shared" si="82"/>
        <v>1</v>
      </c>
      <c r="H1330">
        <f t="shared" si="83"/>
        <v>0.11548611111111109</v>
      </c>
    </row>
    <row r="1331" spans="1:8" x14ac:dyDescent="0.25">
      <c r="A1331">
        <v>1118</v>
      </c>
      <c r="B1331">
        <v>2</v>
      </c>
      <c r="C1331">
        <v>1.7209675</v>
      </c>
      <c r="D1331">
        <v>1.090082171716944</v>
      </c>
      <c r="E1331">
        <f t="shared" si="80"/>
        <v>7.1706979166666664E-3</v>
      </c>
      <c r="F1331">
        <f t="shared" si="81"/>
        <v>4.5420090488206E-3</v>
      </c>
      <c r="G1331">
        <f t="shared" si="82"/>
        <v>1</v>
      </c>
      <c r="H1331">
        <f t="shared" si="83"/>
        <v>8.6048374999999996E-2</v>
      </c>
    </row>
    <row r="1332" spans="1:8" x14ac:dyDescent="0.25">
      <c r="A1332">
        <v>1118</v>
      </c>
      <c r="B1332">
        <v>3</v>
      </c>
      <c r="C1332">
        <v>1.1929713888888891</v>
      </c>
      <c r="D1332">
        <v>0.79404944444444447</v>
      </c>
      <c r="E1332">
        <f t="shared" si="80"/>
        <v>4.970714120370371E-3</v>
      </c>
      <c r="F1332">
        <f t="shared" si="81"/>
        <v>3.308539351851852E-3</v>
      </c>
      <c r="G1332">
        <f t="shared" si="82"/>
        <v>1</v>
      </c>
      <c r="H1332">
        <f t="shared" si="83"/>
        <v>5.9648569444444452E-2</v>
      </c>
    </row>
    <row r="1333" spans="1:8" x14ac:dyDescent="0.25">
      <c r="A1333">
        <v>1118</v>
      </c>
      <c r="B1333">
        <v>4</v>
      </c>
      <c r="C1333">
        <v>1.4229055555555561</v>
      </c>
      <c r="D1333">
        <v>1.048029378306667</v>
      </c>
      <c r="E1333">
        <f t="shared" si="80"/>
        <v>5.9287731481481509E-3</v>
      </c>
      <c r="F1333">
        <f t="shared" si="81"/>
        <v>4.3667890762777795E-3</v>
      </c>
      <c r="G1333">
        <f t="shared" si="82"/>
        <v>1</v>
      </c>
      <c r="H1333">
        <f t="shared" si="83"/>
        <v>7.1145277777777807E-2</v>
      </c>
    </row>
    <row r="1334" spans="1:8" x14ac:dyDescent="0.25">
      <c r="A1334">
        <v>1118</v>
      </c>
      <c r="B1334">
        <v>5</v>
      </c>
      <c r="C1334">
        <v>2.2105922222222221</v>
      </c>
      <c r="D1334">
        <v>1.3368172638888891</v>
      </c>
      <c r="E1334">
        <f t="shared" si="80"/>
        <v>9.2108009259259261E-3</v>
      </c>
      <c r="F1334">
        <f t="shared" si="81"/>
        <v>5.5700719328703715E-3</v>
      </c>
      <c r="G1334">
        <f t="shared" si="82"/>
        <v>1</v>
      </c>
      <c r="H1334">
        <f t="shared" si="83"/>
        <v>0.11052961111111112</v>
      </c>
    </row>
    <row r="1335" spans="1:8" x14ac:dyDescent="0.25">
      <c r="A1335">
        <v>1118</v>
      </c>
      <c r="B1335">
        <v>6</v>
      </c>
      <c r="C1335">
        <v>3.3225905555555562</v>
      </c>
      <c r="D1335">
        <v>1.271619222222222</v>
      </c>
      <c r="E1335">
        <f t="shared" si="80"/>
        <v>1.3844127314814818E-2</v>
      </c>
      <c r="F1335">
        <f t="shared" si="81"/>
        <v>5.2984134259259248E-3</v>
      </c>
      <c r="G1335">
        <f t="shared" si="82"/>
        <v>1</v>
      </c>
      <c r="H1335">
        <f t="shared" si="83"/>
        <v>0.16612952777777781</v>
      </c>
    </row>
    <row r="1336" spans="1:8" x14ac:dyDescent="0.25">
      <c r="A1336">
        <v>1118</v>
      </c>
      <c r="B1336">
        <v>7</v>
      </c>
      <c r="C1336">
        <v>4.9205002777777782</v>
      </c>
      <c r="D1336">
        <v>2.1813401322749999</v>
      </c>
      <c r="E1336">
        <f t="shared" si="80"/>
        <v>2.0502084490740743E-2</v>
      </c>
      <c r="F1336">
        <f t="shared" si="81"/>
        <v>9.0889172178124991E-3</v>
      </c>
      <c r="G1336">
        <f t="shared" si="82"/>
        <v>1</v>
      </c>
      <c r="H1336">
        <f t="shared" si="83"/>
        <v>0.24602501388888892</v>
      </c>
    </row>
    <row r="1337" spans="1:8" x14ac:dyDescent="0.25">
      <c r="A1337">
        <v>1118</v>
      </c>
      <c r="B1337">
        <v>8</v>
      </c>
      <c r="C1337">
        <v>1.0717888888888889</v>
      </c>
      <c r="D1337">
        <v>0.85687143719805559</v>
      </c>
      <c r="E1337">
        <f t="shared" si="80"/>
        <v>4.4657870370370372E-3</v>
      </c>
      <c r="F1337">
        <f t="shared" si="81"/>
        <v>3.570297654991898E-3</v>
      </c>
      <c r="G1337">
        <f t="shared" si="82"/>
        <v>1</v>
      </c>
      <c r="H1337">
        <f t="shared" si="83"/>
        <v>5.3589444444444446E-2</v>
      </c>
    </row>
    <row r="1338" spans="1:8" x14ac:dyDescent="0.25">
      <c r="A1338">
        <v>1118</v>
      </c>
      <c r="B1338">
        <v>9</v>
      </c>
      <c r="C1338">
        <v>2.5548483333333332</v>
      </c>
      <c r="D1338">
        <v>1.412075027777778</v>
      </c>
      <c r="E1338">
        <f t="shared" si="80"/>
        <v>1.0645201388888888E-2</v>
      </c>
      <c r="F1338">
        <f t="shared" si="81"/>
        <v>5.8836459490740753E-3</v>
      </c>
      <c r="G1338">
        <f t="shared" si="82"/>
        <v>1</v>
      </c>
      <c r="H1338">
        <f t="shared" si="83"/>
        <v>0.12774241666666666</v>
      </c>
    </row>
    <row r="1339" spans="1:8" x14ac:dyDescent="0.25">
      <c r="A1339">
        <v>1118</v>
      </c>
      <c r="B1339">
        <v>10</v>
      </c>
      <c r="C1339">
        <v>1.7226397222222221</v>
      </c>
      <c r="D1339">
        <v>1.405343661616111</v>
      </c>
      <c r="E1339">
        <f t="shared" si="80"/>
        <v>7.1776655092592586E-3</v>
      </c>
      <c r="F1339">
        <f t="shared" si="81"/>
        <v>5.8555985900671298E-3</v>
      </c>
      <c r="G1339">
        <f t="shared" si="82"/>
        <v>1</v>
      </c>
      <c r="H1339">
        <f t="shared" si="83"/>
        <v>8.61319861111111E-2</v>
      </c>
    </row>
    <row r="1340" spans="1:8" x14ac:dyDescent="0.25">
      <c r="A1340">
        <v>1118</v>
      </c>
      <c r="B1340">
        <v>11</v>
      </c>
      <c r="C1340">
        <v>2.0998897222222221</v>
      </c>
      <c r="D1340">
        <v>1.607193169191667</v>
      </c>
      <c r="E1340">
        <f t="shared" si="80"/>
        <v>8.7495405092592581E-3</v>
      </c>
      <c r="F1340">
        <f t="shared" si="81"/>
        <v>6.6966382049652787E-3</v>
      </c>
      <c r="G1340">
        <f t="shared" si="82"/>
        <v>1</v>
      </c>
      <c r="H1340">
        <f t="shared" si="83"/>
        <v>0.10499448611111109</v>
      </c>
    </row>
    <row r="1341" spans="1:8" x14ac:dyDescent="0.25">
      <c r="A1341">
        <v>1118</v>
      </c>
      <c r="B1341">
        <v>12</v>
      </c>
      <c r="C1341">
        <v>5.476726666666667</v>
      </c>
      <c r="D1341">
        <v>1.426237076719445</v>
      </c>
      <c r="E1341">
        <f t="shared" si="80"/>
        <v>2.2819694444444445E-2</v>
      </c>
      <c r="F1341">
        <f t="shared" si="81"/>
        <v>5.9426544863310201E-3</v>
      </c>
      <c r="G1341">
        <f t="shared" si="82"/>
        <v>1</v>
      </c>
      <c r="H1341">
        <f t="shared" si="83"/>
        <v>0.27383633333333335</v>
      </c>
    </row>
    <row r="1342" spans="1:8" x14ac:dyDescent="0.25">
      <c r="A1342">
        <v>1119</v>
      </c>
      <c r="B1342">
        <v>1</v>
      </c>
      <c r="C1342">
        <v>2.3052777777777775</v>
      </c>
      <c r="D1342">
        <v>1.0052777777777779</v>
      </c>
      <c r="E1342">
        <f t="shared" si="80"/>
        <v>9.6053240740740734E-3</v>
      </c>
      <c r="F1342">
        <f t="shared" si="81"/>
        <v>4.1886574074074083E-3</v>
      </c>
      <c r="G1342">
        <f t="shared" si="82"/>
        <v>1</v>
      </c>
      <c r="H1342">
        <f t="shared" si="83"/>
        <v>0.11526388888888889</v>
      </c>
    </row>
    <row r="1343" spans="1:8" x14ac:dyDescent="0.25">
      <c r="A1343">
        <v>1119</v>
      </c>
      <c r="B1343">
        <v>2</v>
      </c>
      <c r="C1343">
        <v>7.9462155555555558</v>
      </c>
      <c r="D1343">
        <v>4.2719887373736114</v>
      </c>
      <c r="E1343">
        <f t="shared" si="80"/>
        <v>3.3109231481481483E-2</v>
      </c>
      <c r="F1343">
        <f t="shared" si="81"/>
        <v>1.7799953072390049E-2</v>
      </c>
      <c r="G1343">
        <f t="shared" si="82"/>
        <v>1</v>
      </c>
      <c r="H1343">
        <f t="shared" si="83"/>
        <v>0.39731077777777779</v>
      </c>
    </row>
    <row r="1344" spans="1:8" x14ac:dyDescent="0.25">
      <c r="A1344">
        <v>1119</v>
      </c>
      <c r="B1344">
        <v>3</v>
      </c>
      <c r="C1344">
        <v>2.0615755555555562</v>
      </c>
      <c r="D1344">
        <v>0.72883505555555561</v>
      </c>
      <c r="E1344">
        <f t="shared" si="80"/>
        <v>8.5898981481481503E-3</v>
      </c>
      <c r="F1344">
        <f t="shared" si="81"/>
        <v>3.0368127314814816E-3</v>
      </c>
      <c r="G1344">
        <f t="shared" si="82"/>
        <v>1</v>
      </c>
      <c r="H1344">
        <f t="shared" si="83"/>
        <v>0.1030787777777778</v>
      </c>
    </row>
    <row r="1345" spans="1:8" x14ac:dyDescent="0.25">
      <c r="A1345">
        <v>1119</v>
      </c>
      <c r="B1345">
        <v>4</v>
      </c>
      <c r="C1345">
        <v>2.208755</v>
      </c>
      <c r="D1345">
        <v>0.96082773809499999</v>
      </c>
      <c r="E1345">
        <f t="shared" si="80"/>
        <v>9.203145833333334E-3</v>
      </c>
      <c r="F1345">
        <f t="shared" si="81"/>
        <v>4.0034489087291672E-3</v>
      </c>
      <c r="G1345">
        <f t="shared" si="82"/>
        <v>1</v>
      </c>
      <c r="H1345">
        <f t="shared" si="83"/>
        <v>0.11043775</v>
      </c>
    </row>
    <row r="1346" spans="1:8" x14ac:dyDescent="0.25">
      <c r="A1346">
        <v>1119</v>
      </c>
      <c r="B1346">
        <v>5</v>
      </c>
      <c r="C1346">
        <v>3.1871236111111112</v>
      </c>
      <c r="D1346">
        <v>1.0026378888888889</v>
      </c>
      <c r="E1346">
        <f t="shared" ref="E1346:E1409" si="84">+C1346/20/12</f>
        <v>1.3279681712962963E-2</v>
      </c>
      <c r="F1346">
        <f t="shared" ref="F1346:F1409" si="85">+D1346/20/12</f>
        <v>4.1776578703703708E-3</v>
      </c>
      <c r="G1346">
        <f t="shared" ref="G1346:G1409" si="86">+ROUNDUP(E1346*12,0)</f>
        <v>1</v>
      </c>
      <c r="H1346">
        <f t="shared" ref="H1346:H1409" si="87">+E1346*12</f>
        <v>0.15935618055555556</v>
      </c>
    </row>
    <row r="1347" spans="1:8" x14ac:dyDescent="0.25">
      <c r="A1347">
        <v>1119</v>
      </c>
      <c r="B1347">
        <v>6</v>
      </c>
      <c r="C1347">
        <v>1.899421666666667</v>
      </c>
      <c r="D1347">
        <v>0.75304630555555552</v>
      </c>
      <c r="E1347">
        <f t="shared" si="84"/>
        <v>7.914256944444446E-3</v>
      </c>
      <c r="F1347">
        <f t="shared" si="85"/>
        <v>3.137692939814815E-3</v>
      </c>
      <c r="G1347">
        <f t="shared" si="86"/>
        <v>1</v>
      </c>
      <c r="H1347">
        <f t="shared" si="87"/>
        <v>9.4971083333333345E-2</v>
      </c>
    </row>
    <row r="1348" spans="1:8" x14ac:dyDescent="0.25">
      <c r="A1348">
        <v>1119</v>
      </c>
      <c r="B1348">
        <v>7</v>
      </c>
      <c r="C1348">
        <v>1.3918936111111111</v>
      </c>
      <c r="D1348">
        <v>0.52731444444444442</v>
      </c>
      <c r="E1348">
        <f t="shared" si="84"/>
        <v>5.799556712962963E-3</v>
      </c>
      <c r="F1348">
        <f t="shared" si="85"/>
        <v>2.1971435185185184E-3</v>
      </c>
      <c r="G1348">
        <f t="shared" si="86"/>
        <v>1</v>
      </c>
      <c r="H1348">
        <f t="shared" si="87"/>
        <v>6.9594680555555552E-2</v>
      </c>
    </row>
    <row r="1349" spans="1:8" x14ac:dyDescent="0.25">
      <c r="A1349">
        <v>1119</v>
      </c>
      <c r="B1349">
        <v>8</v>
      </c>
      <c r="C1349">
        <v>1.5364858333333331</v>
      </c>
      <c r="D1349">
        <v>0.64342187198055556</v>
      </c>
      <c r="E1349">
        <f t="shared" si="84"/>
        <v>6.4020243055555549E-3</v>
      </c>
      <c r="F1349">
        <f t="shared" si="85"/>
        <v>2.680924466585648E-3</v>
      </c>
      <c r="G1349">
        <f t="shared" si="86"/>
        <v>1</v>
      </c>
      <c r="H1349">
        <f t="shared" si="87"/>
        <v>7.6824291666666655E-2</v>
      </c>
    </row>
    <row r="1350" spans="1:8" x14ac:dyDescent="0.25">
      <c r="A1350">
        <v>1119</v>
      </c>
      <c r="B1350">
        <v>9</v>
      </c>
      <c r="C1350">
        <v>0.65883861111111108</v>
      </c>
      <c r="D1350">
        <v>0.41130380555555562</v>
      </c>
      <c r="E1350">
        <f t="shared" si="84"/>
        <v>2.7451608796296295E-3</v>
      </c>
      <c r="F1350">
        <f t="shared" si="85"/>
        <v>1.7137658564814818E-3</v>
      </c>
      <c r="G1350">
        <f t="shared" si="86"/>
        <v>1</v>
      </c>
      <c r="H1350">
        <f t="shared" si="87"/>
        <v>3.2941930555555554E-2</v>
      </c>
    </row>
    <row r="1351" spans="1:8" x14ac:dyDescent="0.25">
      <c r="A1351">
        <v>1119</v>
      </c>
      <c r="B1351">
        <v>10</v>
      </c>
      <c r="C1351">
        <v>1.921877222222222</v>
      </c>
      <c r="D1351">
        <v>0.87565133838361109</v>
      </c>
      <c r="E1351">
        <f t="shared" si="84"/>
        <v>8.0078217592592579E-3</v>
      </c>
      <c r="F1351">
        <f t="shared" si="85"/>
        <v>3.6485472432650459E-3</v>
      </c>
      <c r="G1351">
        <f t="shared" si="86"/>
        <v>1</v>
      </c>
      <c r="H1351">
        <f t="shared" si="87"/>
        <v>9.6093861111111095E-2</v>
      </c>
    </row>
    <row r="1352" spans="1:8" x14ac:dyDescent="0.25">
      <c r="A1352">
        <v>1119</v>
      </c>
      <c r="B1352">
        <v>11</v>
      </c>
      <c r="C1352">
        <v>1.6870597222222219</v>
      </c>
      <c r="D1352">
        <v>0.64739190656555556</v>
      </c>
      <c r="E1352">
        <f t="shared" si="84"/>
        <v>7.0294155092592578E-3</v>
      </c>
      <c r="F1352">
        <f t="shared" si="85"/>
        <v>2.6974662773564819E-3</v>
      </c>
      <c r="G1352">
        <f t="shared" si="86"/>
        <v>1</v>
      </c>
      <c r="H1352">
        <f t="shared" si="87"/>
        <v>8.4352986111111097E-2</v>
      </c>
    </row>
    <row r="1353" spans="1:8" x14ac:dyDescent="0.25">
      <c r="A1353">
        <v>1119</v>
      </c>
      <c r="B1353">
        <v>12</v>
      </c>
      <c r="C1353">
        <v>3.1634375000000001</v>
      </c>
      <c r="D1353">
        <v>1.2397419047616669</v>
      </c>
      <c r="E1353">
        <f t="shared" si="84"/>
        <v>1.3180989583333335E-2</v>
      </c>
      <c r="F1353">
        <f t="shared" si="85"/>
        <v>5.1655912698402784E-3</v>
      </c>
      <c r="G1353">
        <f t="shared" si="86"/>
        <v>1</v>
      </c>
      <c r="H1353">
        <f t="shared" si="87"/>
        <v>0.15817187500000002</v>
      </c>
    </row>
    <row r="1354" spans="1:8" x14ac:dyDescent="0.25">
      <c r="A1354">
        <v>1120</v>
      </c>
      <c r="B1354">
        <v>1</v>
      </c>
      <c r="C1354">
        <v>2.4874999999999998</v>
      </c>
      <c r="D1354">
        <v>1.6955555555555555</v>
      </c>
      <c r="E1354">
        <f t="shared" si="84"/>
        <v>1.0364583333333332E-2</v>
      </c>
      <c r="F1354">
        <f t="shared" si="85"/>
        <v>7.0648148148148146E-3</v>
      </c>
      <c r="G1354">
        <f t="shared" si="86"/>
        <v>1</v>
      </c>
      <c r="H1354">
        <f t="shared" si="87"/>
        <v>0.12437499999999999</v>
      </c>
    </row>
    <row r="1355" spans="1:8" x14ac:dyDescent="0.25">
      <c r="A1355">
        <v>1120</v>
      </c>
      <c r="B1355">
        <v>2</v>
      </c>
      <c r="C1355">
        <v>2.6011461111111109</v>
      </c>
      <c r="D1355">
        <v>0.58802599206333328</v>
      </c>
      <c r="E1355">
        <f t="shared" si="84"/>
        <v>1.0838108796296297E-2</v>
      </c>
      <c r="F1355">
        <f t="shared" si="85"/>
        <v>2.4501083002638887E-3</v>
      </c>
      <c r="G1355">
        <f t="shared" si="86"/>
        <v>1</v>
      </c>
      <c r="H1355">
        <f t="shared" si="87"/>
        <v>0.13005730555555556</v>
      </c>
    </row>
    <row r="1356" spans="1:8" x14ac:dyDescent="0.25">
      <c r="A1356">
        <v>1120</v>
      </c>
      <c r="B1356">
        <v>3</v>
      </c>
      <c r="C1356">
        <v>0.53003888888888884</v>
      </c>
      <c r="D1356">
        <v>0.25037673611111111</v>
      </c>
      <c r="E1356">
        <f t="shared" si="84"/>
        <v>2.2084953703703702E-3</v>
      </c>
      <c r="F1356">
        <f t="shared" si="85"/>
        <v>1.0432364004629628E-3</v>
      </c>
      <c r="G1356">
        <f t="shared" si="86"/>
        <v>1</v>
      </c>
      <c r="H1356">
        <f t="shared" si="87"/>
        <v>2.6501944444444443E-2</v>
      </c>
    </row>
    <row r="1357" spans="1:8" x14ac:dyDescent="0.25">
      <c r="A1357">
        <v>1120</v>
      </c>
      <c r="B1357">
        <v>4</v>
      </c>
      <c r="C1357">
        <v>0.70933694444444439</v>
      </c>
      <c r="D1357">
        <v>0.2583686507936111</v>
      </c>
      <c r="E1357">
        <f t="shared" si="84"/>
        <v>2.955570601851852E-3</v>
      </c>
      <c r="F1357">
        <f t="shared" si="85"/>
        <v>1.0765360449733795E-3</v>
      </c>
      <c r="G1357">
        <f t="shared" si="86"/>
        <v>1</v>
      </c>
      <c r="H1357">
        <f t="shared" si="87"/>
        <v>3.5466847222222223E-2</v>
      </c>
    </row>
    <row r="1358" spans="1:8" x14ac:dyDescent="0.25">
      <c r="A1358">
        <v>1120</v>
      </c>
      <c r="B1358">
        <v>6</v>
      </c>
      <c r="C1358">
        <v>0.13139833333333331</v>
      </c>
      <c r="D1358">
        <v>0.13139833333333331</v>
      </c>
      <c r="E1358">
        <f t="shared" si="84"/>
        <v>5.4749305555555551E-4</v>
      </c>
      <c r="F1358">
        <f t="shared" si="85"/>
        <v>5.4749305555555551E-4</v>
      </c>
      <c r="G1358">
        <f t="shared" si="86"/>
        <v>1</v>
      </c>
      <c r="H1358">
        <f t="shared" si="87"/>
        <v>6.5699166666666666E-3</v>
      </c>
    </row>
    <row r="1359" spans="1:8" x14ac:dyDescent="0.25">
      <c r="A1359">
        <v>1120</v>
      </c>
      <c r="B1359">
        <v>7</v>
      </c>
      <c r="C1359">
        <v>0.74312111111111112</v>
      </c>
      <c r="D1359">
        <v>0.32261361111111109</v>
      </c>
      <c r="E1359">
        <f t="shared" si="84"/>
        <v>3.0963379629629626E-3</v>
      </c>
      <c r="F1359">
        <f t="shared" si="85"/>
        <v>1.3442233796296295E-3</v>
      </c>
      <c r="G1359">
        <f t="shared" si="86"/>
        <v>1</v>
      </c>
      <c r="H1359">
        <f t="shared" si="87"/>
        <v>3.7156055555555553E-2</v>
      </c>
    </row>
    <row r="1360" spans="1:8" x14ac:dyDescent="0.25">
      <c r="A1360">
        <v>1120</v>
      </c>
      <c r="B1360">
        <v>8</v>
      </c>
      <c r="C1360">
        <v>6.0939147222222223</v>
      </c>
      <c r="D1360">
        <v>4.3234867735041664</v>
      </c>
      <c r="E1360">
        <f t="shared" si="84"/>
        <v>2.5391311342592593E-2</v>
      </c>
      <c r="F1360">
        <f t="shared" si="85"/>
        <v>1.8014528222934027E-2</v>
      </c>
      <c r="G1360">
        <f t="shared" si="86"/>
        <v>1</v>
      </c>
      <c r="H1360">
        <f t="shared" si="87"/>
        <v>0.30469573611111112</v>
      </c>
    </row>
    <row r="1361" spans="1:8" x14ac:dyDescent="0.25">
      <c r="A1361">
        <v>1120</v>
      </c>
      <c r="B1361">
        <v>9</v>
      </c>
      <c r="C1361">
        <v>2.1512250000000002</v>
      </c>
      <c r="D1361">
        <v>2.073366111111111</v>
      </c>
      <c r="E1361">
        <f t="shared" si="84"/>
        <v>8.9634375000000009E-3</v>
      </c>
      <c r="F1361">
        <f t="shared" si="85"/>
        <v>8.6390254629629629E-3</v>
      </c>
      <c r="G1361">
        <f t="shared" si="86"/>
        <v>1</v>
      </c>
      <c r="H1361">
        <f t="shared" si="87"/>
        <v>0.10756125000000001</v>
      </c>
    </row>
    <row r="1362" spans="1:8" x14ac:dyDescent="0.25">
      <c r="A1362">
        <v>1120</v>
      </c>
      <c r="B1362">
        <v>10</v>
      </c>
      <c r="C1362">
        <v>6.097917777777778</v>
      </c>
      <c r="D1362">
        <v>3.117133320706944</v>
      </c>
      <c r="E1362">
        <f t="shared" si="84"/>
        <v>2.5407990740740741E-2</v>
      </c>
      <c r="F1362">
        <f t="shared" si="85"/>
        <v>1.29880555029456E-2</v>
      </c>
      <c r="G1362">
        <f t="shared" si="86"/>
        <v>1</v>
      </c>
      <c r="H1362">
        <f t="shared" si="87"/>
        <v>0.30489588888888891</v>
      </c>
    </row>
    <row r="1363" spans="1:8" x14ac:dyDescent="0.25">
      <c r="A1363">
        <v>1120</v>
      </c>
      <c r="B1363">
        <v>11</v>
      </c>
      <c r="C1363">
        <v>2.1926511111111111</v>
      </c>
      <c r="D1363">
        <v>1.8141825</v>
      </c>
      <c r="E1363">
        <f t="shared" si="84"/>
        <v>9.1360462962962966E-3</v>
      </c>
      <c r="F1363">
        <f t="shared" si="85"/>
        <v>7.5590937499999998E-3</v>
      </c>
      <c r="G1363">
        <f t="shared" si="86"/>
        <v>1</v>
      </c>
      <c r="H1363">
        <f t="shared" si="87"/>
        <v>0.10963255555555557</v>
      </c>
    </row>
    <row r="1364" spans="1:8" x14ac:dyDescent="0.25">
      <c r="A1364">
        <v>1120</v>
      </c>
      <c r="B1364">
        <v>12</v>
      </c>
      <c r="C1364">
        <v>6.1116066666666669</v>
      </c>
      <c r="D1364">
        <v>5.7720007142855554</v>
      </c>
      <c r="E1364">
        <f t="shared" si="84"/>
        <v>2.5465027777777777E-2</v>
      </c>
      <c r="F1364">
        <f t="shared" si="85"/>
        <v>2.4050002976189814E-2</v>
      </c>
      <c r="G1364">
        <f t="shared" si="86"/>
        <v>1</v>
      </c>
      <c r="H1364">
        <f t="shared" si="87"/>
        <v>0.30558033333333334</v>
      </c>
    </row>
    <row r="1365" spans="1:8" x14ac:dyDescent="0.25">
      <c r="A1365">
        <v>1121</v>
      </c>
      <c r="B1365">
        <v>1</v>
      </c>
      <c r="C1365">
        <v>1.8608333333333333</v>
      </c>
      <c r="D1365">
        <v>0.63972222222222219</v>
      </c>
      <c r="E1365">
        <f t="shared" si="84"/>
        <v>7.7534722222222215E-3</v>
      </c>
      <c r="F1365">
        <f t="shared" si="85"/>
        <v>2.6655092592592594E-3</v>
      </c>
      <c r="G1365">
        <f t="shared" si="86"/>
        <v>1</v>
      </c>
      <c r="H1365">
        <f t="shared" si="87"/>
        <v>9.3041666666666661E-2</v>
      </c>
    </row>
    <row r="1366" spans="1:8" x14ac:dyDescent="0.25">
      <c r="A1366">
        <v>1121</v>
      </c>
      <c r="B1366">
        <v>2</v>
      </c>
      <c r="C1366">
        <v>3.201388888888889E-2</v>
      </c>
      <c r="D1366">
        <v>3.1803194444444453E-2</v>
      </c>
      <c r="E1366">
        <f t="shared" si="84"/>
        <v>1.3339120370370371E-4</v>
      </c>
      <c r="F1366">
        <f t="shared" si="85"/>
        <v>1.3251331018518522E-4</v>
      </c>
      <c r="G1366">
        <f t="shared" si="86"/>
        <v>1</v>
      </c>
      <c r="H1366">
        <f t="shared" si="87"/>
        <v>1.6006944444444445E-3</v>
      </c>
    </row>
    <row r="1367" spans="1:8" x14ac:dyDescent="0.25">
      <c r="A1367">
        <v>1121</v>
      </c>
      <c r="B1367">
        <v>3</v>
      </c>
      <c r="C1367">
        <v>3.2023055555555548E-2</v>
      </c>
      <c r="D1367">
        <v>3.0633750000000001E-2</v>
      </c>
      <c r="E1367">
        <f t="shared" si="84"/>
        <v>1.3342939814814812E-4</v>
      </c>
      <c r="F1367">
        <f t="shared" si="85"/>
        <v>1.2764062500000001E-4</v>
      </c>
      <c r="G1367">
        <f t="shared" si="86"/>
        <v>1</v>
      </c>
      <c r="H1367">
        <f t="shared" si="87"/>
        <v>1.6011527777777773E-3</v>
      </c>
    </row>
    <row r="1368" spans="1:8" x14ac:dyDescent="0.25">
      <c r="A1368">
        <v>1121</v>
      </c>
      <c r="B1368">
        <v>4</v>
      </c>
      <c r="C1368">
        <v>3.342888888888889E-2</v>
      </c>
      <c r="D1368">
        <v>3.1083055555555551E-2</v>
      </c>
      <c r="E1368">
        <f t="shared" si="84"/>
        <v>1.3928703703703705E-4</v>
      </c>
      <c r="F1368">
        <f t="shared" si="85"/>
        <v>1.2951273148148145E-4</v>
      </c>
      <c r="G1368">
        <f t="shared" si="86"/>
        <v>1</v>
      </c>
      <c r="H1368">
        <f t="shared" si="87"/>
        <v>1.6714444444444446E-3</v>
      </c>
    </row>
    <row r="1369" spans="1:8" x14ac:dyDescent="0.25">
      <c r="A1369">
        <v>1121</v>
      </c>
      <c r="B1369">
        <v>5</v>
      </c>
      <c r="C1369">
        <v>3.5525000000000001E-2</v>
      </c>
      <c r="D1369">
        <v>3.3048611111111112E-2</v>
      </c>
      <c r="E1369">
        <f t="shared" si="84"/>
        <v>1.4802083333333334E-4</v>
      </c>
      <c r="F1369">
        <f t="shared" si="85"/>
        <v>1.377025462962963E-4</v>
      </c>
      <c r="G1369">
        <f t="shared" si="86"/>
        <v>1</v>
      </c>
      <c r="H1369">
        <f t="shared" si="87"/>
        <v>1.7762500000000001E-3</v>
      </c>
    </row>
    <row r="1370" spans="1:8" x14ac:dyDescent="0.25">
      <c r="A1370">
        <v>1121</v>
      </c>
      <c r="B1370">
        <v>6</v>
      </c>
      <c r="C1370">
        <v>11.122765555555549</v>
      </c>
      <c r="D1370">
        <v>3.752391296296111</v>
      </c>
      <c r="E1370">
        <f t="shared" si="84"/>
        <v>4.6344856481481456E-2</v>
      </c>
      <c r="F1370">
        <f t="shared" si="85"/>
        <v>1.5634963734567128E-2</v>
      </c>
      <c r="G1370">
        <f t="shared" si="86"/>
        <v>1</v>
      </c>
      <c r="H1370">
        <f t="shared" si="87"/>
        <v>0.55613827777777747</v>
      </c>
    </row>
    <row r="1371" spans="1:8" x14ac:dyDescent="0.25">
      <c r="A1371">
        <v>1121</v>
      </c>
      <c r="B1371">
        <v>7</v>
      </c>
      <c r="C1371">
        <v>2.9166666666666671E-2</v>
      </c>
      <c r="D1371">
        <v>2.7313333333333328E-2</v>
      </c>
      <c r="E1371">
        <f t="shared" si="84"/>
        <v>1.215277777777778E-4</v>
      </c>
      <c r="F1371">
        <f t="shared" si="85"/>
        <v>1.1380555555555554E-4</v>
      </c>
      <c r="G1371">
        <f t="shared" si="86"/>
        <v>1</v>
      </c>
      <c r="H1371">
        <f t="shared" si="87"/>
        <v>1.4583333333333336E-3</v>
      </c>
    </row>
    <row r="1372" spans="1:8" x14ac:dyDescent="0.25">
      <c r="A1372">
        <v>1121</v>
      </c>
      <c r="B1372">
        <v>8</v>
      </c>
      <c r="C1372">
        <v>3.19925E-2</v>
      </c>
      <c r="D1372">
        <v>2.7864814814722218E-2</v>
      </c>
      <c r="E1372">
        <f t="shared" si="84"/>
        <v>1.3330208333333334E-4</v>
      </c>
      <c r="F1372">
        <f t="shared" si="85"/>
        <v>1.1610339506134258E-4</v>
      </c>
      <c r="G1372">
        <f t="shared" si="86"/>
        <v>1</v>
      </c>
      <c r="H1372">
        <f t="shared" si="87"/>
        <v>1.5996249999999999E-3</v>
      </c>
    </row>
    <row r="1373" spans="1:8" x14ac:dyDescent="0.25">
      <c r="A1373">
        <v>1121</v>
      </c>
      <c r="B1373">
        <v>9</v>
      </c>
      <c r="C1373">
        <v>10.672506388888889</v>
      </c>
      <c r="D1373">
        <v>3.577419166666667</v>
      </c>
      <c r="E1373">
        <f t="shared" si="84"/>
        <v>4.4468776620370375E-2</v>
      </c>
      <c r="F1373">
        <f t="shared" si="85"/>
        <v>1.4905913194444446E-2</v>
      </c>
      <c r="G1373">
        <f t="shared" si="86"/>
        <v>1</v>
      </c>
      <c r="H1373">
        <f t="shared" si="87"/>
        <v>0.53362531944444447</v>
      </c>
    </row>
    <row r="1374" spans="1:8" x14ac:dyDescent="0.25">
      <c r="A1374">
        <v>1121</v>
      </c>
      <c r="B1374">
        <v>10</v>
      </c>
      <c r="C1374">
        <v>3.0856388888888892E-2</v>
      </c>
      <c r="D1374">
        <v>2.9995694444444439E-2</v>
      </c>
      <c r="E1374">
        <f t="shared" si="84"/>
        <v>1.2856828703703704E-4</v>
      </c>
      <c r="F1374">
        <f t="shared" si="85"/>
        <v>1.2498206018518517E-4</v>
      </c>
      <c r="G1374">
        <f t="shared" si="86"/>
        <v>1</v>
      </c>
      <c r="H1374">
        <f t="shared" si="87"/>
        <v>1.5428194444444443E-3</v>
      </c>
    </row>
    <row r="1375" spans="1:8" x14ac:dyDescent="0.25">
      <c r="A1375">
        <v>1121</v>
      </c>
      <c r="B1375">
        <v>11</v>
      </c>
      <c r="C1375">
        <v>3.1313055555555552E-2</v>
      </c>
      <c r="D1375">
        <v>3.0356527777777781E-2</v>
      </c>
      <c r="E1375">
        <f t="shared" si="84"/>
        <v>1.3047106481481479E-4</v>
      </c>
      <c r="F1375">
        <f t="shared" si="85"/>
        <v>1.2648553240740743E-4</v>
      </c>
      <c r="G1375">
        <f t="shared" si="86"/>
        <v>1</v>
      </c>
      <c r="H1375">
        <f t="shared" si="87"/>
        <v>1.5656527777777774E-3</v>
      </c>
    </row>
    <row r="1376" spans="1:8" x14ac:dyDescent="0.25">
      <c r="A1376">
        <v>1121</v>
      </c>
      <c r="B1376">
        <v>12</v>
      </c>
      <c r="C1376">
        <v>0.27657611111111108</v>
      </c>
      <c r="D1376">
        <v>0.1025426666666667</v>
      </c>
      <c r="E1376">
        <f t="shared" si="84"/>
        <v>1.1524004629629629E-3</v>
      </c>
      <c r="F1376">
        <f t="shared" si="85"/>
        <v>4.2726111111111121E-4</v>
      </c>
      <c r="G1376">
        <f t="shared" si="86"/>
        <v>1</v>
      </c>
      <c r="H1376">
        <f t="shared" si="87"/>
        <v>1.3828805555555556E-2</v>
      </c>
    </row>
    <row r="1377" spans="1:8" x14ac:dyDescent="0.25">
      <c r="A1377">
        <v>1122</v>
      </c>
      <c r="B1377">
        <v>1</v>
      </c>
      <c r="C1377">
        <v>1.848888888888889</v>
      </c>
      <c r="D1377">
        <v>0.39111111111111108</v>
      </c>
      <c r="E1377">
        <f t="shared" si="84"/>
        <v>7.7037037037037048E-3</v>
      </c>
      <c r="F1377">
        <f t="shared" si="85"/>
        <v>1.6296296296296295E-3</v>
      </c>
      <c r="G1377">
        <f t="shared" si="86"/>
        <v>1</v>
      </c>
      <c r="H1377">
        <f t="shared" si="87"/>
        <v>9.2444444444444454E-2</v>
      </c>
    </row>
    <row r="1378" spans="1:8" x14ac:dyDescent="0.25">
      <c r="A1378">
        <v>1122</v>
      </c>
      <c r="B1378">
        <v>2</v>
      </c>
      <c r="C1378">
        <v>1.401788055555556</v>
      </c>
      <c r="D1378">
        <v>0.26015458333333341</v>
      </c>
      <c r="E1378">
        <f t="shared" si="84"/>
        <v>5.840783564814816E-3</v>
      </c>
      <c r="F1378">
        <f t="shared" si="85"/>
        <v>1.0839774305555559E-3</v>
      </c>
      <c r="G1378">
        <f t="shared" si="86"/>
        <v>1</v>
      </c>
      <c r="H1378">
        <f t="shared" si="87"/>
        <v>7.0089402777777796E-2</v>
      </c>
    </row>
    <row r="1379" spans="1:8" x14ac:dyDescent="0.25">
      <c r="A1379">
        <v>1122</v>
      </c>
      <c r="B1379">
        <v>3</v>
      </c>
      <c r="C1379">
        <v>3.634638888888889</v>
      </c>
      <c r="D1379">
        <v>0.64633351851833332</v>
      </c>
      <c r="E1379">
        <f t="shared" si="84"/>
        <v>1.5144328703703705E-2</v>
      </c>
      <c r="F1379">
        <f t="shared" si="85"/>
        <v>2.6930563271597222E-3</v>
      </c>
      <c r="G1379">
        <f t="shared" si="86"/>
        <v>1</v>
      </c>
      <c r="H1379">
        <f t="shared" si="87"/>
        <v>0.18173194444444446</v>
      </c>
    </row>
    <row r="1380" spans="1:8" x14ac:dyDescent="0.25">
      <c r="A1380">
        <v>1122</v>
      </c>
      <c r="B1380">
        <v>4</v>
      </c>
      <c r="C1380">
        <v>6.1573222222222226</v>
      </c>
      <c r="D1380">
        <v>0.95280838888888886</v>
      </c>
      <c r="E1380">
        <f t="shared" si="84"/>
        <v>2.565550925925926E-2</v>
      </c>
      <c r="F1380">
        <f t="shared" si="85"/>
        <v>3.9700349537037036E-3</v>
      </c>
      <c r="G1380">
        <f t="shared" si="86"/>
        <v>1</v>
      </c>
      <c r="H1380">
        <f t="shared" si="87"/>
        <v>0.30786611111111112</v>
      </c>
    </row>
    <row r="1381" spans="1:8" x14ac:dyDescent="0.25">
      <c r="A1381">
        <v>1122</v>
      </c>
      <c r="B1381">
        <v>5</v>
      </c>
      <c r="C1381">
        <v>5.3948</v>
      </c>
      <c r="D1381">
        <v>1.4945494097222221</v>
      </c>
      <c r="E1381">
        <f t="shared" si="84"/>
        <v>2.2478333333333333E-2</v>
      </c>
      <c r="F1381">
        <f t="shared" si="85"/>
        <v>6.2272892071759253E-3</v>
      </c>
      <c r="G1381">
        <f t="shared" si="86"/>
        <v>1</v>
      </c>
      <c r="H1381">
        <f t="shared" si="87"/>
        <v>0.26973999999999998</v>
      </c>
    </row>
    <row r="1382" spans="1:8" x14ac:dyDescent="0.25">
      <c r="A1382">
        <v>1122</v>
      </c>
      <c r="B1382">
        <v>6</v>
      </c>
      <c r="C1382">
        <v>1.5001558333333329</v>
      </c>
      <c r="D1382">
        <v>0.26404337962944452</v>
      </c>
      <c r="E1382">
        <f t="shared" si="84"/>
        <v>6.2506493055555536E-3</v>
      </c>
      <c r="F1382">
        <f t="shared" si="85"/>
        <v>1.1001807484560188E-3</v>
      </c>
      <c r="G1382">
        <f t="shared" si="86"/>
        <v>1</v>
      </c>
      <c r="H1382">
        <f t="shared" si="87"/>
        <v>7.5007791666666643E-2</v>
      </c>
    </row>
    <row r="1383" spans="1:8" x14ac:dyDescent="0.25">
      <c r="A1383">
        <v>1122</v>
      </c>
      <c r="B1383">
        <v>7</v>
      </c>
      <c r="C1383">
        <v>6.3850000000000001E-3</v>
      </c>
      <c r="D1383">
        <v>6.3850000000000001E-3</v>
      </c>
      <c r="E1383">
        <f t="shared" si="84"/>
        <v>2.6604166666666665E-5</v>
      </c>
      <c r="F1383">
        <f t="shared" si="85"/>
        <v>2.6604166666666665E-5</v>
      </c>
      <c r="G1383">
        <f t="shared" si="86"/>
        <v>1</v>
      </c>
      <c r="H1383">
        <f t="shared" si="87"/>
        <v>3.1924999999999998E-4</v>
      </c>
    </row>
    <row r="1384" spans="1:8" x14ac:dyDescent="0.25">
      <c r="A1384">
        <v>1122</v>
      </c>
      <c r="B1384">
        <v>8</v>
      </c>
      <c r="C1384">
        <v>0.75038972222222222</v>
      </c>
      <c r="D1384">
        <v>0.21715819444444451</v>
      </c>
      <c r="E1384">
        <f t="shared" si="84"/>
        <v>3.1266238425925927E-3</v>
      </c>
      <c r="F1384">
        <f t="shared" si="85"/>
        <v>9.0482581018518549E-4</v>
      </c>
      <c r="G1384">
        <f t="shared" si="86"/>
        <v>1</v>
      </c>
      <c r="H1384">
        <f t="shared" si="87"/>
        <v>3.7519486111111111E-2</v>
      </c>
    </row>
    <row r="1385" spans="1:8" x14ac:dyDescent="0.25">
      <c r="A1385">
        <v>1122</v>
      </c>
      <c r="B1385">
        <v>9</v>
      </c>
      <c r="C1385">
        <v>2.3013580555555562</v>
      </c>
      <c r="D1385">
        <v>0.56020074074055559</v>
      </c>
      <c r="E1385">
        <f t="shared" si="84"/>
        <v>9.5889918981481512E-3</v>
      </c>
      <c r="F1385">
        <f t="shared" si="85"/>
        <v>2.3341697530856482E-3</v>
      </c>
      <c r="G1385">
        <f t="shared" si="86"/>
        <v>1</v>
      </c>
      <c r="H1385">
        <f t="shared" si="87"/>
        <v>0.11506790277777781</v>
      </c>
    </row>
    <row r="1386" spans="1:8" x14ac:dyDescent="0.25">
      <c r="A1386">
        <v>1122</v>
      </c>
      <c r="B1386">
        <v>10</v>
      </c>
      <c r="C1386">
        <v>3.1678611111111109E-2</v>
      </c>
      <c r="D1386">
        <v>1.9780972222222221E-2</v>
      </c>
      <c r="E1386">
        <f t="shared" si="84"/>
        <v>1.3199421296296296E-4</v>
      </c>
      <c r="F1386">
        <f t="shared" si="85"/>
        <v>8.2420717592592593E-5</v>
      </c>
      <c r="G1386">
        <f t="shared" si="86"/>
        <v>1</v>
      </c>
      <c r="H1386">
        <f t="shared" si="87"/>
        <v>1.5839305555555554E-3</v>
      </c>
    </row>
    <row r="1387" spans="1:8" x14ac:dyDescent="0.25">
      <c r="A1387">
        <v>1122</v>
      </c>
      <c r="B1387">
        <v>11</v>
      </c>
      <c r="C1387">
        <v>0.53401583333333336</v>
      </c>
      <c r="D1387">
        <v>0.18123263888888891</v>
      </c>
      <c r="E1387">
        <f t="shared" si="84"/>
        <v>2.2250659722222225E-3</v>
      </c>
      <c r="F1387">
        <f t="shared" si="85"/>
        <v>7.5513599537037042E-4</v>
      </c>
      <c r="G1387">
        <f t="shared" si="86"/>
        <v>1</v>
      </c>
      <c r="H1387">
        <f t="shared" si="87"/>
        <v>2.6700791666666668E-2</v>
      </c>
    </row>
    <row r="1388" spans="1:8" x14ac:dyDescent="0.25">
      <c r="A1388">
        <v>1122</v>
      </c>
      <c r="B1388">
        <v>12</v>
      </c>
      <c r="C1388">
        <v>0.47365916666666669</v>
      </c>
      <c r="D1388">
        <v>8.8987716049166665E-2</v>
      </c>
      <c r="E1388">
        <f t="shared" si="84"/>
        <v>1.9735798611111113E-3</v>
      </c>
      <c r="F1388">
        <f t="shared" si="85"/>
        <v>3.7078215020486114E-4</v>
      </c>
      <c r="G1388">
        <f t="shared" si="86"/>
        <v>1</v>
      </c>
      <c r="H1388">
        <f t="shared" si="87"/>
        <v>2.3682958333333337E-2</v>
      </c>
    </row>
    <row r="1389" spans="1:8" x14ac:dyDescent="0.25">
      <c r="A1389">
        <v>1123</v>
      </c>
      <c r="B1389">
        <v>1</v>
      </c>
      <c r="C1389">
        <v>3.6230555555555553</v>
      </c>
      <c r="D1389">
        <v>2.2205555555555554</v>
      </c>
      <c r="E1389">
        <f t="shared" si="84"/>
        <v>1.5096064814814814E-2</v>
      </c>
      <c r="F1389">
        <f t="shared" si="85"/>
        <v>9.2523148148148139E-3</v>
      </c>
      <c r="G1389">
        <f t="shared" si="86"/>
        <v>1</v>
      </c>
      <c r="H1389">
        <f t="shared" si="87"/>
        <v>0.18115277777777777</v>
      </c>
    </row>
    <row r="1390" spans="1:8" x14ac:dyDescent="0.25">
      <c r="A1390">
        <v>1123</v>
      </c>
      <c r="B1390">
        <v>7</v>
      </c>
      <c r="C1390">
        <v>9.6907499999999994E-2</v>
      </c>
      <c r="D1390">
        <v>9.6907499999999994E-2</v>
      </c>
      <c r="E1390">
        <f t="shared" si="84"/>
        <v>4.0378125000000001E-4</v>
      </c>
      <c r="F1390">
        <f t="shared" si="85"/>
        <v>4.0378125000000001E-4</v>
      </c>
      <c r="G1390">
        <f t="shared" si="86"/>
        <v>1</v>
      </c>
      <c r="H1390">
        <f t="shared" si="87"/>
        <v>4.8453749999999999E-3</v>
      </c>
    </row>
    <row r="1391" spans="1:8" x14ac:dyDescent="0.25">
      <c r="A1391">
        <v>1123</v>
      </c>
      <c r="B1391">
        <v>8</v>
      </c>
      <c r="C1391">
        <v>1.257290833333333</v>
      </c>
      <c r="D1391">
        <v>0.51631769841249997</v>
      </c>
      <c r="E1391">
        <f t="shared" si="84"/>
        <v>5.2387118055555537E-3</v>
      </c>
      <c r="F1391">
        <f t="shared" si="85"/>
        <v>2.1513237433854163E-3</v>
      </c>
      <c r="G1391">
        <f t="shared" si="86"/>
        <v>1</v>
      </c>
      <c r="H1391">
        <f t="shared" si="87"/>
        <v>6.2864541666666648E-2</v>
      </c>
    </row>
    <row r="1392" spans="1:8" x14ac:dyDescent="0.25">
      <c r="A1392">
        <v>1123</v>
      </c>
      <c r="B1392">
        <v>9</v>
      </c>
      <c r="C1392">
        <v>12.11283888888889</v>
      </c>
      <c r="D1392">
        <v>10.35243155555556</v>
      </c>
      <c r="E1392">
        <f t="shared" si="84"/>
        <v>5.0470162037037046E-2</v>
      </c>
      <c r="F1392">
        <f t="shared" si="85"/>
        <v>4.3135131481481494E-2</v>
      </c>
      <c r="G1392">
        <f t="shared" si="86"/>
        <v>1</v>
      </c>
      <c r="H1392">
        <f t="shared" si="87"/>
        <v>0.60564194444444452</v>
      </c>
    </row>
    <row r="1393" spans="1:8" x14ac:dyDescent="0.25">
      <c r="A1393">
        <v>1123</v>
      </c>
      <c r="B1393">
        <v>11</v>
      </c>
      <c r="C1393">
        <v>5.7602630555555558</v>
      </c>
      <c r="D1393">
        <v>1.7368697916666671</v>
      </c>
      <c r="E1393">
        <f t="shared" si="84"/>
        <v>2.4001096064814816E-2</v>
      </c>
      <c r="F1393">
        <f t="shared" si="85"/>
        <v>7.2369574652777794E-3</v>
      </c>
      <c r="G1393">
        <f t="shared" si="86"/>
        <v>1</v>
      </c>
      <c r="H1393">
        <f t="shared" si="87"/>
        <v>0.28801315277777778</v>
      </c>
    </row>
    <row r="1394" spans="1:8" x14ac:dyDescent="0.25">
      <c r="A1394">
        <v>1123</v>
      </c>
      <c r="B1394">
        <v>12</v>
      </c>
      <c r="C1394">
        <v>2.5106572222222221</v>
      </c>
      <c r="D1394">
        <v>0.62071100000000001</v>
      </c>
      <c r="E1394">
        <f t="shared" si="84"/>
        <v>1.046107175925926E-2</v>
      </c>
      <c r="F1394">
        <f t="shared" si="85"/>
        <v>2.5862958333333335E-3</v>
      </c>
      <c r="G1394">
        <f t="shared" si="86"/>
        <v>1</v>
      </c>
      <c r="H1394">
        <f t="shared" si="87"/>
        <v>0.12553286111111112</v>
      </c>
    </row>
    <row r="1395" spans="1:8" x14ac:dyDescent="0.25">
      <c r="A1395">
        <v>1124</v>
      </c>
      <c r="B1395">
        <v>1</v>
      </c>
      <c r="C1395">
        <v>1.5508333333333333</v>
      </c>
      <c r="D1395">
        <v>1.3558333333333332</v>
      </c>
      <c r="E1395">
        <f t="shared" si="84"/>
        <v>6.4618055555555548E-3</v>
      </c>
      <c r="F1395">
        <f t="shared" si="85"/>
        <v>5.6493055555555559E-3</v>
      </c>
      <c r="G1395">
        <f t="shared" si="86"/>
        <v>1</v>
      </c>
      <c r="H1395">
        <f t="shared" si="87"/>
        <v>7.7541666666666662E-2</v>
      </c>
    </row>
    <row r="1396" spans="1:8" x14ac:dyDescent="0.25">
      <c r="A1396">
        <v>1124</v>
      </c>
      <c r="B1396">
        <v>2</v>
      </c>
      <c r="C1396">
        <v>1.558523055555556</v>
      </c>
      <c r="D1396">
        <v>1.5217679861111111</v>
      </c>
      <c r="E1396">
        <f t="shared" si="84"/>
        <v>6.4938460648148169E-3</v>
      </c>
      <c r="F1396">
        <f t="shared" si="85"/>
        <v>6.3406999421296295E-3</v>
      </c>
      <c r="G1396">
        <f t="shared" si="86"/>
        <v>1</v>
      </c>
      <c r="H1396">
        <f t="shared" si="87"/>
        <v>7.7926152777777799E-2</v>
      </c>
    </row>
    <row r="1397" spans="1:8" x14ac:dyDescent="0.25">
      <c r="A1397">
        <v>1124</v>
      </c>
      <c r="B1397">
        <v>3</v>
      </c>
      <c r="C1397">
        <v>1.5523222222222219</v>
      </c>
      <c r="D1397">
        <v>1.473997291666667</v>
      </c>
      <c r="E1397">
        <f t="shared" si="84"/>
        <v>6.4680092592592575E-3</v>
      </c>
      <c r="F1397">
        <f t="shared" si="85"/>
        <v>6.1416553819444468E-3</v>
      </c>
      <c r="G1397">
        <f t="shared" si="86"/>
        <v>1</v>
      </c>
      <c r="H1397">
        <f t="shared" si="87"/>
        <v>7.7616111111111094E-2</v>
      </c>
    </row>
    <row r="1398" spans="1:8" x14ac:dyDescent="0.25">
      <c r="A1398">
        <v>1124</v>
      </c>
      <c r="B1398">
        <v>4</v>
      </c>
      <c r="C1398">
        <v>1.7237813888888891</v>
      </c>
      <c r="D1398">
        <v>1.4317876190475001</v>
      </c>
      <c r="E1398">
        <f t="shared" si="84"/>
        <v>7.1824224537037048E-3</v>
      </c>
      <c r="F1398">
        <f t="shared" si="85"/>
        <v>5.9657817460312505E-3</v>
      </c>
      <c r="G1398">
        <f t="shared" si="86"/>
        <v>1</v>
      </c>
      <c r="H1398">
        <f t="shared" si="87"/>
        <v>8.618906944444446E-2</v>
      </c>
    </row>
    <row r="1399" spans="1:8" x14ac:dyDescent="0.25">
      <c r="A1399">
        <v>1124</v>
      </c>
      <c r="B1399">
        <v>5</v>
      </c>
      <c r="C1399">
        <v>2.2126066666666668</v>
      </c>
      <c r="D1399">
        <v>1.540369125</v>
      </c>
      <c r="E1399">
        <f t="shared" si="84"/>
        <v>9.2191944444444448E-3</v>
      </c>
      <c r="F1399">
        <f t="shared" si="85"/>
        <v>6.4182046875000008E-3</v>
      </c>
      <c r="G1399">
        <f t="shared" si="86"/>
        <v>1</v>
      </c>
      <c r="H1399">
        <f t="shared" si="87"/>
        <v>0.11063033333333333</v>
      </c>
    </row>
    <row r="1400" spans="1:8" x14ac:dyDescent="0.25">
      <c r="A1400">
        <v>1124</v>
      </c>
      <c r="B1400">
        <v>6</v>
      </c>
      <c r="C1400">
        <v>1.569440833333333</v>
      </c>
      <c r="D1400">
        <v>1.3563241388888889</v>
      </c>
      <c r="E1400">
        <f t="shared" si="84"/>
        <v>6.5393368055555534E-3</v>
      </c>
      <c r="F1400">
        <f t="shared" si="85"/>
        <v>5.6513505787037033E-3</v>
      </c>
      <c r="G1400">
        <f t="shared" si="86"/>
        <v>1</v>
      </c>
      <c r="H1400">
        <f t="shared" si="87"/>
        <v>7.8472041666666645E-2</v>
      </c>
    </row>
    <row r="1401" spans="1:8" x14ac:dyDescent="0.25">
      <c r="A1401">
        <v>1124</v>
      </c>
      <c r="B1401">
        <v>7</v>
      </c>
      <c r="C1401">
        <v>2.248600555555555</v>
      </c>
      <c r="D1401">
        <v>1.5030152645499999</v>
      </c>
      <c r="E1401">
        <f t="shared" si="84"/>
        <v>9.3691689814814783E-3</v>
      </c>
      <c r="F1401">
        <f t="shared" si="85"/>
        <v>6.2625636022916667E-3</v>
      </c>
      <c r="G1401">
        <f t="shared" si="86"/>
        <v>1</v>
      </c>
      <c r="H1401">
        <f t="shared" si="87"/>
        <v>0.11243002777777775</v>
      </c>
    </row>
    <row r="1402" spans="1:8" x14ac:dyDescent="0.25">
      <c r="A1402">
        <v>1124</v>
      </c>
      <c r="B1402">
        <v>8</v>
      </c>
      <c r="C1402">
        <v>1.5422186111111109</v>
      </c>
      <c r="D1402">
        <v>1.509005712560278</v>
      </c>
      <c r="E1402">
        <f t="shared" si="84"/>
        <v>6.4259108796296286E-3</v>
      </c>
      <c r="F1402">
        <f t="shared" si="85"/>
        <v>6.2875238023344911E-3</v>
      </c>
      <c r="G1402">
        <f t="shared" si="86"/>
        <v>1</v>
      </c>
      <c r="H1402">
        <f t="shared" si="87"/>
        <v>7.711093055555554E-2</v>
      </c>
    </row>
    <row r="1403" spans="1:8" x14ac:dyDescent="0.25">
      <c r="A1403">
        <v>1124</v>
      </c>
      <c r="B1403">
        <v>9</v>
      </c>
      <c r="C1403">
        <v>1.5405733333333329</v>
      </c>
      <c r="D1403">
        <v>1.467635375</v>
      </c>
      <c r="E1403">
        <f t="shared" si="84"/>
        <v>6.4190555555555537E-3</v>
      </c>
      <c r="F1403">
        <f t="shared" si="85"/>
        <v>6.1151473958333327E-3</v>
      </c>
      <c r="G1403">
        <f t="shared" si="86"/>
        <v>1</v>
      </c>
      <c r="H1403">
        <f t="shared" si="87"/>
        <v>7.7028666666666648E-2</v>
      </c>
    </row>
    <row r="1404" spans="1:8" x14ac:dyDescent="0.25">
      <c r="A1404">
        <v>1124</v>
      </c>
      <c r="B1404">
        <v>10</v>
      </c>
      <c r="C1404">
        <v>1.547450833333333</v>
      </c>
      <c r="D1404">
        <v>1.516840012626111</v>
      </c>
      <c r="E1404">
        <f t="shared" si="84"/>
        <v>6.4477118055555546E-3</v>
      </c>
      <c r="F1404">
        <f t="shared" si="85"/>
        <v>6.3201667192754633E-3</v>
      </c>
      <c r="G1404">
        <f t="shared" si="86"/>
        <v>1</v>
      </c>
      <c r="H1404">
        <f t="shared" si="87"/>
        <v>7.7372541666666655E-2</v>
      </c>
    </row>
    <row r="1405" spans="1:8" x14ac:dyDescent="0.25">
      <c r="A1405">
        <v>1124</v>
      </c>
      <c r="B1405">
        <v>11</v>
      </c>
      <c r="C1405">
        <v>1.555851944444445</v>
      </c>
      <c r="D1405">
        <v>1.439888648989722</v>
      </c>
      <c r="E1405">
        <f t="shared" si="84"/>
        <v>6.4827164351851868E-3</v>
      </c>
      <c r="F1405">
        <f t="shared" si="85"/>
        <v>5.9995360374571751E-3</v>
      </c>
      <c r="G1405">
        <f t="shared" si="86"/>
        <v>1</v>
      </c>
      <c r="H1405">
        <f t="shared" si="87"/>
        <v>7.7792597222222246E-2</v>
      </c>
    </row>
    <row r="1406" spans="1:8" x14ac:dyDescent="0.25">
      <c r="A1406">
        <v>1124</v>
      </c>
      <c r="B1406">
        <v>12</v>
      </c>
      <c r="C1406">
        <v>1.555613611111111</v>
      </c>
      <c r="D1406">
        <v>1.50822026455</v>
      </c>
      <c r="E1406">
        <f t="shared" si="84"/>
        <v>6.4817233796296289E-3</v>
      </c>
      <c r="F1406">
        <f t="shared" si="85"/>
        <v>6.2842511022916667E-3</v>
      </c>
      <c r="G1406">
        <f t="shared" si="86"/>
        <v>1</v>
      </c>
      <c r="H1406">
        <f t="shared" si="87"/>
        <v>7.7780680555555551E-2</v>
      </c>
    </row>
    <row r="1407" spans="1:8" x14ac:dyDescent="0.25">
      <c r="A1407">
        <v>1125</v>
      </c>
      <c r="B1407">
        <v>1</v>
      </c>
      <c r="C1407">
        <v>1.3238888888888889</v>
      </c>
      <c r="D1407">
        <v>0.85972222222222228</v>
      </c>
      <c r="E1407">
        <f t="shared" si="84"/>
        <v>5.5162037037037037E-3</v>
      </c>
      <c r="F1407">
        <f t="shared" si="85"/>
        <v>3.5821759259259262E-3</v>
      </c>
      <c r="G1407">
        <f t="shared" si="86"/>
        <v>1</v>
      </c>
      <c r="H1407">
        <f t="shared" si="87"/>
        <v>6.6194444444444445E-2</v>
      </c>
    </row>
    <row r="1408" spans="1:8" x14ac:dyDescent="0.25">
      <c r="A1408">
        <v>1125</v>
      </c>
      <c r="B1408">
        <v>2</v>
      </c>
      <c r="C1408">
        <v>1.325414166666667</v>
      </c>
      <c r="D1408">
        <v>0.79227593434333332</v>
      </c>
      <c r="E1408">
        <f t="shared" si="84"/>
        <v>5.522559027777779E-3</v>
      </c>
      <c r="F1408">
        <f t="shared" si="85"/>
        <v>3.3011497264305556E-3</v>
      </c>
      <c r="G1408">
        <f t="shared" si="86"/>
        <v>1</v>
      </c>
      <c r="H1408">
        <f t="shared" si="87"/>
        <v>6.6270708333333345E-2</v>
      </c>
    </row>
    <row r="1409" spans="1:8" x14ac:dyDescent="0.25">
      <c r="A1409">
        <v>1125</v>
      </c>
      <c r="B1409">
        <v>3</v>
      </c>
      <c r="C1409">
        <v>1.7848277777777779</v>
      </c>
      <c r="D1409">
        <v>0.79737909722222222</v>
      </c>
      <c r="E1409">
        <f t="shared" si="84"/>
        <v>7.4367824074074084E-3</v>
      </c>
      <c r="F1409">
        <f t="shared" si="85"/>
        <v>3.3224129050925927E-3</v>
      </c>
      <c r="G1409">
        <f t="shared" si="86"/>
        <v>1</v>
      </c>
      <c r="H1409">
        <f t="shared" si="87"/>
        <v>8.9241388888888898E-2</v>
      </c>
    </row>
    <row r="1410" spans="1:8" x14ac:dyDescent="0.25">
      <c r="A1410">
        <v>1125</v>
      </c>
      <c r="B1410">
        <v>4</v>
      </c>
      <c r="C1410">
        <v>0.9457444444444445</v>
      </c>
      <c r="D1410">
        <v>0.82660961640194441</v>
      </c>
      <c r="E1410">
        <f t="shared" ref="E1410:E1473" si="88">+C1410/20/12</f>
        <v>3.9406018518518523E-3</v>
      </c>
      <c r="F1410">
        <f t="shared" ref="F1410:F1473" si="89">+D1410/20/12</f>
        <v>3.4442067350081017E-3</v>
      </c>
      <c r="G1410">
        <f t="shared" ref="G1410:G1473" si="90">+ROUNDUP(E1410*12,0)</f>
        <v>1</v>
      </c>
      <c r="H1410">
        <f t="shared" ref="H1410:H1473" si="91">+E1410*12</f>
        <v>4.728722222222223E-2</v>
      </c>
    </row>
    <row r="1411" spans="1:8" x14ac:dyDescent="0.25">
      <c r="A1411">
        <v>1125</v>
      </c>
      <c r="B1411">
        <v>5</v>
      </c>
      <c r="C1411">
        <v>1.075533888888889</v>
      </c>
      <c r="D1411">
        <v>0.90362752777777777</v>
      </c>
      <c r="E1411">
        <f t="shared" si="88"/>
        <v>4.4813912037037044E-3</v>
      </c>
      <c r="F1411">
        <f t="shared" si="89"/>
        <v>3.7651146990740742E-3</v>
      </c>
      <c r="G1411">
        <f t="shared" si="90"/>
        <v>1</v>
      </c>
      <c r="H1411">
        <f t="shared" si="91"/>
        <v>5.3776694444444453E-2</v>
      </c>
    </row>
    <row r="1412" spans="1:8" x14ac:dyDescent="0.25">
      <c r="A1412">
        <v>1125</v>
      </c>
      <c r="B1412">
        <v>6</v>
      </c>
      <c r="C1412">
        <v>1.1090288888888891</v>
      </c>
      <c r="D1412">
        <v>0.90081702380944439</v>
      </c>
      <c r="E1412">
        <f t="shared" si="88"/>
        <v>4.6209537037037044E-3</v>
      </c>
      <c r="F1412">
        <f t="shared" si="89"/>
        <v>3.7534042658726851E-3</v>
      </c>
      <c r="G1412">
        <f t="shared" si="90"/>
        <v>1</v>
      </c>
      <c r="H1412">
        <f t="shared" si="91"/>
        <v>5.5451444444444456E-2</v>
      </c>
    </row>
    <row r="1413" spans="1:8" x14ac:dyDescent="0.25">
      <c r="A1413">
        <v>1125</v>
      </c>
      <c r="B1413">
        <v>7</v>
      </c>
      <c r="C1413">
        <v>2.0566769444444439</v>
      </c>
      <c r="D1413">
        <v>0.92434850529083334</v>
      </c>
      <c r="E1413">
        <f t="shared" si="88"/>
        <v>8.5694872685185153E-3</v>
      </c>
      <c r="F1413">
        <f t="shared" si="89"/>
        <v>3.851452105378472E-3</v>
      </c>
      <c r="G1413">
        <f t="shared" si="90"/>
        <v>1</v>
      </c>
      <c r="H1413">
        <f t="shared" si="91"/>
        <v>0.10283384722222219</v>
      </c>
    </row>
    <row r="1414" spans="1:8" x14ac:dyDescent="0.25">
      <c r="A1414">
        <v>1125</v>
      </c>
      <c r="B1414">
        <v>8</v>
      </c>
      <c r="C1414">
        <v>1.184025277777778</v>
      </c>
      <c r="D1414">
        <v>0.94022322463749997</v>
      </c>
      <c r="E1414">
        <f t="shared" si="88"/>
        <v>4.9334386574074081E-3</v>
      </c>
      <c r="F1414">
        <f t="shared" si="89"/>
        <v>3.9175967693229168E-3</v>
      </c>
      <c r="G1414">
        <f t="shared" si="90"/>
        <v>1</v>
      </c>
      <c r="H1414">
        <f t="shared" si="91"/>
        <v>5.9201263888888897E-2</v>
      </c>
    </row>
    <row r="1415" spans="1:8" x14ac:dyDescent="0.25">
      <c r="A1415">
        <v>1125</v>
      </c>
      <c r="B1415">
        <v>9</v>
      </c>
      <c r="C1415">
        <v>1.4156383333333331</v>
      </c>
      <c r="D1415">
        <v>1.0885244027777781</v>
      </c>
      <c r="E1415">
        <f t="shared" si="88"/>
        <v>5.8984930555555544E-3</v>
      </c>
      <c r="F1415">
        <f t="shared" si="89"/>
        <v>4.5355183449074087E-3</v>
      </c>
      <c r="G1415">
        <f t="shared" si="90"/>
        <v>1</v>
      </c>
      <c r="H1415">
        <f t="shared" si="91"/>
        <v>7.0781916666666653E-2</v>
      </c>
    </row>
    <row r="1416" spans="1:8" x14ac:dyDescent="0.25">
      <c r="A1416">
        <v>1125</v>
      </c>
      <c r="B1416">
        <v>10</v>
      </c>
      <c r="C1416">
        <v>1.125453055555556</v>
      </c>
      <c r="D1416">
        <v>0.89608401515138891</v>
      </c>
      <c r="E1416">
        <f t="shared" si="88"/>
        <v>4.6893877314814836E-3</v>
      </c>
      <c r="F1416">
        <f t="shared" si="89"/>
        <v>3.7336833964641204E-3</v>
      </c>
      <c r="G1416">
        <f t="shared" si="90"/>
        <v>1</v>
      </c>
      <c r="H1416">
        <f t="shared" si="91"/>
        <v>5.6272652777777807E-2</v>
      </c>
    </row>
    <row r="1417" spans="1:8" x14ac:dyDescent="0.25">
      <c r="A1417">
        <v>1125</v>
      </c>
      <c r="B1417">
        <v>11</v>
      </c>
      <c r="C1417">
        <v>2.533778055555556</v>
      </c>
      <c r="D1417">
        <v>1.2728954589369439</v>
      </c>
      <c r="E1417">
        <f t="shared" si="88"/>
        <v>1.0557408564814817E-2</v>
      </c>
      <c r="F1417">
        <f t="shared" si="89"/>
        <v>5.3037310789039336E-3</v>
      </c>
      <c r="G1417">
        <f t="shared" si="90"/>
        <v>1</v>
      </c>
      <c r="H1417">
        <f t="shared" si="91"/>
        <v>0.12668890277777781</v>
      </c>
    </row>
    <row r="1418" spans="1:8" x14ac:dyDescent="0.25">
      <c r="A1418">
        <v>1125</v>
      </c>
      <c r="B1418">
        <v>12</v>
      </c>
      <c r="C1418">
        <v>1.3304297222222221</v>
      </c>
      <c r="D1418">
        <v>0.97321466931194445</v>
      </c>
      <c r="E1418">
        <f t="shared" si="88"/>
        <v>5.5434571759259256E-3</v>
      </c>
      <c r="F1418">
        <f t="shared" si="89"/>
        <v>4.0550611221331018E-3</v>
      </c>
      <c r="G1418">
        <f t="shared" si="90"/>
        <v>1</v>
      </c>
      <c r="H1418">
        <f t="shared" si="91"/>
        <v>6.6521486111111111E-2</v>
      </c>
    </row>
    <row r="1419" spans="1:8" x14ac:dyDescent="0.25">
      <c r="A1419">
        <v>1126</v>
      </c>
      <c r="B1419">
        <v>1</v>
      </c>
      <c r="C1419">
        <v>2.3925000000000001</v>
      </c>
      <c r="D1419">
        <v>0.97916666666666663</v>
      </c>
      <c r="E1419">
        <f t="shared" si="88"/>
        <v>9.9687500000000002E-3</v>
      </c>
      <c r="F1419">
        <f t="shared" si="89"/>
        <v>4.0798611111111114E-3</v>
      </c>
      <c r="G1419">
        <f t="shared" si="90"/>
        <v>1</v>
      </c>
      <c r="H1419">
        <f t="shared" si="91"/>
        <v>0.11962500000000001</v>
      </c>
    </row>
    <row r="1420" spans="1:8" x14ac:dyDescent="0.25">
      <c r="A1420">
        <v>1126</v>
      </c>
      <c r="B1420">
        <v>8</v>
      </c>
      <c r="C1420">
        <v>0.34531583333333332</v>
      </c>
      <c r="D1420">
        <v>0.1439692592591667</v>
      </c>
      <c r="E1420">
        <f t="shared" si="88"/>
        <v>1.4388159722222222E-3</v>
      </c>
      <c r="F1420">
        <f t="shared" si="89"/>
        <v>5.9987191357986126E-4</v>
      </c>
      <c r="G1420">
        <f t="shared" si="90"/>
        <v>1</v>
      </c>
      <c r="H1420">
        <f t="shared" si="91"/>
        <v>1.7265791666666665E-2</v>
      </c>
    </row>
    <row r="1421" spans="1:8" x14ac:dyDescent="0.25">
      <c r="A1421">
        <v>1126</v>
      </c>
      <c r="B1421">
        <v>9</v>
      </c>
      <c r="C1421">
        <v>4.8427194444444446</v>
      </c>
      <c r="D1421">
        <v>1.8839898472222221</v>
      </c>
      <c r="E1421">
        <f t="shared" si="88"/>
        <v>2.0177997685185186E-2</v>
      </c>
      <c r="F1421">
        <f t="shared" si="89"/>
        <v>7.8499576967592591E-3</v>
      </c>
      <c r="G1421">
        <f t="shared" si="90"/>
        <v>1</v>
      </c>
      <c r="H1421">
        <f t="shared" si="91"/>
        <v>0.24213597222222222</v>
      </c>
    </row>
    <row r="1422" spans="1:8" x14ac:dyDescent="0.25">
      <c r="A1422">
        <v>1126</v>
      </c>
      <c r="B1422">
        <v>10</v>
      </c>
      <c r="C1422">
        <v>4.1143566666666667</v>
      </c>
      <c r="D1422">
        <v>1.461712517361111</v>
      </c>
      <c r="E1422">
        <f t="shared" si="88"/>
        <v>1.7143152777777778E-2</v>
      </c>
      <c r="F1422">
        <f t="shared" si="89"/>
        <v>6.0904688223379624E-3</v>
      </c>
      <c r="G1422">
        <f t="shared" si="90"/>
        <v>1</v>
      </c>
      <c r="H1422">
        <f t="shared" si="91"/>
        <v>0.20571783333333332</v>
      </c>
    </row>
    <row r="1423" spans="1:8" x14ac:dyDescent="0.25">
      <c r="A1423">
        <v>1126</v>
      </c>
      <c r="B1423">
        <v>11</v>
      </c>
      <c r="C1423">
        <v>4.5513674999999996</v>
      </c>
      <c r="D1423">
        <v>2.2014380116958332</v>
      </c>
      <c r="E1423">
        <f t="shared" si="88"/>
        <v>1.8964031249999999E-2</v>
      </c>
      <c r="F1423">
        <f t="shared" si="89"/>
        <v>9.1726583820659711E-3</v>
      </c>
      <c r="G1423">
        <f t="shared" si="90"/>
        <v>1</v>
      </c>
      <c r="H1423">
        <f t="shared" si="91"/>
        <v>0.22756837499999999</v>
      </c>
    </row>
    <row r="1424" spans="1:8" x14ac:dyDescent="0.25">
      <c r="A1424">
        <v>1126</v>
      </c>
      <c r="B1424">
        <v>12</v>
      </c>
      <c r="C1424">
        <v>0.50005972222222217</v>
      </c>
      <c r="D1424">
        <v>0.1824560317458333</v>
      </c>
      <c r="E1424">
        <f t="shared" si="88"/>
        <v>2.0835821759259258E-3</v>
      </c>
      <c r="F1424">
        <f t="shared" si="89"/>
        <v>7.6023346560763873E-4</v>
      </c>
      <c r="G1424">
        <f t="shared" si="90"/>
        <v>1</v>
      </c>
      <c r="H1424">
        <f t="shared" si="91"/>
        <v>2.5002986111111111E-2</v>
      </c>
    </row>
    <row r="1425" spans="1:8" x14ac:dyDescent="0.25">
      <c r="A1425">
        <v>1127</v>
      </c>
      <c r="B1425">
        <v>1</v>
      </c>
      <c r="C1425">
        <v>1.1588888888888889</v>
      </c>
      <c r="D1425">
        <v>0.29194444444444445</v>
      </c>
      <c r="E1425">
        <f t="shared" si="88"/>
        <v>4.828703703703704E-3</v>
      </c>
      <c r="F1425">
        <f t="shared" si="89"/>
        <v>1.2164351851851852E-3</v>
      </c>
      <c r="G1425">
        <f t="shared" si="90"/>
        <v>1</v>
      </c>
      <c r="H1425">
        <f t="shared" si="91"/>
        <v>5.7944444444444451E-2</v>
      </c>
    </row>
    <row r="1426" spans="1:8" x14ac:dyDescent="0.25">
      <c r="A1426">
        <v>1127</v>
      </c>
      <c r="B1426">
        <v>2</v>
      </c>
      <c r="C1426">
        <v>3.2847575</v>
      </c>
      <c r="D1426">
        <v>0.33421885100999998</v>
      </c>
      <c r="E1426">
        <f t="shared" si="88"/>
        <v>1.3686489583333334E-2</v>
      </c>
      <c r="F1426">
        <f t="shared" si="89"/>
        <v>1.3925785458749999E-3</v>
      </c>
      <c r="G1426">
        <f t="shared" si="90"/>
        <v>1</v>
      </c>
      <c r="H1426">
        <f t="shared" si="91"/>
        <v>0.16423787500000001</v>
      </c>
    </row>
    <row r="1427" spans="1:8" x14ac:dyDescent="0.25">
      <c r="A1427">
        <v>1127</v>
      </c>
      <c r="B1427">
        <v>3</v>
      </c>
      <c r="C1427">
        <v>7.7825155555555554</v>
      </c>
      <c r="D1427">
        <v>1.238367805555556</v>
      </c>
      <c r="E1427">
        <f t="shared" si="88"/>
        <v>3.2427148148148149E-2</v>
      </c>
      <c r="F1427">
        <f t="shared" si="89"/>
        <v>5.1598658564814834E-3</v>
      </c>
      <c r="G1427">
        <f t="shared" si="90"/>
        <v>1</v>
      </c>
      <c r="H1427">
        <f t="shared" si="91"/>
        <v>0.38912577777777779</v>
      </c>
    </row>
    <row r="1428" spans="1:8" x14ac:dyDescent="0.25">
      <c r="A1428">
        <v>1127</v>
      </c>
      <c r="B1428">
        <v>4</v>
      </c>
      <c r="C1428">
        <v>0.83189999999999997</v>
      </c>
      <c r="D1428">
        <v>0.51460370370361108</v>
      </c>
      <c r="E1428">
        <f t="shared" si="88"/>
        <v>3.4662500000000001E-3</v>
      </c>
      <c r="F1428">
        <f t="shared" si="89"/>
        <v>2.1441820987650462E-3</v>
      </c>
      <c r="G1428">
        <f t="shared" si="90"/>
        <v>1</v>
      </c>
      <c r="H1428">
        <f t="shared" si="91"/>
        <v>4.1595E-2</v>
      </c>
    </row>
    <row r="1429" spans="1:8" x14ac:dyDescent="0.25">
      <c r="A1429">
        <v>1127</v>
      </c>
      <c r="B1429">
        <v>5</v>
      </c>
      <c r="C1429">
        <v>0.2354397222222222</v>
      </c>
      <c r="D1429">
        <v>0.2155323333333333</v>
      </c>
      <c r="E1429">
        <f t="shared" si="88"/>
        <v>9.8099884259259256E-4</v>
      </c>
      <c r="F1429">
        <f t="shared" si="89"/>
        <v>8.9805138888888884E-4</v>
      </c>
      <c r="G1429">
        <f t="shared" si="90"/>
        <v>1</v>
      </c>
      <c r="H1429">
        <f t="shared" si="91"/>
        <v>1.1771986111111112E-2</v>
      </c>
    </row>
    <row r="1430" spans="1:8" x14ac:dyDescent="0.25">
      <c r="A1430">
        <v>1127</v>
      </c>
      <c r="B1430">
        <v>6</v>
      </c>
      <c r="C1430">
        <v>0.24572416666666669</v>
      </c>
      <c r="D1430">
        <v>0.1369440972222222</v>
      </c>
      <c r="E1430">
        <f t="shared" si="88"/>
        <v>1.0238506944444446E-3</v>
      </c>
      <c r="F1430">
        <f t="shared" si="89"/>
        <v>5.7060040509259249E-4</v>
      </c>
      <c r="G1430">
        <f t="shared" si="90"/>
        <v>1</v>
      </c>
      <c r="H1430">
        <f t="shared" si="91"/>
        <v>1.2286208333333336E-2</v>
      </c>
    </row>
    <row r="1431" spans="1:8" x14ac:dyDescent="0.25">
      <c r="A1431">
        <v>1127</v>
      </c>
      <c r="B1431">
        <v>7</v>
      </c>
      <c r="C1431">
        <v>0.18906305555555561</v>
      </c>
      <c r="D1431">
        <v>0.1708710555555556</v>
      </c>
      <c r="E1431">
        <f t="shared" si="88"/>
        <v>7.8776273148148173E-4</v>
      </c>
      <c r="F1431">
        <f t="shared" si="89"/>
        <v>7.1196273148148163E-4</v>
      </c>
      <c r="G1431">
        <f t="shared" si="90"/>
        <v>1</v>
      </c>
      <c r="H1431">
        <f t="shared" si="91"/>
        <v>9.4531527777777808E-3</v>
      </c>
    </row>
    <row r="1432" spans="1:8" x14ac:dyDescent="0.25">
      <c r="A1432">
        <v>1127</v>
      </c>
      <c r="B1432">
        <v>8</v>
      </c>
      <c r="C1432">
        <v>0.1781722222222222</v>
      </c>
      <c r="D1432">
        <v>0.16849710144916669</v>
      </c>
      <c r="E1432">
        <f t="shared" si="88"/>
        <v>7.4238425925925915E-4</v>
      </c>
      <c r="F1432">
        <f t="shared" si="89"/>
        <v>7.0207125603819452E-4</v>
      </c>
      <c r="G1432">
        <f t="shared" si="90"/>
        <v>1</v>
      </c>
      <c r="H1432">
        <f t="shared" si="91"/>
        <v>8.9086111111111102E-3</v>
      </c>
    </row>
    <row r="1433" spans="1:8" x14ac:dyDescent="0.25">
      <c r="A1433">
        <v>1127</v>
      </c>
      <c r="B1433">
        <v>9</v>
      </c>
      <c r="C1433">
        <v>0.18146222222222219</v>
      </c>
      <c r="D1433">
        <v>0.1806483333333333</v>
      </c>
      <c r="E1433">
        <f t="shared" si="88"/>
        <v>7.5609259259259249E-4</v>
      </c>
      <c r="F1433">
        <f t="shared" si="89"/>
        <v>7.5270138888888869E-4</v>
      </c>
      <c r="G1433">
        <f t="shared" si="90"/>
        <v>1</v>
      </c>
      <c r="H1433">
        <f t="shared" si="91"/>
        <v>9.0731111111111099E-3</v>
      </c>
    </row>
    <row r="1434" spans="1:8" x14ac:dyDescent="0.25">
      <c r="A1434">
        <v>1127</v>
      </c>
      <c r="B1434">
        <v>10</v>
      </c>
      <c r="C1434">
        <v>0.1783044444444444</v>
      </c>
      <c r="D1434">
        <v>0.1707409848483333</v>
      </c>
      <c r="E1434">
        <f t="shared" si="88"/>
        <v>7.4293518518518502E-4</v>
      </c>
      <c r="F1434">
        <f t="shared" si="89"/>
        <v>7.1142077020138871E-4</v>
      </c>
      <c r="G1434">
        <f t="shared" si="90"/>
        <v>1</v>
      </c>
      <c r="H1434">
        <f t="shared" si="91"/>
        <v>8.9152222222222202E-3</v>
      </c>
    </row>
    <row r="1435" spans="1:8" x14ac:dyDescent="0.25">
      <c r="A1435">
        <v>1127</v>
      </c>
      <c r="B1435">
        <v>11</v>
      </c>
      <c r="C1435">
        <v>0.32388333333333341</v>
      </c>
      <c r="D1435">
        <v>0.18194426767666669</v>
      </c>
      <c r="E1435">
        <f t="shared" si="88"/>
        <v>1.349513888888889E-3</v>
      </c>
      <c r="F1435">
        <f t="shared" si="89"/>
        <v>7.581011153194446E-4</v>
      </c>
      <c r="G1435">
        <f t="shared" si="90"/>
        <v>1</v>
      </c>
      <c r="H1435">
        <f t="shared" si="91"/>
        <v>1.6194166666666669E-2</v>
      </c>
    </row>
    <row r="1436" spans="1:8" x14ac:dyDescent="0.25">
      <c r="A1436">
        <v>1127</v>
      </c>
      <c r="B1436">
        <v>12</v>
      </c>
      <c r="C1436">
        <v>0.47441055555555561</v>
      </c>
      <c r="D1436">
        <v>0.18920674603166671</v>
      </c>
      <c r="E1436">
        <f t="shared" si="88"/>
        <v>1.9767106481481484E-3</v>
      </c>
      <c r="F1436">
        <f t="shared" si="89"/>
        <v>7.8836144179861127E-4</v>
      </c>
      <c r="G1436">
        <f t="shared" si="90"/>
        <v>1</v>
      </c>
      <c r="H1436">
        <f t="shared" si="91"/>
        <v>2.3720527777777781E-2</v>
      </c>
    </row>
    <row r="1437" spans="1:8" x14ac:dyDescent="0.25">
      <c r="A1437">
        <v>1128</v>
      </c>
      <c r="B1437">
        <v>1</v>
      </c>
      <c r="C1437">
        <v>4.5550000000000006</v>
      </c>
      <c r="D1437">
        <v>3.1819444444444445</v>
      </c>
      <c r="E1437">
        <f t="shared" si="88"/>
        <v>1.8979166666666668E-2</v>
      </c>
      <c r="F1437">
        <f t="shared" si="89"/>
        <v>1.3258101851851853E-2</v>
      </c>
      <c r="G1437">
        <f t="shared" si="90"/>
        <v>1</v>
      </c>
      <c r="H1437">
        <f t="shared" si="91"/>
        <v>0.22775000000000001</v>
      </c>
    </row>
    <row r="1438" spans="1:8" x14ac:dyDescent="0.25">
      <c r="A1438">
        <v>1128</v>
      </c>
      <c r="B1438">
        <v>9</v>
      </c>
      <c r="C1438">
        <v>13.421779722222221</v>
      </c>
      <c r="D1438">
        <v>9.3991901666666671</v>
      </c>
      <c r="E1438">
        <f t="shared" si="88"/>
        <v>5.592408217592592E-2</v>
      </c>
      <c r="F1438">
        <f t="shared" si="89"/>
        <v>3.9163292361111109E-2</v>
      </c>
      <c r="G1438">
        <f t="shared" si="90"/>
        <v>1</v>
      </c>
      <c r="H1438">
        <f t="shared" si="91"/>
        <v>0.67108898611111101</v>
      </c>
    </row>
    <row r="1439" spans="1:8" x14ac:dyDescent="0.25">
      <c r="A1439">
        <v>1128</v>
      </c>
      <c r="B1439">
        <v>11</v>
      </c>
      <c r="C1439">
        <v>0.24305750000000001</v>
      </c>
      <c r="D1439">
        <v>0.14598152777777779</v>
      </c>
      <c r="E1439">
        <f t="shared" si="88"/>
        <v>1.0127395833333334E-3</v>
      </c>
      <c r="F1439">
        <f t="shared" si="89"/>
        <v>6.0825636574074081E-4</v>
      </c>
      <c r="G1439">
        <f t="shared" si="90"/>
        <v>1</v>
      </c>
      <c r="H1439">
        <f t="shared" si="91"/>
        <v>1.2152875E-2</v>
      </c>
    </row>
    <row r="1440" spans="1:8" x14ac:dyDescent="0.25">
      <c r="A1440">
        <v>1129</v>
      </c>
      <c r="B1440">
        <v>1</v>
      </c>
      <c r="C1440">
        <v>1.9</v>
      </c>
      <c r="D1440">
        <v>0.98777777777777775</v>
      </c>
      <c r="E1440">
        <f t="shared" si="88"/>
        <v>7.9166666666666673E-3</v>
      </c>
      <c r="F1440">
        <f t="shared" si="89"/>
        <v>4.1157407407407401E-3</v>
      </c>
      <c r="G1440">
        <f t="shared" si="90"/>
        <v>1</v>
      </c>
      <c r="H1440">
        <f t="shared" si="91"/>
        <v>9.5000000000000001E-2</v>
      </c>
    </row>
    <row r="1441" spans="1:8" x14ac:dyDescent="0.25">
      <c r="A1441">
        <v>1129</v>
      </c>
      <c r="B1441">
        <v>4</v>
      </c>
      <c r="C1441">
        <v>1.5346272222222219</v>
      </c>
      <c r="D1441">
        <v>0.56578796296277778</v>
      </c>
      <c r="E1441">
        <f t="shared" si="88"/>
        <v>6.3942800925925912E-3</v>
      </c>
      <c r="F1441">
        <f t="shared" si="89"/>
        <v>2.3574498456782407E-3</v>
      </c>
      <c r="G1441">
        <f t="shared" si="90"/>
        <v>1</v>
      </c>
      <c r="H1441">
        <f t="shared" si="91"/>
        <v>7.673136111111109E-2</v>
      </c>
    </row>
    <row r="1442" spans="1:8" x14ac:dyDescent="0.25">
      <c r="A1442">
        <v>1129</v>
      </c>
      <c r="B1442">
        <v>5</v>
      </c>
      <c r="C1442">
        <v>10.821739722222221</v>
      </c>
      <c r="D1442">
        <v>5.7151548611111114</v>
      </c>
      <c r="E1442">
        <f t="shared" si="88"/>
        <v>4.5090582175925924E-2</v>
      </c>
      <c r="F1442">
        <f t="shared" si="89"/>
        <v>2.3813145254629631E-2</v>
      </c>
      <c r="G1442">
        <f t="shared" si="90"/>
        <v>1</v>
      </c>
      <c r="H1442">
        <f t="shared" si="91"/>
        <v>0.54108698611111106</v>
      </c>
    </row>
    <row r="1443" spans="1:8" x14ac:dyDescent="0.25">
      <c r="A1443">
        <v>1129</v>
      </c>
      <c r="B1443">
        <v>6</v>
      </c>
      <c r="C1443">
        <v>0.13276944444444441</v>
      </c>
      <c r="D1443">
        <v>9.4929563491944438E-2</v>
      </c>
      <c r="E1443">
        <f t="shared" si="88"/>
        <v>5.5320601851851841E-4</v>
      </c>
      <c r="F1443">
        <f t="shared" si="89"/>
        <v>3.9553984788310187E-4</v>
      </c>
      <c r="G1443">
        <f t="shared" si="90"/>
        <v>1</v>
      </c>
      <c r="H1443">
        <f t="shared" si="91"/>
        <v>6.638472222222221E-3</v>
      </c>
    </row>
    <row r="1444" spans="1:8" x14ac:dyDescent="0.25">
      <c r="A1444">
        <v>1129</v>
      </c>
      <c r="B1444">
        <v>7</v>
      </c>
      <c r="C1444">
        <v>0.36123972222222223</v>
      </c>
      <c r="D1444">
        <v>0.199875</v>
      </c>
      <c r="E1444">
        <f t="shared" si="88"/>
        <v>1.5051655092592593E-3</v>
      </c>
      <c r="F1444">
        <f t="shared" si="89"/>
        <v>8.3281249999999989E-4</v>
      </c>
      <c r="G1444">
        <f t="shared" si="90"/>
        <v>1</v>
      </c>
      <c r="H1444">
        <f t="shared" si="91"/>
        <v>1.8061986111111112E-2</v>
      </c>
    </row>
    <row r="1445" spans="1:8" x14ac:dyDescent="0.25">
      <c r="A1445">
        <v>1129</v>
      </c>
      <c r="B1445">
        <v>9</v>
      </c>
      <c r="C1445">
        <v>0.29907194444444452</v>
      </c>
      <c r="D1445">
        <v>0.22380902777777781</v>
      </c>
      <c r="E1445">
        <f t="shared" si="88"/>
        <v>1.2461331018518522E-3</v>
      </c>
      <c r="F1445">
        <f t="shared" si="89"/>
        <v>9.3253761574074083E-4</v>
      </c>
      <c r="G1445">
        <f t="shared" si="90"/>
        <v>1</v>
      </c>
      <c r="H1445">
        <f t="shared" si="91"/>
        <v>1.4953597222222226E-2</v>
      </c>
    </row>
    <row r="1446" spans="1:8" x14ac:dyDescent="0.25">
      <c r="A1446">
        <v>1129</v>
      </c>
      <c r="B1446">
        <v>12</v>
      </c>
      <c r="C1446">
        <v>0.14960916666666671</v>
      </c>
      <c r="D1446">
        <v>0.11474685185166671</v>
      </c>
      <c r="E1446">
        <f t="shared" si="88"/>
        <v>6.2337152777777792E-4</v>
      </c>
      <c r="F1446">
        <f t="shared" si="89"/>
        <v>4.7811188271527791E-4</v>
      </c>
      <c r="G1446">
        <f t="shared" si="90"/>
        <v>1</v>
      </c>
      <c r="H1446">
        <f t="shared" si="91"/>
        <v>7.4804583333333355E-3</v>
      </c>
    </row>
    <row r="1447" spans="1:8" x14ac:dyDescent="0.25">
      <c r="A1447">
        <v>1130</v>
      </c>
      <c r="B1447">
        <v>1</v>
      </c>
      <c r="C1447">
        <v>2.6444444444444444</v>
      </c>
      <c r="D1447">
        <v>1.0438888888888889</v>
      </c>
      <c r="E1447">
        <f t="shared" si="88"/>
        <v>1.1018518518518518E-2</v>
      </c>
      <c r="F1447">
        <f t="shared" si="89"/>
        <v>4.3495370370370372E-3</v>
      </c>
      <c r="G1447">
        <f t="shared" si="90"/>
        <v>1</v>
      </c>
      <c r="H1447">
        <f t="shared" si="91"/>
        <v>0.13222222222222221</v>
      </c>
    </row>
    <row r="1448" spans="1:8" x14ac:dyDescent="0.25">
      <c r="A1448">
        <v>1130</v>
      </c>
      <c r="B1448">
        <v>2</v>
      </c>
      <c r="C1448">
        <v>3.2793102777777778</v>
      </c>
      <c r="D1448">
        <v>1.8585847979797221</v>
      </c>
      <c r="E1448">
        <f t="shared" si="88"/>
        <v>1.3663792824074074E-2</v>
      </c>
      <c r="F1448">
        <f t="shared" si="89"/>
        <v>7.744103324915509E-3</v>
      </c>
      <c r="G1448">
        <f t="shared" si="90"/>
        <v>1</v>
      </c>
      <c r="H1448">
        <f t="shared" si="91"/>
        <v>0.16396551388888889</v>
      </c>
    </row>
    <row r="1449" spans="1:8" x14ac:dyDescent="0.25">
      <c r="A1449">
        <v>1130</v>
      </c>
      <c r="B1449">
        <v>3</v>
      </c>
      <c r="C1449">
        <v>3.501608333333333</v>
      </c>
      <c r="D1449">
        <v>1.831117888888889</v>
      </c>
      <c r="E1449">
        <f t="shared" si="88"/>
        <v>1.4590034722222221E-2</v>
      </c>
      <c r="F1449">
        <f t="shared" si="89"/>
        <v>7.629657870370371E-3</v>
      </c>
      <c r="G1449">
        <f t="shared" si="90"/>
        <v>1</v>
      </c>
      <c r="H1449">
        <f t="shared" si="91"/>
        <v>0.17508041666666666</v>
      </c>
    </row>
    <row r="1450" spans="1:8" x14ac:dyDescent="0.25">
      <c r="A1450">
        <v>1130</v>
      </c>
      <c r="B1450">
        <v>4</v>
      </c>
      <c r="C1450">
        <v>4.4327019444444442</v>
      </c>
      <c r="D1450">
        <v>1.1109985185183331</v>
      </c>
      <c r="E1450">
        <f t="shared" si="88"/>
        <v>1.8469591435185184E-2</v>
      </c>
      <c r="F1450">
        <f t="shared" si="89"/>
        <v>4.629160493826388E-3</v>
      </c>
      <c r="G1450">
        <f t="shared" si="90"/>
        <v>1</v>
      </c>
      <c r="H1450">
        <f t="shared" si="91"/>
        <v>0.22163509722222219</v>
      </c>
    </row>
    <row r="1451" spans="1:8" x14ac:dyDescent="0.25">
      <c r="A1451">
        <v>1130</v>
      </c>
      <c r="B1451">
        <v>5</v>
      </c>
      <c r="C1451">
        <v>2.0073536111111112</v>
      </c>
      <c r="D1451">
        <v>0.41761555555555557</v>
      </c>
      <c r="E1451">
        <f t="shared" si="88"/>
        <v>8.3639733796296301E-3</v>
      </c>
      <c r="F1451">
        <f t="shared" si="89"/>
        <v>1.7400648148148149E-3</v>
      </c>
      <c r="G1451">
        <f t="shared" si="90"/>
        <v>1</v>
      </c>
      <c r="H1451">
        <f t="shared" si="91"/>
        <v>0.10036768055555556</v>
      </c>
    </row>
    <row r="1452" spans="1:8" x14ac:dyDescent="0.25">
      <c r="A1452">
        <v>1131</v>
      </c>
      <c r="B1452">
        <v>1</v>
      </c>
      <c r="C1452">
        <v>1.1008333333333333</v>
      </c>
      <c r="D1452">
        <v>0.42888888888888893</v>
      </c>
      <c r="E1452">
        <f t="shared" si="88"/>
        <v>4.5868055555555558E-3</v>
      </c>
      <c r="F1452">
        <f t="shared" si="89"/>
        <v>1.7870370370370373E-3</v>
      </c>
      <c r="G1452">
        <f t="shared" si="90"/>
        <v>1</v>
      </c>
      <c r="H1452">
        <f t="shared" si="91"/>
        <v>5.5041666666666669E-2</v>
      </c>
    </row>
    <row r="1453" spans="1:8" x14ac:dyDescent="0.25">
      <c r="A1453">
        <v>1131</v>
      </c>
      <c r="B1453">
        <v>3</v>
      </c>
      <c r="C1453">
        <v>2.1230852777777778</v>
      </c>
      <c r="D1453">
        <v>0.94769878472222224</v>
      </c>
      <c r="E1453">
        <f t="shared" si="88"/>
        <v>8.8461886574074076E-3</v>
      </c>
      <c r="F1453">
        <f t="shared" si="89"/>
        <v>3.9487449363425926E-3</v>
      </c>
      <c r="G1453">
        <f t="shared" si="90"/>
        <v>1</v>
      </c>
      <c r="H1453">
        <f t="shared" si="91"/>
        <v>0.10615426388888889</v>
      </c>
    </row>
    <row r="1454" spans="1:8" x14ac:dyDescent="0.25">
      <c r="A1454">
        <v>1131</v>
      </c>
      <c r="B1454">
        <v>4</v>
      </c>
      <c r="C1454">
        <v>2.1591999999999998</v>
      </c>
      <c r="D1454">
        <v>0.84839247354472225</v>
      </c>
      <c r="E1454">
        <f t="shared" si="88"/>
        <v>8.996666666666665E-3</v>
      </c>
      <c r="F1454">
        <f t="shared" si="89"/>
        <v>3.5349686397696759E-3</v>
      </c>
      <c r="G1454">
        <f t="shared" si="90"/>
        <v>1</v>
      </c>
      <c r="H1454">
        <f t="shared" si="91"/>
        <v>0.10795999999999997</v>
      </c>
    </row>
    <row r="1455" spans="1:8" x14ac:dyDescent="0.25">
      <c r="A1455">
        <v>1131</v>
      </c>
      <c r="B1455">
        <v>5</v>
      </c>
      <c r="C1455">
        <v>4.0510719444444447</v>
      </c>
      <c r="D1455">
        <v>1.1585420833333331</v>
      </c>
      <c r="E1455">
        <f t="shared" si="88"/>
        <v>1.6879466435185186E-2</v>
      </c>
      <c r="F1455">
        <f t="shared" si="89"/>
        <v>4.8272586805555547E-3</v>
      </c>
      <c r="G1455">
        <f t="shared" si="90"/>
        <v>1</v>
      </c>
      <c r="H1455">
        <f t="shared" si="91"/>
        <v>0.20255359722222221</v>
      </c>
    </row>
    <row r="1456" spans="1:8" x14ac:dyDescent="0.25">
      <c r="A1456">
        <v>1131</v>
      </c>
      <c r="B1456">
        <v>6</v>
      </c>
      <c r="C1456">
        <v>0.80455861111111115</v>
      </c>
      <c r="D1456">
        <v>0.41015046783611109</v>
      </c>
      <c r="E1456">
        <f t="shared" si="88"/>
        <v>3.3523275462962964E-3</v>
      </c>
      <c r="F1456">
        <f t="shared" si="89"/>
        <v>1.7089602826504628E-3</v>
      </c>
      <c r="G1456">
        <f t="shared" si="90"/>
        <v>1</v>
      </c>
      <c r="H1456">
        <f t="shared" si="91"/>
        <v>4.0227930555555555E-2</v>
      </c>
    </row>
    <row r="1457" spans="1:8" x14ac:dyDescent="0.25">
      <c r="A1457">
        <v>1131</v>
      </c>
      <c r="B1457">
        <v>7</v>
      </c>
      <c r="C1457">
        <v>0.60826277777777782</v>
      </c>
      <c r="D1457">
        <v>0.24934466931194441</v>
      </c>
      <c r="E1457">
        <f t="shared" si="88"/>
        <v>2.5344282407407412E-3</v>
      </c>
      <c r="F1457">
        <f t="shared" si="89"/>
        <v>1.0389361221331017E-3</v>
      </c>
      <c r="G1457">
        <f t="shared" si="90"/>
        <v>1</v>
      </c>
      <c r="H1457">
        <f t="shared" si="91"/>
        <v>3.0413138888888892E-2</v>
      </c>
    </row>
    <row r="1458" spans="1:8" x14ac:dyDescent="0.25">
      <c r="A1458">
        <v>1131</v>
      </c>
      <c r="B1458">
        <v>8</v>
      </c>
      <c r="C1458">
        <v>0.31740249999999998</v>
      </c>
      <c r="D1458">
        <v>0.19616614734277779</v>
      </c>
      <c r="E1458">
        <f t="shared" si="88"/>
        <v>1.3225104166666665E-3</v>
      </c>
      <c r="F1458">
        <f t="shared" si="89"/>
        <v>8.173589472615741E-4</v>
      </c>
      <c r="G1458">
        <f t="shared" si="90"/>
        <v>1</v>
      </c>
      <c r="H1458">
        <f t="shared" si="91"/>
        <v>1.5870124999999999E-2</v>
      </c>
    </row>
    <row r="1459" spans="1:8" x14ac:dyDescent="0.25">
      <c r="A1459">
        <v>1131</v>
      </c>
      <c r="B1459">
        <v>9</v>
      </c>
      <c r="C1459">
        <v>0.2634313888888889</v>
      </c>
      <c r="D1459">
        <v>0.20703325</v>
      </c>
      <c r="E1459">
        <f t="shared" si="88"/>
        <v>1.0976307870370369E-3</v>
      </c>
      <c r="F1459">
        <f t="shared" si="89"/>
        <v>8.626385416666667E-4</v>
      </c>
      <c r="G1459">
        <f t="shared" si="90"/>
        <v>1</v>
      </c>
      <c r="H1459">
        <f t="shared" si="91"/>
        <v>1.3171569444444444E-2</v>
      </c>
    </row>
    <row r="1460" spans="1:8" x14ac:dyDescent="0.25">
      <c r="A1460">
        <v>1131</v>
      </c>
      <c r="B1460">
        <v>10</v>
      </c>
      <c r="C1460">
        <v>0.88964138888888888</v>
      </c>
      <c r="D1460">
        <v>0.25134472222222221</v>
      </c>
      <c r="E1460">
        <f t="shared" si="88"/>
        <v>3.7068391203703703E-3</v>
      </c>
      <c r="F1460">
        <f t="shared" si="89"/>
        <v>1.0472696759259259E-3</v>
      </c>
      <c r="G1460">
        <f t="shared" si="90"/>
        <v>1</v>
      </c>
      <c r="H1460">
        <f t="shared" si="91"/>
        <v>4.4482069444444446E-2</v>
      </c>
    </row>
    <row r="1461" spans="1:8" x14ac:dyDescent="0.25">
      <c r="A1461">
        <v>1131</v>
      </c>
      <c r="B1461">
        <v>11</v>
      </c>
      <c r="C1461">
        <v>0.61681416666666666</v>
      </c>
      <c r="D1461">
        <v>0.23821319444444439</v>
      </c>
      <c r="E1461">
        <f t="shared" si="88"/>
        <v>2.5700590277777779E-3</v>
      </c>
      <c r="F1461">
        <f t="shared" si="89"/>
        <v>9.9255497685185167E-4</v>
      </c>
      <c r="G1461">
        <f t="shared" si="90"/>
        <v>1</v>
      </c>
      <c r="H1461">
        <f t="shared" si="91"/>
        <v>3.0840708333333335E-2</v>
      </c>
    </row>
    <row r="1462" spans="1:8" x14ac:dyDescent="0.25">
      <c r="A1462">
        <v>1131</v>
      </c>
      <c r="B1462">
        <v>12</v>
      </c>
      <c r="C1462">
        <v>0.27378805555555558</v>
      </c>
      <c r="D1462">
        <v>0.20833067460305549</v>
      </c>
      <c r="E1462">
        <f t="shared" si="88"/>
        <v>1.140783564814815E-3</v>
      </c>
      <c r="F1462">
        <f t="shared" si="89"/>
        <v>8.6804447751273118E-4</v>
      </c>
      <c r="G1462">
        <f t="shared" si="90"/>
        <v>1</v>
      </c>
      <c r="H1462">
        <f t="shared" si="91"/>
        <v>1.368940277777778E-2</v>
      </c>
    </row>
    <row r="1463" spans="1:8" x14ac:dyDescent="0.25">
      <c r="A1463">
        <v>1132</v>
      </c>
      <c r="B1463">
        <v>1</v>
      </c>
      <c r="C1463">
        <v>0.97888888888888892</v>
      </c>
      <c r="D1463">
        <v>0.50249999999999995</v>
      </c>
      <c r="E1463">
        <f t="shared" si="88"/>
        <v>4.0787037037037033E-3</v>
      </c>
      <c r="F1463">
        <f t="shared" si="89"/>
        <v>2.0937499999999997E-3</v>
      </c>
      <c r="G1463">
        <f t="shared" si="90"/>
        <v>1</v>
      </c>
      <c r="H1463">
        <f t="shared" si="91"/>
        <v>4.8944444444444443E-2</v>
      </c>
    </row>
    <row r="1464" spans="1:8" x14ac:dyDescent="0.25">
      <c r="A1464">
        <v>1132</v>
      </c>
      <c r="B1464">
        <v>2</v>
      </c>
      <c r="C1464">
        <v>0.2605352777777778</v>
      </c>
      <c r="D1464">
        <v>0.23241624999999999</v>
      </c>
      <c r="E1464">
        <f t="shared" si="88"/>
        <v>1.0855636574074075E-3</v>
      </c>
      <c r="F1464">
        <f t="shared" si="89"/>
        <v>9.6840104166666656E-4</v>
      </c>
      <c r="G1464">
        <f t="shared" si="90"/>
        <v>1</v>
      </c>
      <c r="H1464">
        <f t="shared" si="91"/>
        <v>1.302676388888889E-2</v>
      </c>
    </row>
    <row r="1465" spans="1:8" x14ac:dyDescent="0.25">
      <c r="A1465">
        <v>1132</v>
      </c>
      <c r="B1465">
        <v>3</v>
      </c>
      <c r="C1465">
        <v>0.13939166666666669</v>
      </c>
      <c r="D1465">
        <v>0.1318438888888889</v>
      </c>
      <c r="E1465">
        <f t="shared" si="88"/>
        <v>5.8079861111111125E-4</v>
      </c>
      <c r="F1465">
        <f t="shared" si="89"/>
        <v>5.493495370370371E-4</v>
      </c>
      <c r="G1465">
        <f t="shared" si="90"/>
        <v>1</v>
      </c>
      <c r="H1465">
        <f t="shared" si="91"/>
        <v>6.9695833333333346E-3</v>
      </c>
    </row>
    <row r="1466" spans="1:8" x14ac:dyDescent="0.25">
      <c r="A1466">
        <v>1132</v>
      </c>
      <c r="B1466">
        <v>4</v>
      </c>
      <c r="C1466">
        <v>0.1692852777777778</v>
      </c>
      <c r="D1466">
        <v>0.1602454166666667</v>
      </c>
      <c r="E1466">
        <f t="shared" si="88"/>
        <v>7.0535532407407407E-4</v>
      </c>
      <c r="F1466">
        <f t="shared" si="89"/>
        <v>6.676892361111112E-4</v>
      </c>
      <c r="G1466">
        <f t="shared" si="90"/>
        <v>1</v>
      </c>
      <c r="H1466">
        <f t="shared" si="91"/>
        <v>8.4642638888888892E-3</v>
      </c>
    </row>
    <row r="1467" spans="1:8" x14ac:dyDescent="0.25">
      <c r="A1467">
        <v>1132</v>
      </c>
      <c r="B1467">
        <v>5</v>
      </c>
      <c r="C1467">
        <v>0.24629444444444451</v>
      </c>
      <c r="D1467">
        <v>0.23246055555555559</v>
      </c>
      <c r="E1467">
        <f t="shared" si="88"/>
        <v>1.0262268518518522E-3</v>
      </c>
      <c r="F1467">
        <f t="shared" si="89"/>
        <v>9.6858564814814821E-4</v>
      </c>
      <c r="G1467">
        <f t="shared" si="90"/>
        <v>1</v>
      </c>
      <c r="H1467">
        <f t="shared" si="91"/>
        <v>1.2314722222222227E-2</v>
      </c>
    </row>
    <row r="1468" spans="1:8" x14ac:dyDescent="0.25">
      <c r="A1468">
        <v>1132</v>
      </c>
      <c r="B1468">
        <v>6</v>
      </c>
      <c r="C1468">
        <v>0.18796305555555559</v>
      </c>
      <c r="D1468">
        <v>0.13092703703694439</v>
      </c>
      <c r="E1468">
        <f t="shared" si="88"/>
        <v>7.831793981481483E-4</v>
      </c>
      <c r="F1468">
        <f t="shared" si="89"/>
        <v>5.4552932098726823E-4</v>
      </c>
      <c r="G1468">
        <f t="shared" si="90"/>
        <v>1</v>
      </c>
      <c r="H1468">
        <f t="shared" si="91"/>
        <v>9.3981527777777796E-3</v>
      </c>
    </row>
    <row r="1469" spans="1:8" x14ac:dyDescent="0.25">
      <c r="A1469">
        <v>1132</v>
      </c>
      <c r="B1469">
        <v>7</v>
      </c>
      <c r="C1469">
        <v>0.1084313888888889</v>
      </c>
      <c r="D1469">
        <v>0.1084313888888889</v>
      </c>
      <c r="E1469">
        <f t="shared" si="88"/>
        <v>4.5179745370370377E-4</v>
      </c>
      <c r="F1469">
        <f t="shared" si="89"/>
        <v>4.5179745370370377E-4</v>
      </c>
      <c r="G1469">
        <f t="shared" si="90"/>
        <v>1</v>
      </c>
      <c r="H1469">
        <f t="shared" si="91"/>
        <v>5.421569444444445E-3</v>
      </c>
    </row>
    <row r="1470" spans="1:8" x14ac:dyDescent="0.25">
      <c r="A1470">
        <v>1132</v>
      </c>
      <c r="B1470">
        <v>8</v>
      </c>
      <c r="C1470">
        <v>4.5673083333333331</v>
      </c>
      <c r="D1470">
        <v>1.6546883333333331</v>
      </c>
      <c r="E1470">
        <f t="shared" si="88"/>
        <v>1.9030451388888887E-2</v>
      </c>
      <c r="F1470">
        <f t="shared" si="89"/>
        <v>6.8945347222222212E-3</v>
      </c>
      <c r="G1470">
        <f t="shared" si="90"/>
        <v>1</v>
      </c>
      <c r="H1470">
        <f t="shared" si="91"/>
        <v>0.22836541666666665</v>
      </c>
    </row>
    <row r="1471" spans="1:8" x14ac:dyDescent="0.25">
      <c r="A1471">
        <v>1132</v>
      </c>
      <c r="B1471">
        <v>9</v>
      </c>
      <c r="C1471">
        <v>0.92737861111111108</v>
      </c>
      <c r="D1471">
        <v>0.58428986111111114</v>
      </c>
      <c r="E1471">
        <f t="shared" si="88"/>
        <v>3.8640775462962964E-3</v>
      </c>
      <c r="F1471">
        <f t="shared" si="89"/>
        <v>2.434541087962963E-3</v>
      </c>
      <c r="G1471">
        <f t="shared" si="90"/>
        <v>1</v>
      </c>
      <c r="H1471">
        <f t="shared" si="91"/>
        <v>4.6368930555555556E-2</v>
      </c>
    </row>
    <row r="1472" spans="1:8" x14ac:dyDescent="0.25">
      <c r="A1472">
        <v>1132</v>
      </c>
      <c r="B1472">
        <v>10</v>
      </c>
      <c r="C1472">
        <v>1.699039722222222</v>
      </c>
      <c r="D1472">
        <v>0.93875694444444446</v>
      </c>
      <c r="E1472">
        <f t="shared" si="88"/>
        <v>7.0793321759259247E-3</v>
      </c>
      <c r="F1472">
        <f t="shared" si="89"/>
        <v>3.911487268518519E-3</v>
      </c>
      <c r="G1472">
        <f t="shared" si="90"/>
        <v>1</v>
      </c>
      <c r="H1472">
        <f t="shared" si="91"/>
        <v>8.49519861111111E-2</v>
      </c>
    </row>
    <row r="1473" spans="1:8" x14ac:dyDescent="0.25">
      <c r="A1473">
        <v>1132</v>
      </c>
      <c r="B1473">
        <v>11</v>
      </c>
      <c r="C1473">
        <v>2.5626666666666669</v>
      </c>
      <c r="D1473">
        <v>1.4820577777777779</v>
      </c>
      <c r="E1473">
        <f t="shared" si="88"/>
        <v>1.0677777777777779E-2</v>
      </c>
      <c r="F1473">
        <f t="shared" si="89"/>
        <v>6.1752407407407416E-3</v>
      </c>
      <c r="G1473">
        <f t="shared" si="90"/>
        <v>1</v>
      </c>
      <c r="H1473">
        <f t="shared" si="91"/>
        <v>0.12813333333333335</v>
      </c>
    </row>
    <row r="1474" spans="1:8" x14ac:dyDescent="0.25">
      <c r="A1474">
        <v>1132</v>
      </c>
      <c r="B1474">
        <v>12</v>
      </c>
      <c r="C1474">
        <v>0.87666861111111116</v>
      </c>
      <c r="D1474">
        <v>0.37235166666666669</v>
      </c>
      <c r="E1474">
        <f t="shared" ref="E1474:E1537" si="92">+C1474/20/12</f>
        <v>3.65278587962963E-3</v>
      </c>
      <c r="F1474">
        <f t="shared" ref="F1474:F1537" si="93">+D1474/20/12</f>
        <v>1.5514652777777777E-3</v>
      </c>
      <c r="G1474">
        <f t="shared" ref="G1474:G1537" si="94">+ROUNDUP(E1474*12,0)</f>
        <v>1</v>
      </c>
      <c r="H1474">
        <f t="shared" ref="H1474:H1537" si="95">+E1474*12</f>
        <v>4.383343055555556E-2</v>
      </c>
    </row>
    <row r="1475" spans="1:8" x14ac:dyDescent="0.25">
      <c r="A1475">
        <v>1133</v>
      </c>
      <c r="B1475">
        <v>1</v>
      </c>
      <c r="C1475">
        <v>0.87277777777777776</v>
      </c>
      <c r="D1475">
        <v>0.42777777777777781</v>
      </c>
      <c r="E1475">
        <f t="shared" si="92"/>
        <v>3.6365740740740738E-3</v>
      </c>
      <c r="F1475">
        <f t="shared" si="93"/>
        <v>1.7824074074074077E-3</v>
      </c>
      <c r="G1475">
        <f t="shared" si="94"/>
        <v>1</v>
      </c>
      <c r="H1475">
        <f t="shared" si="95"/>
        <v>4.3638888888888887E-2</v>
      </c>
    </row>
    <row r="1476" spans="1:8" x14ac:dyDescent="0.25">
      <c r="A1476">
        <v>1133</v>
      </c>
      <c r="B1476">
        <v>2</v>
      </c>
      <c r="C1476">
        <v>0.81414249999999999</v>
      </c>
      <c r="D1476">
        <v>0.45791492424222219</v>
      </c>
      <c r="E1476">
        <f t="shared" si="92"/>
        <v>3.3922604166666663E-3</v>
      </c>
      <c r="F1476">
        <f t="shared" si="93"/>
        <v>1.907978851009259E-3</v>
      </c>
      <c r="G1476">
        <f t="shared" si="94"/>
        <v>1</v>
      </c>
      <c r="H1476">
        <f t="shared" si="95"/>
        <v>4.0707124999999997E-2</v>
      </c>
    </row>
    <row r="1477" spans="1:8" x14ac:dyDescent="0.25">
      <c r="A1477">
        <v>1133</v>
      </c>
      <c r="B1477">
        <v>3</v>
      </c>
      <c r="C1477">
        <v>0.73426388888888894</v>
      </c>
      <c r="D1477">
        <v>0.47429351388888891</v>
      </c>
      <c r="E1477">
        <f t="shared" si="92"/>
        <v>3.0594328703703703E-3</v>
      </c>
      <c r="F1477">
        <f t="shared" si="93"/>
        <v>1.9762229745370371E-3</v>
      </c>
      <c r="G1477">
        <f t="shared" si="94"/>
        <v>1</v>
      </c>
      <c r="H1477">
        <f t="shared" si="95"/>
        <v>3.6713194444444444E-2</v>
      </c>
    </row>
    <row r="1478" spans="1:8" x14ac:dyDescent="0.25">
      <c r="A1478">
        <v>1133</v>
      </c>
      <c r="B1478">
        <v>4</v>
      </c>
      <c r="C1478">
        <v>0.72152777777777777</v>
      </c>
      <c r="D1478">
        <v>0.4753936243386111</v>
      </c>
      <c r="E1478">
        <f t="shared" si="92"/>
        <v>3.0063657407407404E-3</v>
      </c>
      <c r="F1478">
        <f t="shared" si="93"/>
        <v>1.9808067680775463E-3</v>
      </c>
      <c r="G1478">
        <f t="shared" si="94"/>
        <v>1</v>
      </c>
      <c r="H1478">
        <f t="shared" si="95"/>
        <v>3.6076388888888887E-2</v>
      </c>
    </row>
    <row r="1479" spans="1:8" x14ac:dyDescent="0.25">
      <c r="A1479">
        <v>1133</v>
      </c>
      <c r="B1479">
        <v>5</v>
      </c>
      <c r="C1479">
        <v>2.077034166666667</v>
      </c>
      <c r="D1479">
        <v>0.565749375</v>
      </c>
      <c r="E1479">
        <f t="shared" si="92"/>
        <v>8.654309027777779E-3</v>
      </c>
      <c r="F1479">
        <f t="shared" si="93"/>
        <v>2.3572890624999998E-3</v>
      </c>
      <c r="G1479">
        <f t="shared" si="94"/>
        <v>1</v>
      </c>
      <c r="H1479">
        <f t="shared" si="95"/>
        <v>0.10385170833333335</v>
      </c>
    </row>
    <row r="1480" spans="1:8" x14ac:dyDescent="0.25">
      <c r="A1480">
        <v>1133</v>
      </c>
      <c r="B1480">
        <v>6</v>
      </c>
      <c r="C1480">
        <v>0.84683249999999999</v>
      </c>
      <c r="D1480">
        <v>0.44330656944444452</v>
      </c>
      <c r="E1480">
        <f t="shared" si="92"/>
        <v>3.5284687499999999E-3</v>
      </c>
      <c r="F1480">
        <f t="shared" si="93"/>
        <v>1.8471107060185187E-3</v>
      </c>
      <c r="G1480">
        <f t="shared" si="94"/>
        <v>1</v>
      </c>
      <c r="H1480">
        <f t="shared" si="95"/>
        <v>4.2341625000000001E-2</v>
      </c>
    </row>
    <row r="1481" spans="1:8" x14ac:dyDescent="0.25">
      <c r="A1481">
        <v>1133</v>
      </c>
      <c r="B1481">
        <v>7</v>
      </c>
      <c r="C1481">
        <v>1.4370341666666671</v>
      </c>
      <c r="D1481">
        <v>0.47917129166666672</v>
      </c>
      <c r="E1481">
        <f t="shared" si="92"/>
        <v>5.987642361111112E-3</v>
      </c>
      <c r="F1481">
        <f t="shared" si="93"/>
        <v>1.9965470486111112E-3</v>
      </c>
      <c r="G1481">
        <f t="shared" si="94"/>
        <v>1</v>
      </c>
      <c r="H1481">
        <f t="shared" si="95"/>
        <v>7.1851708333333347E-2</v>
      </c>
    </row>
    <row r="1482" spans="1:8" x14ac:dyDescent="0.25">
      <c r="A1482">
        <v>1133</v>
      </c>
      <c r="B1482">
        <v>8</v>
      </c>
      <c r="C1482">
        <v>0.83144444444444443</v>
      </c>
      <c r="D1482">
        <v>0.44999431159416658</v>
      </c>
      <c r="E1482">
        <f t="shared" si="92"/>
        <v>3.4643518518518517E-3</v>
      </c>
      <c r="F1482">
        <f t="shared" si="93"/>
        <v>1.8749762983090274E-3</v>
      </c>
      <c r="G1482">
        <f t="shared" si="94"/>
        <v>1</v>
      </c>
      <c r="H1482">
        <f t="shared" si="95"/>
        <v>4.1572222222222219E-2</v>
      </c>
    </row>
    <row r="1483" spans="1:8" x14ac:dyDescent="0.25">
      <c r="A1483">
        <v>1133</v>
      </c>
      <c r="B1483">
        <v>9</v>
      </c>
      <c r="C1483">
        <v>0.97654166666666664</v>
      </c>
      <c r="D1483">
        <v>0.50648870833333337</v>
      </c>
      <c r="E1483">
        <f t="shared" si="92"/>
        <v>4.0689236111111108E-3</v>
      </c>
      <c r="F1483">
        <f t="shared" si="93"/>
        <v>2.1103696180555559E-3</v>
      </c>
      <c r="G1483">
        <f t="shared" si="94"/>
        <v>1</v>
      </c>
      <c r="H1483">
        <f t="shared" si="95"/>
        <v>4.8827083333333327E-2</v>
      </c>
    </row>
    <row r="1484" spans="1:8" x14ac:dyDescent="0.25">
      <c r="A1484">
        <v>1133</v>
      </c>
      <c r="B1484">
        <v>10</v>
      </c>
      <c r="C1484">
        <v>0.55784999999999996</v>
      </c>
      <c r="D1484">
        <v>0.36738231060583332</v>
      </c>
      <c r="E1484">
        <f t="shared" si="92"/>
        <v>2.3243749999999996E-3</v>
      </c>
      <c r="F1484">
        <f t="shared" si="93"/>
        <v>1.5307596275243055E-3</v>
      </c>
      <c r="G1484">
        <f t="shared" si="94"/>
        <v>1</v>
      </c>
      <c r="H1484">
        <f t="shared" si="95"/>
        <v>2.7892499999999994E-2</v>
      </c>
    </row>
    <row r="1485" spans="1:8" x14ac:dyDescent="0.25">
      <c r="A1485">
        <v>1133</v>
      </c>
      <c r="B1485">
        <v>11</v>
      </c>
      <c r="C1485">
        <v>0.85242305555555553</v>
      </c>
      <c r="D1485">
        <v>0.57086337121194441</v>
      </c>
      <c r="E1485">
        <f t="shared" si="92"/>
        <v>3.5517627314814813E-3</v>
      </c>
      <c r="F1485">
        <f t="shared" si="93"/>
        <v>2.3785973800497687E-3</v>
      </c>
      <c r="G1485">
        <f t="shared" si="94"/>
        <v>1</v>
      </c>
      <c r="H1485">
        <f t="shared" si="95"/>
        <v>4.2621152777777775E-2</v>
      </c>
    </row>
    <row r="1486" spans="1:8" x14ac:dyDescent="0.25">
      <c r="A1486">
        <v>1133</v>
      </c>
      <c r="B1486">
        <v>12</v>
      </c>
      <c r="C1486">
        <v>0.62208055555555553</v>
      </c>
      <c r="D1486">
        <v>0.3418630026452778</v>
      </c>
      <c r="E1486">
        <f t="shared" si="92"/>
        <v>2.5920023148148148E-3</v>
      </c>
      <c r="F1486">
        <f t="shared" si="93"/>
        <v>1.4244291776886575E-3</v>
      </c>
      <c r="G1486">
        <f t="shared" si="94"/>
        <v>1</v>
      </c>
      <c r="H1486">
        <f t="shared" si="95"/>
        <v>3.1104027777777779E-2</v>
      </c>
    </row>
    <row r="1487" spans="1:8" x14ac:dyDescent="0.25">
      <c r="A1487">
        <v>1134</v>
      </c>
      <c r="B1487">
        <v>1</v>
      </c>
      <c r="C1487">
        <v>1.0411111111111111</v>
      </c>
      <c r="D1487">
        <v>0.55083333333333329</v>
      </c>
      <c r="E1487">
        <f t="shared" si="92"/>
        <v>4.3379629629629627E-3</v>
      </c>
      <c r="F1487">
        <f t="shared" si="93"/>
        <v>2.2951388888888887E-3</v>
      </c>
      <c r="G1487">
        <f t="shared" si="94"/>
        <v>1</v>
      </c>
      <c r="H1487">
        <f t="shared" si="95"/>
        <v>5.2055555555555549E-2</v>
      </c>
    </row>
    <row r="1488" spans="1:8" x14ac:dyDescent="0.25">
      <c r="A1488">
        <v>1134</v>
      </c>
      <c r="B1488">
        <v>3</v>
      </c>
      <c r="C1488">
        <v>1.8425E-2</v>
      </c>
      <c r="D1488">
        <v>1.8425E-2</v>
      </c>
      <c r="E1488">
        <f t="shared" si="92"/>
        <v>7.6770833333333327E-5</v>
      </c>
      <c r="F1488">
        <f t="shared" si="93"/>
        <v>7.6770833333333327E-5</v>
      </c>
      <c r="G1488">
        <f t="shared" si="94"/>
        <v>1</v>
      </c>
      <c r="H1488">
        <f t="shared" si="95"/>
        <v>9.2124999999999998E-4</v>
      </c>
    </row>
    <row r="1489" spans="1:8" x14ac:dyDescent="0.25">
      <c r="A1489">
        <v>1134</v>
      </c>
      <c r="B1489">
        <v>4</v>
      </c>
      <c r="C1489">
        <v>0.85352666666666666</v>
      </c>
      <c r="D1489">
        <v>0.25484065476166667</v>
      </c>
      <c r="E1489">
        <f t="shared" si="92"/>
        <v>3.5563611111111108E-3</v>
      </c>
      <c r="F1489">
        <f t="shared" si="93"/>
        <v>1.0618360615069445E-3</v>
      </c>
      <c r="G1489">
        <f t="shared" si="94"/>
        <v>1</v>
      </c>
      <c r="H1489">
        <f t="shared" si="95"/>
        <v>4.267633333333333E-2</v>
      </c>
    </row>
    <row r="1490" spans="1:8" x14ac:dyDescent="0.25">
      <c r="A1490">
        <v>1134</v>
      </c>
      <c r="B1490">
        <v>5</v>
      </c>
      <c r="C1490">
        <v>3.3270922222222219</v>
      </c>
      <c r="D1490">
        <v>1.4132484027777781</v>
      </c>
      <c r="E1490">
        <f t="shared" si="92"/>
        <v>1.3862884259259259E-2</v>
      </c>
      <c r="F1490">
        <f t="shared" si="93"/>
        <v>5.8885350115740753E-3</v>
      </c>
      <c r="G1490">
        <f t="shared" si="94"/>
        <v>1</v>
      </c>
      <c r="H1490">
        <f t="shared" si="95"/>
        <v>0.16635461111111111</v>
      </c>
    </row>
    <row r="1491" spans="1:8" x14ac:dyDescent="0.25">
      <c r="A1491">
        <v>1134</v>
      </c>
      <c r="B1491">
        <v>6</v>
      </c>
      <c r="C1491">
        <v>3.050871388888889</v>
      </c>
      <c r="D1491">
        <v>1.596639083333333</v>
      </c>
      <c r="E1491">
        <f t="shared" si="92"/>
        <v>1.2711964120370371E-2</v>
      </c>
      <c r="F1491">
        <f t="shared" si="93"/>
        <v>6.6526628472222205E-3</v>
      </c>
      <c r="G1491">
        <f t="shared" si="94"/>
        <v>1</v>
      </c>
      <c r="H1491">
        <f t="shared" si="95"/>
        <v>0.15254356944444444</v>
      </c>
    </row>
    <row r="1492" spans="1:8" x14ac:dyDescent="0.25">
      <c r="A1492">
        <v>1134</v>
      </c>
      <c r="B1492">
        <v>7</v>
      </c>
      <c r="C1492">
        <v>1.1039166666666671</v>
      </c>
      <c r="D1492">
        <v>0.63648527777777775</v>
      </c>
      <c r="E1492">
        <f t="shared" si="92"/>
        <v>4.5996527777777798E-3</v>
      </c>
      <c r="F1492">
        <f t="shared" si="93"/>
        <v>2.6520219907407404E-3</v>
      </c>
      <c r="G1492">
        <f t="shared" si="94"/>
        <v>1</v>
      </c>
      <c r="H1492">
        <f t="shared" si="95"/>
        <v>5.5195833333333361E-2</v>
      </c>
    </row>
    <row r="1493" spans="1:8" x14ac:dyDescent="0.25">
      <c r="A1493">
        <v>1134</v>
      </c>
      <c r="B1493">
        <v>8</v>
      </c>
      <c r="C1493">
        <v>0.40705305555555549</v>
      </c>
      <c r="D1493">
        <v>0.39221527777777782</v>
      </c>
      <c r="E1493">
        <f t="shared" si="92"/>
        <v>1.6960543981481479E-3</v>
      </c>
      <c r="F1493">
        <f t="shared" si="93"/>
        <v>1.6342303240740742E-3</v>
      </c>
      <c r="G1493">
        <f t="shared" si="94"/>
        <v>1</v>
      </c>
      <c r="H1493">
        <f t="shared" si="95"/>
        <v>2.0352652777777775E-2</v>
      </c>
    </row>
    <row r="1494" spans="1:8" x14ac:dyDescent="0.25">
      <c r="A1494">
        <v>1134</v>
      </c>
      <c r="B1494">
        <v>10</v>
      </c>
      <c r="C1494">
        <v>0.71941416666666669</v>
      </c>
      <c r="D1494">
        <v>0.48015868055555561</v>
      </c>
      <c r="E1494">
        <f t="shared" si="92"/>
        <v>2.9975590277777782E-3</v>
      </c>
      <c r="F1494">
        <f t="shared" si="93"/>
        <v>2.000661168981482E-3</v>
      </c>
      <c r="G1494">
        <f t="shared" si="94"/>
        <v>1</v>
      </c>
      <c r="H1494">
        <f t="shared" si="95"/>
        <v>3.5970708333333337E-2</v>
      </c>
    </row>
    <row r="1495" spans="1:8" x14ac:dyDescent="0.25">
      <c r="A1495">
        <v>1134</v>
      </c>
      <c r="B1495">
        <v>11</v>
      </c>
      <c r="C1495">
        <v>0.50445722222222222</v>
      </c>
      <c r="D1495">
        <v>0.36617450000000001</v>
      </c>
      <c r="E1495">
        <f t="shared" si="92"/>
        <v>2.1019050925925927E-3</v>
      </c>
      <c r="F1495">
        <f t="shared" si="93"/>
        <v>1.5257270833333334E-3</v>
      </c>
      <c r="G1495">
        <f t="shared" si="94"/>
        <v>1</v>
      </c>
      <c r="H1495">
        <f t="shared" si="95"/>
        <v>2.5222861111111113E-2</v>
      </c>
    </row>
    <row r="1496" spans="1:8" x14ac:dyDescent="0.25">
      <c r="A1496">
        <v>1134</v>
      </c>
      <c r="B1496">
        <v>12</v>
      </c>
      <c r="C1496">
        <v>0.42582861111111109</v>
      </c>
      <c r="D1496">
        <v>0.34935388888888891</v>
      </c>
      <c r="E1496">
        <f t="shared" si="92"/>
        <v>1.7742858796296293E-3</v>
      </c>
      <c r="F1496">
        <f t="shared" si="93"/>
        <v>1.4556412037037038E-3</v>
      </c>
      <c r="G1496">
        <f t="shared" si="94"/>
        <v>1</v>
      </c>
      <c r="H1496">
        <f t="shared" si="95"/>
        <v>2.1291430555555553E-2</v>
      </c>
    </row>
    <row r="1497" spans="1:8" x14ac:dyDescent="0.25">
      <c r="A1497">
        <v>1135</v>
      </c>
      <c r="B1497">
        <v>1</v>
      </c>
      <c r="C1497">
        <v>3.1944444444444442</v>
      </c>
      <c r="D1497">
        <v>3.1944444444444442</v>
      </c>
      <c r="E1497">
        <f t="shared" si="92"/>
        <v>1.3310185185185184E-2</v>
      </c>
      <c r="F1497">
        <f t="shared" si="93"/>
        <v>1.3310185185185184E-2</v>
      </c>
      <c r="G1497">
        <f t="shared" si="94"/>
        <v>1</v>
      </c>
      <c r="H1497">
        <f t="shared" si="95"/>
        <v>0.15972222222222221</v>
      </c>
    </row>
    <row r="1498" spans="1:8" x14ac:dyDescent="0.25">
      <c r="A1498">
        <v>1135</v>
      </c>
      <c r="B1498">
        <v>5</v>
      </c>
      <c r="C1498">
        <v>7.8666666666666663</v>
      </c>
      <c r="D1498">
        <v>7.8666666666666663</v>
      </c>
      <c r="E1498">
        <f t="shared" si="92"/>
        <v>3.2777777777777774E-2</v>
      </c>
      <c r="F1498">
        <f t="shared" si="93"/>
        <v>3.2777777777777774E-2</v>
      </c>
      <c r="G1498">
        <f t="shared" si="94"/>
        <v>1</v>
      </c>
      <c r="H1498">
        <f t="shared" si="95"/>
        <v>0.39333333333333331</v>
      </c>
    </row>
    <row r="1499" spans="1:8" x14ac:dyDescent="0.25">
      <c r="A1499">
        <v>1135</v>
      </c>
      <c r="B1499">
        <v>10</v>
      </c>
      <c r="C1499">
        <v>1.716666666666667</v>
      </c>
      <c r="D1499">
        <v>1.716666666666667</v>
      </c>
      <c r="E1499">
        <f t="shared" si="92"/>
        <v>7.1527777777777787E-3</v>
      </c>
      <c r="F1499">
        <f t="shared" si="93"/>
        <v>7.1527777777777787E-3</v>
      </c>
      <c r="G1499">
        <f t="shared" si="94"/>
        <v>1</v>
      </c>
      <c r="H1499">
        <f t="shared" si="95"/>
        <v>8.5833333333333345E-2</v>
      </c>
    </row>
    <row r="1500" spans="1:8" x14ac:dyDescent="0.25">
      <c r="A1500">
        <v>1136</v>
      </c>
      <c r="B1500">
        <v>1</v>
      </c>
      <c r="C1500">
        <v>0.84166666666666667</v>
      </c>
      <c r="D1500">
        <v>0.40055555555555561</v>
      </c>
      <c r="E1500">
        <f t="shared" si="92"/>
        <v>3.5069444444444445E-3</v>
      </c>
      <c r="F1500">
        <f t="shared" si="93"/>
        <v>1.6689814814814816E-3</v>
      </c>
      <c r="G1500">
        <f t="shared" si="94"/>
        <v>1</v>
      </c>
      <c r="H1500">
        <f t="shared" si="95"/>
        <v>4.2083333333333334E-2</v>
      </c>
    </row>
    <row r="1501" spans="1:8" x14ac:dyDescent="0.25">
      <c r="A1501">
        <v>1136</v>
      </c>
      <c r="B1501">
        <v>2</v>
      </c>
      <c r="C1501">
        <v>1.0945952777777781</v>
      </c>
      <c r="D1501">
        <v>0.33830184027777782</v>
      </c>
      <c r="E1501">
        <f t="shared" si="92"/>
        <v>4.5608136574074093E-3</v>
      </c>
      <c r="F1501">
        <f t="shared" si="93"/>
        <v>1.4095910011574075E-3</v>
      </c>
      <c r="G1501">
        <f t="shared" si="94"/>
        <v>1</v>
      </c>
      <c r="H1501">
        <f t="shared" si="95"/>
        <v>5.4729763888888908E-2</v>
      </c>
    </row>
    <row r="1502" spans="1:8" x14ac:dyDescent="0.25">
      <c r="A1502">
        <v>1136</v>
      </c>
      <c r="B1502">
        <v>3</v>
      </c>
      <c r="C1502">
        <v>0.25032166666666672</v>
      </c>
      <c r="D1502">
        <v>0.25032166666666672</v>
      </c>
      <c r="E1502">
        <f t="shared" si="92"/>
        <v>1.0430069444444447E-3</v>
      </c>
      <c r="F1502">
        <f t="shared" si="93"/>
        <v>1.0430069444444447E-3</v>
      </c>
      <c r="G1502">
        <f t="shared" si="94"/>
        <v>1</v>
      </c>
      <c r="H1502">
        <f t="shared" si="95"/>
        <v>1.2516083333333337E-2</v>
      </c>
    </row>
    <row r="1503" spans="1:8" x14ac:dyDescent="0.25">
      <c r="A1503">
        <v>1136</v>
      </c>
      <c r="B1503">
        <v>4</v>
      </c>
      <c r="C1503">
        <v>1.1881313888888889</v>
      </c>
      <c r="D1503">
        <v>0.69664591269833331</v>
      </c>
      <c r="E1503">
        <f t="shared" si="92"/>
        <v>4.9505474537037035E-3</v>
      </c>
      <c r="F1503">
        <f t="shared" si="93"/>
        <v>2.9026913029097223E-3</v>
      </c>
      <c r="G1503">
        <f t="shared" si="94"/>
        <v>1</v>
      </c>
      <c r="H1503">
        <f t="shared" si="95"/>
        <v>5.9406569444444446E-2</v>
      </c>
    </row>
    <row r="1504" spans="1:8" x14ac:dyDescent="0.25">
      <c r="A1504">
        <v>1136</v>
      </c>
      <c r="B1504">
        <v>5</v>
      </c>
      <c r="C1504">
        <v>0.47980416666666659</v>
      </c>
      <c r="D1504">
        <v>0.26833578282805548</v>
      </c>
      <c r="E1504">
        <f t="shared" si="92"/>
        <v>1.9991840277777772E-3</v>
      </c>
      <c r="F1504">
        <f t="shared" si="93"/>
        <v>1.1180657617835645E-3</v>
      </c>
      <c r="G1504">
        <f t="shared" si="94"/>
        <v>1</v>
      </c>
      <c r="H1504">
        <f t="shared" si="95"/>
        <v>2.3990208333333325E-2</v>
      </c>
    </row>
    <row r="1505" spans="1:8" x14ac:dyDescent="0.25">
      <c r="A1505">
        <v>1136</v>
      </c>
      <c r="B1505">
        <v>6</v>
      </c>
      <c r="C1505">
        <v>0.61528166666666662</v>
      </c>
      <c r="D1505">
        <v>0.31191681818166672</v>
      </c>
      <c r="E1505">
        <f t="shared" si="92"/>
        <v>2.5636736111111108E-3</v>
      </c>
      <c r="F1505">
        <f t="shared" si="93"/>
        <v>1.2996534090902779E-3</v>
      </c>
      <c r="G1505">
        <f t="shared" si="94"/>
        <v>1</v>
      </c>
      <c r="H1505">
        <f t="shared" si="95"/>
        <v>3.0764083333333331E-2</v>
      </c>
    </row>
    <row r="1506" spans="1:8" x14ac:dyDescent="0.25">
      <c r="A1506">
        <v>1136</v>
      </c>
      <c r="B1506">
        <v>7</v>
      </c>
      <c r="C1506">
        <v>0.50527250000000001</v>
      </c>
      <c r="D1506">
        <v>0.32056716666666668</v>
      </c>
      <c r="E1506">
        <f t="shared" si="92"/>
        <v>2.1053020833333336E-3</v>
      </c>
      <c r="F1506">
        <f t="shared" si="93"/>
        <v>1.3356965277777778E-3</v>
      </c>
      <c r="G1506">
        <f t="shared" si="94"/>
        <v>1</v>
      </c>
      <c r="H1506">
        <f t="shared" si="95"/>
        <v>2.5263625000000005E-2</v>
      </c>
    </row>
    <row r="1507" spans="1:8" x14ac:dyDescent="0.25">
      <c r="A1507">
        <v>1136</v>
      </c>
      <c r="B1507">
        <v>8</v>
      </c>
      <c r="C1507">
        <v>0.46561472222222222</v>
      </c>
      <c r="D1507">
        <v>0.34221125000000002</v>
      </c>
      <c r="E1507">
        <f t="shared" si="92"/>
        <v>1.9400613425925924E-3</v>
      </c>
      <c r="F1507">
        <f t="shared" si="93"/>
        <v>1.4258802083333335E-3</v>
      </c>
      <c r="G1507">
        <f t="shared" si="94"/>
        <v>1</v>
      </c>
      <c r="H1507">
        <f t="shared" si="95"/>
        <v>2.328073611111111E-2</v>
      </c>
    </row>
    <row r="1508" spans="1:8" x14ac:dyDescent="0.25">
      <c r="A1508">
        <v>1136</v>
      </c>
      <c r="B1508">
        <v>9</v>
      </c>
      <c r="C1508">
        <v>0.48130222222222219</v>
      </c>
      <c r="D1508">
        <v>0.34475856481472222</v>
      </c>
      <c r="E1508">
        <f t="shared" si="92"/>
        <v>2.0054259259259257E-3</v>
      </c>
      <c r="F1508">
        <f t="shared" si="93"/>
        <v>1.4364940200613425E-3</v>
      </c>
      <c r="G1508">
        <f t="shared" si="94"/>
        <v>1</v>
      </c>
      <c r="H1508">
        <f t="shared" si="95"/>
        <v>2.4065111111111107E-2</v>
      </c>
    </row>
    <row r="1509" spans="1:8" x14ac:dyDescent="0.25">
      <c r="A1509">
        <v>1136</v>
      </c>
      <c r="B1509">
        <v>11</v>
      </c>
      <c r="C1509">
        <v>3.0357455555555561</v>
      </c>
      <c r="D1509">
        <v>0.87531144841249997</v>
      </c>
      <c r="E1509">
        <f t="shared" si="92"/>
        <v>1.2648939814814818E-2</v>
      </c>
      <c r="F1509">
        <f t="shared" si="93"/>
        <v>3.6471310350520828E-3</v>
      </c>
      <c r="G1509">
        <f t="shared" si="94"/>
        <v>1</v>
      </c>
      <c r="H1509">
        <f t="shared" si="95"/>
        <v>0.15178727777777781</v>
      </c>
    </row>
    <row r="1510" spans="1:8" x14ac:dyDescent="0.25">
      <c r="A1510">
        <v>1136</v>
      </c>
      <c r="B1510">
        <v>12</v>
      </c>
      <c r="C1510">
        <v>1.1409019444444439</v>
      </c>
      <c r="D1510">
        <v>0.65584164529888889</v>
      </c>
      <c r="E1510">
        <f t="shared" si="92"/>
        <v>4.7537581018518493E-3</v>
      </c>
      <c r="F1510">
        <f t="shared" si="93"/>
        <v>2.7326735220787033E-3</v>
      </c>
      <c r="G1510">
        <f t="shared" si="94"/>
        <v>1</v>
      </c>
      <c r="H1510">
        <f t="shared" si="95"/>
        <v>5.7045097222222188E-2</v>
      </c>
    </row>
    <row r="1511" spans="1:8" x14ac:dyDescent="0.25">
      <c r="A1511">
        <v>1137</v>
      </c>
      <c r="B1511">
        <v>1</v>
      </c>
      <c r="C1511">
        <v>0.73416666666666663</v>
      </c>
      <c r="D1511">
        <v>0.14083333333333331</v>
      </c>
      <c r="E1511">
        <f t="shared" si="92"/>
        <v>3.0590277777777773E-3</v>
      </c>
      <c r="F1511">
        <f t="shared" si="93"/>
        <v>5.8680555555555547E-4</v>
      </c>
      <c r="G1511">
        <f t="shared" si="94"/>
        <v>1</v>
      </c>
      <c r="H1511">
        <f t="shared" si="95"/>
        <v>3.6708333333333329E-2</v>
      </c>
    </row>
    <row r="1512" spans="1:8" x14ac:dyDescent="0.25">
      <c r="A1512">
        <v>1137</v>
      </c>
      <c r="B1512">
        <v>2</v>
      </c>
      <c r="C1512">
        <v>0.45629361111111111</v>
      </c>
      <c r="D1512">
        <v>0.1507273472222222</v>
      </c>
      <c r="E1512">
        <f t="shared" si="92"/>
        <v>1.9012233796296297E-3</v>
      </c>
      <c r="F1512">
        <f t="shared" si="93"/>
        <v>6.2803061342592585E-4</v>
      </c>
      <c r="G1512">
        <f t="shared" si="94"/>
        <v>1</v>
      </c>
      <c r="H1512">
        <f t="shared" si="95"/>
        <v>2.2814680555555557E-2</v>
      </c>
    </row>
    <row r="1513" spans="1:8" x14ac:dyDescent="0.25">
      <c r="A1513">
        <v>1137</v>
      </c>
      <c r="B1513">
        <v>3</v>
      </c>
      <c r="C1513">
        <v>0.88017722222222228</v>
      </c>
      <c r="D1513">
        <v>0.16796413580222219</v>
      </c>
      <c r="E1513">
        <f t="shared" si="92"/>
        <v>3.6674050925925932E-3</v>
      </c>
      <c r="F1513">
        <f t="shared" si="93"/>
        <v>6.9985056584259252E-4</v>
      </c>
      <c r="G1513">
        <f t="shared" si="94"/>
        <v>1</v>
      </c>
      <c r="H1513">
        <f t="shared" si="95"/>
        <v>4.4008861111111117E-2</v>
      </c>
    </row>
    <row r="1514" spans="1:8" x14ac:dyDescent="0.25">
      <c r="A1514">
        <v>1137</v>
      </c>
      <c r="B1514">
        <v>4</v>
      </c>
      <c r="C1514">
        <v>1.219169722222222</v>
      </c>
      <c r="D1514">
        <v>0.31731433333333331</v>
      </c>
      <c r="E1514">
        <f t="shared" si="92"/>
        <v>5.0798738425925916E-3</v>
      </c>
      <c r="F1514">
        <f t="shared" si="93"/>
        <v>1.3221430555555554E-3</v>
      </c>
      <c r="G1514">
        <f t="shared" si="94"/>
        <v>1</v>
      </c>
      <c r="H1514">
        <f t="shared" si="95"/>
        <v>6.0958486111111099E-2</v>
      </c>
    </row>
    <row r="1515" spans="1:8" x14ac:dyDescent="0.25">
      <c r="A1515">
        <v>1137</v>
      </c>
      <c r="B1515">
        <v>5</v>
      </c>
      <c r="C1515">
        <v>3.242515</v>
      </c>
      <c r="D1515">
        <v>0.38472286111111109</v>
      </c>
      <c r="E1515">
        <f t="shared" si="92"/>
        <v>1.3510479166666667E-2</v>
      </c>
      <c r="F1515">
        <f t="shared" si="93"/>
        <v>1.6030119212962961E-3</v>
      </c>
      <c r="G1515">
        <f t="shared" si="94"/>
        <v>1</v>
      </c>
      <c r="H1515">
        <f t="shared" si="95"/>
        <v>0.16212575000000001</v>
      </c>
    </row>
    <row r="1516" spans="1:8" x14ac:dyDescent="0.25">
      <c r="A1516">
        <v>1137</v>
      </c>
      <c r="B1516">
        <v>6</v>
      </c>
      <c r="C1516">
        <v>0.38821861111111111</v>
      </c>
      <c r="D1516">
        <v>0.10256964285694441</v>
      </c>
      <c r="E1516">
        <f t="shared" si="92"/>
        <v>1.6175775462962964E-3</v>
      </c>
      <c r="F1516">
        <f t="shared" si="93"/>
        <v>4.2737351190393503E-4</v>
      </c>
      <c r="G1516">
        <f t="shared" si="94"/>
        <v>1</v>
      </c>
      <c r="H1516">
        <f t="shared" si="95"/>
        <v>1.9410930555555556E-2</v>
      </c>
    </row>
    <row r="1517" spans="1:8" x14ac:dyDescent="0.25">
      <c r="A1517">
        <v>1137</v>
      </c>
      <c r="B1517">
        <v>7</v>
      </c>
      <c r="C1517">
        <v>0.68124611111111111</v>
      </c>
      <c r="D1517">
        <v>0.1734097777777778</v>
      </c>
      <c r="E1517">
        <f t="shared" si="92"/>
        <v>2.8385254629629628E-3</v>
      </c>
      <c r="F1517">
        <f t="shared" si="93"/>
        <v>7.225407407407408E-4</v>
      </c>
      <c r="G1517">
        <f t="shared" si="94"/>
        <v>1</v>
      </c>
      <c r="H1517">
        <f t="shared" si="95"/>
        <v>3.4062305555555554E-2</v>
      </c>
    </row>
    <row r="1518" spans="1:8" x14ac:dyDescent="0.25">
      <c r="A1518">
        <v>1137</v>
      </c>
      <c r="B1518">
        <v>8</v>
      </c>
      <c r="C1518">
        <v>0.35508861111111112</v>
      </c>
      <c r="D1518">
        <v>9.1202512077222228E-2</v>
      </c>
      <c r="E1518">
        <f t="shared" si="92"/>
        <v>1.4795358796296295E-3</v>
      </c>
      <c r="F1518">
        <f t="shared" si="93"/>
        <v>3.8001046698842592E-4</v>
      </c>
      <c r="G1518">
        <f t="shared" si="94"/>
        <v>1</v>
      </c>
      <c r="H1518">
        <f t="shared" si="95"/>
        <v>1.7754430555555555E-2</v>
      </c>
    </row>
    <row r="1519" spans="1:8" x14ac:dyDescent="0.25">
      <c r="A1519">
        <v>1137</v>
      </c>
      <c r="B1519">
        <v>10</v>
      </c>
      <c r="C1519">
        <v>4.9933333333333343E-2</v>
      </c>
      <c r="D1519">
        <v>4.0712790403888893E-2</v>
      </c>
      <c r="E1519">
        <f t="shared" si="92"/>
        <v>2.0805555555555559E-4</v>
      </c>
      <c r="F1519">
        <f t="shared" si="93"/>
        <v>1.6963662668287037E-4</v>
      </c>
      <c r="G1519">
        <f t="shared" si="94"/>
        <v>1</v>
      </c>
      <c r="H1519">
        <f t="shared" si="95"/>
        <v>2.496666666666667E-3</v>
      </c>
    </row>
    <row r="1520" spans="1:8" x14ac:dyDescent="0.25">
      <c r="A1520">
        <v>1137</v>
      </c>
      <c r="B1520">
        <v>11</v>
      </c>
      <c r="C1520">
        <v>0.68669000000000002</v>
      </c>
      <c r="D1520">
        <v>7.5153391812777776E-2</v>
      </c>
      <c r="E1520">
        <f t="shared" si="92"/>
        <v>2.8612083333333337E-3</v>
      </c>
      <c r="F1520">
        <f t="shared" si="93"/>
        <v>3.1313913255324072E-4</v>
      </c>
      <c r="G1520">
        <f t="shared" si="94"/>
        <v>1</v>
      </c>
      <c r="H1520">
        <f t="shared" si="95"/>
        <v>3.4334500000000004E-2</v>
      </c>
    </row>
    <row r="1521" spans="1:8" x14ac:dyDescent="0.25">
      <c r="A1521">
        <v>1137</v>
      </c>
      <c r="B1521">
        <v>12</v>
      </c>
      <c r="C1521">
        <v>0.11418972222222221</v>
      </c>
      <c r="D1521">
        <v>4.3679583333333327E-2</v>
      </c>
      <c r="E1521">
        <f t="shared" si="92"/>
        <v>4.7579050925925919E-4</v>
      </c>
      <c r="F1521">
        <f t="shared" si="93"/>
        <v>1.8199826388888888E-4</v>
      </c>
      <c r="G1521">
        <f t="shared" si="94"/>
        <v>1</v>
      </c>
      <c r="H1521">
        <f t="shared" si="95"/>
        <v>5.7094861111111105E-3</v>
      </c>
    </row>
    <row r="1522" spans="1:8" x14ac:dyDescent="0.25">
      <c r="A1522">
        <v>1138</v>
      </c>
      <c r="B1522">
        <v>1</v>
      </c>
      <c r="C1522">
        <v>0.85555555555555562</v>
      </c>
      <c r="D1522">
        <v>0.39555555555555555</v>
      </c>
      <c r="E1522">
        <f t="shared" si="92"/>
        <v>3.5648148148148154E-3</v>
      </c>
      <c r="F1522">
        <f t="shared" si="93"/>
        <v>1.6481481481481479E-3</v>
      </c>
      <c r="G1522">
        <f t="shared" si="94"/>
        <v>1</v>
      </c>
      <c r="H1522">
        <f t="shared" si="95"/>
        <v>4.2777777777777783E-2</v>
      </c>
    </row>
    <row r="1523" spans="1:8" x14ac:dyDescent="0.25">
      <c r="A1523">
        <v>1138</v>
      </c>
      <c r="B1523">
        <v>4</v>
      </c>
      <c r="C1523">
        <v>3.5972222222222221E-3</v>
      </c>
      <c r="D1523">
        <v>3.5972222222222221E-3</v>
      </c>
      <c r="E1523">
        <f t="shared" si="92"/>
        <v>1.4988425925925925E-5</v>
      </c>
      <c r="F1523">
        <f t="shared" si="93"/>
        <v>1.4988425925925925E-5</v>
      </c>
      <c r="G1523">
        <f t="shared" si="94"/>
        <v>1</v>
      </c>
      <c r="H1523">
        <f t="shared" si="95"/>
        <v>1.7986111111111111E-4</v>
      </c>
    </row>
    <row r="1524" spans="1:8" x14ac:dyDescent="0.25">
      <c r="A1524">
        <v>1138</v>
      </c>
      <c r="B1524">
        <v>6</v>
      </c>
      <c r="C1524">
        <v>0.3441002777777778</v>
      </c>
      <c r="D1524">
        <v>0.15688949999999999</v>
      </c>
      <c r="E1524">
        <f t="shared" si="92"/>
        <v>1.4337511574074077E-3</v>
      </c>
      <c r="F1524">
        <f t="shared" si="93"/>
        <v>6.5370624999999997E-4</v>
      </c>
      <c r="G1524">
        <f t="shared" si="94"/>
        <v>1</v>
      </c>
      <c r="H1524">
        <f t="shared" si="95"/>
        <v>1.7205013888888891E-2</v>
      </c>
    </row>
    <row r="1525" spans="1:8" x14ac:dyDescent="0.25">
      <c r="A1525">
        <v>1138</v>
      </c>
      <c r="B1525">
        <v>7</v>
      </c>
      <c r="C1525">
        <v>0.43783499999999997</v>
      </c>
      <c r="D1525">
        <v>0.43783499999999997</v>
      </c>
      <c r="E1525">
        <f t="shared" si="92"/>
        <v>1.8243124999999998E-3</v>
      </c>
      <c r="F1525">
        <f t="shared" si="93"/>
        <v>1.8243124999999998E-3</v>
      </c>
      <c r="G1525">
        <f t="shared" si="94"/>
        <v>1</v>
      </c>
      <c r="H1525">
        <f t="shared" si="95"/>
        <v>2.1891749999999998E-2</v>
      </c>
    </row>
    <row r="1526" spans="1:8" x14ac:dyDescent="0.25">
      <c r="A1526">
        <v>1138</v>
      </c>
      <c r="B1526">
        <v>8</v>
      </c>
      <c r="C1526">
        <v>2.223196666666666</v>
      </c>
      <c r="D1526">
        <v>0.43522090909083327</v>
      </c>
      <c r="E1526">
        <f t="shared" si="92"/>
        <v>9.2633194444444421E-3</v>
      </c>
      <c r="F1526">
        <f t="shared" si="93"/>
        <v>1.8134204545451388E-3</v>
      </c>
      <c r="G1526">
        <f t="shared" si="94"/>
        <v>1</v>
      </c>
      <c r="H1526">
        <f t="shared" si="95"/>
        <v>0.1111598333333333</v>
      </c>
    </row>
    <row r="1527" spans="1:8" x14ac:dyDescent="0.25">
      <c r="A1527">
        <v>1138</v>
      </c>
      <c r="B1527">
        <v>9</v>
      </c>
      <c r="C1527">
        <v>3.1898713888888892</v>
      </c>
      <c r="D1527">
        <v>1.798226527777778</v>
      </c>
      <c r="E1527">
        <f t="shared" si="92"/>
        <v>1.3291130787037038E-2</v>
      </c>
      <c r="F1527">
        <f t="shared" si="93"/>
        <v>7.4926105324074092E-3</v>
      </c>
      <c r="G1527">
        <f t="shared" si="94"/>
        <v>1</v>
      </c>
      <c r="H1527">
        <f t="shared" si="95"/>
        <v>0.15949356944444446</v>
      </c>
    </row>
    <row r="1528" spans="1:8" x14ac:dyDescent="0.25">
      <c r="A1528">
        <v>1138</v>
      </c>
      <c r="B1528">
        <v>10</v>
      </c>
      <c r="C1528">
        <v>0.67071472222222217</v>
      </c>
      <c r="D1528">
        <v>0.30125842592583341</v>
      </c>
      <c r="E1528">
        <f t="shared" si="92"/>
        <v>2.7946446759259257E-3</v>
      </c>
      <c r="F1528">
        <f t="shared" si="93"/>
        <v>1.2552434413576391E-3</v>
      </c>
      <c r="G1528">
        <f t="shared" si="94"/>
        <v>1</v>
      </c>
      <c r="H1528">
        <f t="shared" si="95"/>
        <v>3.353573611111111E-2</v>
      </c>
    </row>
    <row r="1529" spans="1:8" x14ac:dyDescent="0.25">
      <c r="A1529">
        <v>1138</v>
      </c>
      <c r="B1529">
        <v>11</v>
      </c>
      <c r="C1529">
        <v>0.13691861111111109</v>
      </c>
      <c r="D1529">
        <v>0.13388703703694441</v>
      </c>
      <c r="E1529">
        <f t="shared" si="92"/>
        <v>5.7049421296296286E-4</v>
      </c>
      <c r="F1529">
        <f t="shared" si="93"/>
        <v>5.5786265432060172E-4</v>
      </c>
      <c r="G1529">
        <f t="shared" si="94"/>
        <v>1</v>
      </c>
      <c r="H1529">
        <f t="shared" si="95"/>
        <v>6.8459305555555548E-3</v>
      </c>
    </row>
    <row r="1530" spans="1:8" x14ac:dyDescent="0.25">
      <c r="A1530">
        <v>1138</v>
      </c>
      <c r="B1530">
        <v>12</v>
      </c>
      <c r="C1530">
        <v>0.69135138888888892</v>
      </c>
      <c r="D1530">
        <v>0.29271571428555548</v>
      </c>
      <c r="E1530">
        <f t="shared" si="92"/>
        <v>2.880630787037037E-3</v>
      </c>
      <c r="F1530">
        <f t="shared" si="93"/>
        <v>1.2196488095231478E-3</v>
      </c>
      <c r="G1530">
        <f t="shared" si="94"/>
        <v>1</v>
      </c>
      <c r="H1530">
        <f t="shared" si="95"/>
        <v>3.4567569444444446E-2</v>
      </c>
    </row>
    <row r="1531" spans="1:8" x14ac:dyDescent="0.25">
      <c r="A1531">
        <v>1139</v>
      </c>
      <c r="B1531">
        <v>1</v>
      </c>
      <c r="C1531">
        <v>0.63388888888888884</v>
      </c>
      <c r="D1531">
        <v>0.24916666666666665</v>
      </c>
      <c r="E1531">
        <f t="shared" si="92"/>
        <v>2.6412037037037033E-3</v>
      </c>
      <c r="F1531">
        <f t="shared" si="93"/>
        <v>1.0381944444444442E-3</v>
      </c>
      <c r="G1531">
        <f t="shared" si="94"/>
        <v>1</v>
      </c>
      <c r="H1531">
        <f t="shared" si="95"/>
        <v>3.1694444444444442E-2</v>
      </c>
    </row>
    <row r="1532" spans="1:8" x14ac:dyDescent="0.25">
      <c r="A1532">
        <v>1139</v>
      </c>
      <c r="B1532">
        <v>2</v>
      </c>
      <c r="C1532">
        <v>1.595121944444444</v>
      </c>
      <c r="D1532">
        <v>0.32127170634916669</v>
      </c>
      <c r="E1532">
        <f t="shared" si="92"/>
        <v>6.6463414351851831E-3</v>
      </c>
      <c r="F1532">
        <f t="shared" si="93"/>
        <v>1.3386321097881946E-3</v>
      </c>
      <c r="G1532">
        <f t="shared" si="94"/>
        <v>1</v>
      </c>
      <c r="H1532">
        <f t="shared" si="95"/>
        <v>7.9756097222222197E-2</v>
      </c>
    </row>
    <row r="1533" spans="1:8" x14ac:dyDescent="0.25">
      <c r="A1533">
        <v>1139</v>
      </c>
      <c r="B1533">
        <v>3</v>
      </c>
      <c r="C1533">
        <v>0.45941500000000002</v>
      </c>
      <c r="D1533">
        <v>0.24072931944444451</v>
      </c>
      <c r="E1533">
        <f t="shared" si="92"/>
        <v>1.9142291666666667E-3</v>
      </c>
      <c r="F1533">
        <f t="shared" si="93"/>
        <v>1.0030388310185189E-3</v>
      </c>
      <c r="G1533">
        <f t="shared" si="94"/>
        <v>1</v>
      </c>
      <c r="H1533">
        <f t="shared" si="95"/>
        <v>2.2970750000000002E-2</v>
      </c>
    </row>
    <row r="1534" spans="1:8" x14ac:dyDescent="0.25">
      <c r="A1534">
        <v>1139</v>
      </c>
      <c r="B1534">
        <v>4</v>
      </c>
      <c r="C1534">
        <v>0.48474083333333329</v>
      </c>
      <c r="D1534">
        <v>0.2191467460316667</v>
      </c>
      <c r="E1534">
        <f t="shared" si="92"/>
        <v>2.0197534722222218E-3</v>
      </c>
      <c r="F1534">
        <f t="shared" si="93"/>
        <v>9.1311144179861135E-4</v>
      </c>
      <c r="G1534">
        <f t="shared" si="94"/>
        <v>1</v>
      </c>
      <c r="H1534">
        <f t="shared" si="95"/>
        <v>2.423704166666666E-2</v>
      </c>
    </row>
    <row r="1535" spans="1:8" x14ac:dyDescent="0.25">
      <c r="A1535">
        <v>1139</v>
      </c>
      <c r="B1535">
        <v>5</v>
      </c>
      <c r="C1535">
        <v>0.79065555555555556</v>
      </c>
      <c r="D1535">
        <v>0.2542160277777778</v>
      </c>
      <c r="E1535">
        <f t="shared" si="92"/>
        <v>3.2943981481481483E-3</v>
      </c>
      <c r="F1535">
        <f t="shared" si="93"/>
        <v>1.0592334490740743E-3</v>
      </c>
      <c r="G1535">
        <f t="shared" si="94"/>
        <v>1</v>
      </c>
      <c r="H1535">
        <f t="shared" si="95"/>
        <v>3.9532777777777778E-2</v>
      </c>
    </row>
    <row r="1536" spans="1:8" x14ac:dyDescent="0.25">
      <c r="A1536">
        <v>1139</v>
      </c>
      <c r="B1536">
        <v>6</v>
      </c>
      <c r="C1536">
        <v>0.43170555555555562</v>
      </c>
      <c r="D1536">
        <v>0.24852245833333331</v>
      </c>
      <c r="E1536">
        <f t="shared" si="92"/>
        <v>1.7987731481481483E-3</v>
      </c>
      <c r="F1536">
        <f t="shared" si="93"/>
        <v>1.0355102430555554E-3</v>
      </c>
      <c r="G1536">
        <f t="shared" si="94"/>
        <v>1</v>
      </c>
      <c r="H1536">
        <f t="shared" si="95"/>
        <v>2.158527777777778E-2</v>
      </c>
    </row>
    <row r="1537" spans="1:8" x14ac:dyDescent="0.25">
      <c r="A1537">
        <v>1139</v>
      </c>
      <c r="B1537">
        <v>7</v>
      </c>
      <c r="C1537">
        <v>0.31562861111111112</v>
      </c>
      <c r="D1537">
        <v>0.27188308201055561</v>
      </c>
      <c r="E1537">
        <f t="shared" si="92"/>
        <v>1.315119212962963E-3</v>
      </c>
      <c r="F1537">
        <f t="shared" si="93"/>
        <v>1.1328461750439818E-3</v>
      </c>
      <c r="G1537">
        <f t="shared" si="94"/>
        <v>1</v>
      </c>
      <c r="H1537">
        <f t="shared" si="95"/>
        <v>1.5781430555555555E-2</v>
      </c>
    </row>
    <row r="1538" spans="1:8" x14ac:dyDescent="0.25">
      <c r="A1538">
        <v>1139</v>
      </c>
      <c r="B1538">
        <v>8</v>
      </c>
      <c r="C1538">
        <v>1.1027361111111109</v>
      </c>
      <c r="D1538">
        <v>0.34038724637666667</v>
      </c>
      <c r="E1538">
        <f t="shared" ref="E1538:E1601" si="96">+C1538/20/12</f>
        <v>4.5947337962962955E-3</v>
      </c>
      <c r="F1538">
        <f t="shared" ref="F1538:F1601" si="97">+D1538/20/12</f>
        <v>1.4182801932361112E-3</v>
      </c>
      <c r="G1538">
        <f t="shared" ref="G1538:G1601" si="98">+ROUNDUP(E1538*12,0)</f>
        <v>1</v>
      </c>
      <c r="H1538">
        <f t="shared" ref="H1538:H1601" si="99">+E1538*12</f>
        <v>5.5136805555555543E-2</v>
      </c>
    </row>
    <row r="1539" spans="1:8" x14ac:dyDescent="0.25">
      <c r="A1539">
        <v>1139</v>
      </c>
      <c r="B1539">
        <v>9</v>
      </c>
      <c r="C1539">
        <v>0.78102416666666663</v>
      </c>
      <c r="D1539">
        <v>0.297018375</v>
      </c>
      <c r="E1539">
        <f t="shared" si="96"/>
        <v>3.254267361111111E-3</v>
      </c>
      <c r="F1539">
        <f t="shared" si="97"/>
        <v>1.2375765625000001E-3</v>
      </c>
      <c r="G1539">
        <f t="shared" si="98"/>
        <v>1</v>
      </c>
      <c r="H1539">
        <f t="shared" si="99"/>
        <v>3.905120833333333E-2</v>
      </c>
    </row>
    <row r="1540" spans="1:8" x14ac:dyDescent="0.25">
      <c r="A1540">
        <v>1139</v>
      </c>
      <c r="B1540">
        <v>10</v>
      </c>
      <c r="C1540">
        <v>0.27721861111111112</v>
      </c>
      <c r="D1540">
        <v>0.21538053030277779</v>
      </c>
      <c r="E1540">
        <f t="shared" si="96"/>
        <v>1.1550775462962964E-3</v>
      </c>
      <c r="F1540">
        <f t="shared" si="97"/>
        <v>8.9741887626157413E-4</v>
      </c>
      <c r="G1540">
        <f t="shared" si="98"/>
        <v>1</v>
      </c>
      <c r="H1540">
        <f t="shared" si="99"/>
        <v>1.3860930555555557E-2</v>
      </c>
    </row>
    <row r="1541" spans="1:8" x14ac:dyDescent="0.25">
      <c r="A1541">
        <v>1139</v>
      </c>
      <c r="B1541">
        <v>11</v>
      </c>
      <c r="C1541">
        <v>0.8281655555555556</v>
      </c>
      <c r="D1541">
        <v>0.25702338383833329</v>
      </c>
      <c r="E1541">
        <f t="shared" si="96"/>
        <v>3.4506898148148149E-3</v>
      </c>
      <c r="F1541">
        <f t="shared" si="97"/>
        <v>1.0709307659930553E-3</v>
      </c>
      <c r="G1541">
        <f t="shared" si="98"/>
        <v>1</v>
      </c>
      <c r="H1541">
        <f t="shared" si="99"/>
        <v>4.140827777777778E-2</v>
      </c>
    </row>
    <row r="1542" spans="1:8" x14ac:dyDescent="0.25">
      <c r="A1542">
        <v>1139</v>
      </c>
      <c r="B1542">
        <v>12</v>
      </c>
      <c r="C1542">
        <v>0.53964777777777773</v>
      </c>
      <c r="D1542">
        <v>0.32315505291000002</v>
      </c>
      <c r="E1542">
        <f t="shared" si="96"/>
        <v>2.248532407407407E-3</v>
      </c>
      <c r="F1542">
        <f t="shared" si="97"/>
        <v>1.3464793871250001E-3</v>
      </c>
      <c r="G1542">
        <f t="shared" si="98"/>
        <v>1</v>
      </c>
      <c r="H1542">
        <f t="shared" si="99"/>
        <v>2.6982388888888882E-2</v>
      </c>
    </row>
    <row r="1543" spans="1:8" x14ac:dyDescent="0.25">
      <c r="A1543">
        <v>1140</v>
      </c>
      <c r="B1543">
        <v>1</v>
      </c>
      <c r="C1543">
        <v>0.56166666666666676</v>
      </c>
      <c r="D1543">
        <v>0.19277777777777777</v>
      </c>
      <c r="E1543">
        <f t="shared" si="96"/>
        <v>2.3402777777777784E-3</v>
      </c>
      <c r="F1543">
        <f t="shared" si="97"/>
        <v>8.0324074074074065E-4</v>
      </c>
      <c r="G1543">
        <f t="shared" si="98"/>
        <v>1</v>
      </c>
      <c r="H1543">
        <f t="shared" si="99"/>
        <v>2.8083333333333342E-2</v>
      </c>
    </row>
    <row r="1544" spans="1:8" x14ac:dyDescent="0.25">
      <c r="A1544">
        <v>1140</v>
      </c>
      <c r="B1544">
        <v>2</v>
      </c>
      <c r="C1544">
        <v>0.77043361111111108</v>
      </c>
      <c r="D1544">
        <v>0.40043079545444438</v>
      </c>
      <c r="E1544">
        <f t="shared" si="96"/>
        <v>3.2101400462962964E-3</v>
      </c>
      <c r="F1544">
        <f t="shared" si="97"/>
        <v>1.6684616477268515E-3</v>
      </c>
      <c r="G1544">
        <f t="shared" si="98"/>
        <v>1</v>
      </c>
      <c r="H1544">
        <f t="shared" si="99"/>
        <v>3.8521680555555556E-2</v>
      </c>
    </row>
    <row r="1545" spans="1:8" x14ac:dyDescent="0.25">
      <c r="A1545">
        <v>1140</v>
      </c>
      <c r="B1545">
        <v>3</v>
      </c>
      <c r="C1545">
        <v>0.94880249999999999</v>
      </c>
      <c r="D1545">
        <v>0.43070098611111107</v>
      </c>
      <c r="E1545">
        <f t="shared" si="96"/>
        <v>3.9533437500000003E-3</v>
      </c>
      <c r="F1545">
        <f t="shared" si="97"/>
        <v>1.7945874421296294E-3</v>
      </c>
      <c r="G1545">
        <f t="shared" si="98"/>
        <v>1</v>
      </c>
      <c r="H1545">
        <f t="shared" si="99"/>
        <v>4.7440125E-2</v>
      </c>
    </row>
    <row r="1546" spans="1:8" x14ac:dyDescent="0.25">
      <c r="A1546">
        <v>1140</v>
      </c>
      <c r="B1546">
        <v>4</v>
      </c>
      <c r="C1546">
        <v>0.70325388888888885</v>
      </c>
      <c r="D1546">
        <v>0.41848161375638893</v>
      </c>
      <c r="E1546">
        <f t="shared" si="96"/>
        <v>2.9302245370370367E-3</v>
      </c>
      <c r="F1546">
        <f t="shared" si="97"/>
        <v>1.7436733906516205E-3</v>
      </c>
      <c r="G1546">
        <f t="shared" si="98"/>
        <v>1</v>
      </c>
      <c r="H1546">
        <f t="shared" si="99"/>
        <v>3.5162694444444441E-2</v>
      </c>
    </row>
    <row r="1547" spans="1:8" x14ac:dyDescent="0.25">
      <c r="A1547">
        <v>1140</v>
      </c>
      <c r="B1547">
        <v>5</v>
      </c>
      <c r="C1547">
        <v>1.1744183333333329</v>
      </c>
      <c r="D1547">
        <v>0.39439058333333332</v>
      </c>
      <c r="E1547">
        <f t="shared" si="96"/>
        <v>4.89340972222222E-3</v>
      </c>
      <c r="F1547">
        <f t="shared" si="97"/>
        <v>1.6432940972222222E-3</v>
      </c>
      <c r="G1547">
        <f t="shared" si="98"/>
        <v>1</v>
      </c>
      <c r="H1547">
        <f t="shared" si="99"/>
        <v>5.8720916666666637E-2</v>
      </c>
    </row>
    <row r="1548" spans="1:8" x14ac:dyDescent="0.25">
      <c r="A1548">
        <v>1140</v>
      </c>
      <c r="B1548">
        <v>6</v>
      </c>
      <c r="C1548">
        <v>1.2777063888888891</v>
      </c>
      <c r="D1548">
        <v>0.33828919444444439</v>
      </c>
      <c r="E1548">
        <f t="shared" si="96"/>
        <v>5.3237766203703711E-3</v>
      </c>
      <c r="F1548">
        <f t="shared" si="97"/>
        <v>1.4095383101851849E-3</v>
      </c>
      <c r="G1548">
        <f t="shared" si="98"/>
        <v>1</v>
      </c>
      <c r="H1548">
        <f t="shared" si="99"/>
        <v>6.3885319444444449E-2</v>
      </c>
    </row>
    <row r="1549" spans="1:8" x14ac:dyDescent="0.25">
      <c r="A1549">
        <v>1140</v>
      </c>
      <c r="B1549">
        <v>7</v>
      </c>
      <c r="C1549">
        <v>0.36626722222222219</v>
      </c>
      <c r="D1549">
        <v>5.1576388888888887E-2</v>
      </c>
      <c r="E1549">
        <f t="shared" si="96"/>
        <v>1.5261134259259258E-3</v>
      </c>
      <c r="F1549">
        <f t="shared" si="97"/>
        <v>2.1490162037037037E-4</v>
      </c>
      <c r="G1549">
        <f t="shared" si="98"/>
        <v>1</v>
      </c>
      <c r="H1549">
        <f t="shared" si="99"/>
        <v>1.831336111111111E-2</v>
      </c>
    </row>
    <row r="1550" spans="1:8" x14ac:dyDescent="0.25">
      <c r="A1550">
        <v>1140</v>
      </c>
      <c r="B1550">
        <v>8</v>
      </c>
      <c r="C1550">
        <v>0.27205111111111108</v>
      </c>
      <c r="D1550">
        <v>3.5940096618333327E-2</v>
      </c>
      <c r="E1550">
        <f t="shared" si="96"/>
        <v>1.1335462962962961E-3</v>
      </c>
      <c r="F1550">
        <f t="shared" si="97"/>
        <v>1.4975040257638885E-4</v>
      </c>
      <c r="G1550">
        <f t="shared" si="98"/>
        <v>1</v>
      </c>
      <c r="H1550">
        <f t="shared" si="99"/>
        <v>1.3602555555555553E-2</v>
      </c>
    </row>
    <row r="1551" spans="1:8" x14ac:dyDescent="0.25">
      <c r="A1551">
        <v>1140</v>
      </c>
      <c r="B1551">
        <v>9</v>
      </c>
      <c r="C1551">
        <v>0.20753750000000001</v>
      </c>
      <c r="D1551">
        <v>5.7006488095000002E-2</v>
      </c>
      <c r="E1551">
        <f t="shared" si="96"/>
        <v>8.6473958333333335E-4</v>
      </c>
      <c r="F1551">
        <f t="shared" si="97"/>
        <v>2.3752703372916667E-4</v>
      </c>
      <c r="G1551">
        <f t="shared" si="98"/>
        <v>1</v>
      </c>
      <c r="H1551">
        <f t="shared" si="99"/>
        <v>1.0376875000000001E-2</v>
      </c>
    </row>
    <row r="1552" spans="1:8" x14ac:dyDescent="0.25">
      <c r="A1552">
        <v>1140</v>
      </c>
      <c r="B1552">
        <v>10</v>
      </c>
      <c r="C1552">
        <v>0.1622916666666667</v>
      </c>
      <c r="D1552">
        <v>2.4279267676666671E-2</v>
      </c>
      <c r="E1552">
        <f t="shared" si="96"/>
        <v>6.7621527777777786E-4</v>
      </c>
      <c r="F1552">
        <f t="shared" si="97"/>
        <v>1.0116361531944447E-4</v>
      </c>
      <c r="G1552">
        <f t="shared" si="98"/>
        <v>1</v>
      </c>
      <c r="H1552">
        <f t="shared" si="99"/>
        <v>8.1145833333333348E-3</v>
      </c>
    </row>
    <row r="1553" spans="1:8" x14ac:dyDescent="0.25">
      <c r="A1553">
        <v>1140</v>
      </c>
      <c r="B1553">
        <v>11</v>
      </c>
      <c r="C1553">
        <v>0.47524861111111111</v>
      </c>
      <c r="D1553">
        <v>8.8708041666666668E-2</v>
      </c>
      <c r="E1553">
        <f t="shared" si="96"/>
        <v>1.9802025462962963E-3</v>
      </c>
      <c r="F1553">
        <f t="shared" si="97"/>
        <v>3.6961684027777777E-4</v>
      </c>
      <c r="G1553">
        <f t="shared" si="98"/>
        <v>1</v>
      </c>
      <c r="H1553">
        <f t="shared" si="99"/>
        <v>2.3762430555555554E-2</v>
      </c>
    </row>
    <row r="1554" spans="1:8" x14ac:dyDescent="0.25">
      <c r="A1554">
        <v>1140</v>
      </c>
      <c r="B1554">
        <v>12</v>
      </c>
      <c r="C1554">
        <v>0.38042333333333328</v>
      </c>
      <c r="D1554">
        <v>7.2915780423055562E-2</v>
      </c>
      <c r="E1554">
        <f t="shared" si="96"/>
        <v>1.5850972222222221E-3</v>
      </c>
      <c r="F1554">
        <f t="shared" si="97"/>
        <v>3.0381575176273152E-4</v>
      </c>
      <c r="G1554">
        <f t="shared" si="98"/>
        <v>1</v>
      </c>
      <c r="H1554">
        <f t="shared" si="99"/>
        <v>1.9021166666666665E-2</v>
      </c>
    </row>
    <row r="1555" spans="1:8" x14ac:dyDescent="0.25">
      <c r="A1555">
        <v>1141</v>
      </c>
      <c r="B1555">
        <v>1</v>
      </c>
      <c r="C1555">
        <v>0.55777777777777782</v>
      </c>
      <c r="D1555">
        <v>0.27333333333333332</v>
      </c>
      <c r="E1555">
        <f t="shared" si="96"/>
        <v>2.3240740740740743E-3</v>
      </c>
      <c r="F1555">
        <f t="shared" si="97"/>
        <v>1.1388888888888887E-3</v>
      </c>
      <c r="G1555">
        <f t="shared" si="98"/>
        <v>1</v>
      </c>
      <c r="H1555">
        <f t="shared" si="99"/>
        <v>2.7888888888888894E-2</v>
      </c>
    </row>
    <row r="1556" spans="1:8" x14ac:dyDescent="0.25">
      <c r="A1556">
        <v>1141</v>
      </c>
      <c r="B1556">
        <v>2</v>
      </c>
      <c r="C1556">
        <v>0.45946500000000001</v>
      </c>
      <c r="D1556">
        <v>0.29804323232305557</v>
      </c>
      <c r="E1556">
        <f t="shared" si="96"/>
        <v>1.9144375000000001E-3</v>
      </c>
      <c r="F1556">
        <f t="shared" si="97"/>
        <v>1.2418468013460648E-3</v>
      </c>
      <c r="G1556">
        <f t="shared" si="98"/>
        <v>1</v>
      </c>
      <c r="H1556">
        <f t="shared" si="99"/>
        <v>2.2973250000000001E-2</v>
      </c>
    </row>
    <row r="1557" spans="1:8" x14ac:dyDescent="0.25">
      <c r="A1557">
        <v>1141</v>
      </c>
      <c r="B1557">
        <v>3</v>
      </c>
      <c r="C1557">
        <v>0.52147861111111116</v>
      </c>
      <c r="D1557">
        <v>0.31962030555555548</v>
      </c>
      <c r="E1557">
        <f t="shared" si="96"/>
        <v>2.1728275462962964E-3</v>
      </c>
      <c r="F1557">
        <f t="shared" si="97"/>
        <v>1.3317512731481479E-3</v>
      </c>
      <c r="G1557">
        <f t="shared" si="98"/>
        <v>1</v>
      </c>
      <c r="H1557">
        <f t="shared" si="99"/>
        <v>2.6073930555555555E-2</v>
      </c>
    </row>
    <row r="1558" spans="1:8" x14ac:dyDescent="0.25">
      <c r="A1558">
        <v>1141</v>
      </c>
      <c r="B1558">
        <v>4</v>
      </c>
      <c r="C1558">
        <v>0.52640555555555557</v>
      </c>
      <c r="D1558">
        <v>0.32665079365055549</v>
      </c>
      <c r="E1558">
        <f t="shared" si="96"/>
        <v>2.1933564814814815E-3</v>
      </c>
      <c r="F1558">
        <f t="shared" si="97"/>
        <v>1.3610449735439812E-3</v>
      </c>
      <c r="G1558">
        <f t="shared" si="98"/>
        <v>1</v>
      </c>
      <c r="H1558">
        <f t="shared" si="99"/>
        <v>2.6320277777777776E-2</v>
      </c>
    </row>
    <row r="1559" spans="1:8" x14ac:dyDescent="0.25">
      <c r="A1559">
        <v>1141</v>
      </c>
      <c r="B1559">
        <v>5</v>
      </c>
      <c r="C1559">
        <v>1.4455786111111111</v>
      </c>
      <c r="D1559">
        <v>0.42436163888888889</v>
      </c>
      <c r="E1559">
        <f t="shared" si="96"/>
        <v>6.0232442129629629E-3</v>
      </c>
      <c r="F1559">
        <f t="shared" si="97"/>
        <v>1.7681734953703704E-3</v>
      </c>
      <c r="G1559">
        <f t="shared" si="98"/>
        <v>1</v>
      </c>
      <c r="H1559">
        <f t="shared" si="99"/>
        <v>7.2278930555555551E-2</v>
      </c>
    </row>
    <row r="1560" spans="1:8" x14ac:dyDescent="0.25">
      <c r="A1560">
        <v>1141</v>
      </c>
      <c r="B1560">
        <v>6</v>
      </c>
      <c r="C1560">
        <v>0.98416138888888893</v>
      </c>
      <c r="D1560">
        <v>0.35128455555555549</v>
      </c>
      <c r="E1560">
        <f t="shared" si="96"/>
        <v>4.1006724537037036E-3</v>
      </c>
      <c r="F1560">
        <f t="shared" si="97"/>
        <v>1.4636856481481479E-3</v>
      </c>
      <c r="G1560">
        <f t="shared" si="98"/>
        <v>1</v>
      </c>
      <c r="H1560">
        <f t="shared" si="99"/>
        <v>4.9208069444444447E-2</v>
      </c>
    </row>
    <row r="1561" spans="1:8" x14ac:dyDescent="0.25">
      <c r="A1561">
        <v>1141</v>
      </c>
      <c r="B1561">
        <v>7</v>
      </c>
      <c r="C1561">
        <v>0.3976527777777778</v>
      </c>
      <c r="D1561">
        <v>0.26552760582000001</v>
      </c>
      <c r="E1561">
        <f t="shared" si="96"/>
        <v>1.6568865740740743E-3</v>
      </c>
      <c r="F1561">
        <f t="shared" si="97"/>
        <v>1.10636502425E-3</v>
      </c>
      <c r="G1561">
        <f t="shared" si="98"/>
        <v>1</v>
      </c>
      <c r="H1561">
        <f t="shared" si="99"/>
        <v>1.9882638888888891E-2</v>
      </c>
    </row>
    <row r="1562" spans="1:8" x14ac:dyDescent="0.25">
      <c r="A1562">
        <v>1141</v>
      </c>
      <c r="B1562">
        <v>8</v>
      </c>
      <c r="C1562">
        <v>0.4230936111111111</v>
      </c>
      <c r="D1562">
        <v>0.24845725845388891</v>
      </c>
      <c r="E1562">
        <f t="shared" si="96"/>
        <v>1.7628900462962963E-3</v>
      </c>
      <c r="F1562">
        <f t="shared" si="97"/>
        <v>1.0352385768912038E-3</v>
      </c>
      <c r="G1562">
        <f t="shared" si="98"/>
        <v>1</v>
      </c>
      <c r="H1562">
        <f t="shared" si="99"/>
        <v>2.1154680555555555E-2</v>
      </c>
    </row>
    <row r="1563" spans="1:8" x14ac:dyDescent="0.25">
      <c r="A1563">
        <v>1141</v>
      </c>
      <c r="B1563">
        <v>9</v>
      </c>
      <c r="C1563">
        <v>0.2729611111111111</v>
      </c>
      <c r="D1563">
        <v>0.21669369444444439</v>
      </c>
      <c r="E1563">
        <f t="shared" si="96"/>
        <v>1.137337962962963E-3</v>
      </c>
      <c r="F1563">
        <f t="shared" si="97"/>
        <v>9.0289039351851839E-4</v>
      </c>
      <c r="G1563">
        <f t="shared" si="98"/>
        <v>1</v>
      </c>
      <c r="H1563">
        <f t="shared" si="99"/>
        <v>1.3648055555555556E-2</v>
      </c>
    </row>
    <row r="1564" spans="1:8" x14ac:dyDescent="0.25">
      <c r="A1564">
        <v>1141</v>
      </c>
      <c r="B1564">
        <v>10</v>
      </c>
      <c r="C1564">
        <v>0.37506</v>
      </c>
      <c r="D1564">
        <v>0.27846679292916671</v>
      </c>
      <c r="E1564">
        <f t="shared" si="96"/>
        <v>1.5627499999999999E-3</v>
      </c>
      <c r="F1564">
        <f t="shared" si="97"/>
        <v>1.1602783038715278E-3</v>
      </c>
      <c r="G1564">
        <f t="shared" si="98"/>
        <v>1</v>
      </c>
      <c r="H1564">
        <f t="shared" si="99"/>
        <v>1.8752999999999999E-2</v>
      </c>
    </row>
    <row r="1565" spans="1:8" x14ac:dyDescent="0.25">
      <c r="A1565">
        <v>1141</v>
      </c>
      <c r="B1565">
        <v>11</v>
      </c>
      <c r="C1565">
        <v>0.4317563888888889</v>
      </c>
      <c r="D1565">
        <v>0.25202818181805547</v>
      </c>
      <c r="E1565">
        <f t="shared" si="96"/>
        <v>1.7989849537037037E-3</v>
      </c>
      <c r="F1565">
        <f t="shared" si="97"/>
        <v>1.0501174242418978E-3</v>
      </c>
      <c r="G1565">
        <f t="shared" si="98"/>
        <v>1</v>
      </c>
      <c r="H1565">
        <f t="shared" si="99"/>
        <v>2.1587819444444444E-2</v>
      </c>
    </row>
    <row r="1566" spans="1:8" x14ac:dyDescent="0.25">
      <c r="A1566">
        <v>1141</v>
      </c>
      <c r="B1566">
        <v>12</v>
      </c>
      <c r="C1566">
        <v>0.85401666666666665</v>
      </c>
      <c r="D1566">
        <v>0.29667927248666659</v>
      </c>
      <c r="E1566">
        <f t="shared" si="96"/>
        <v>3.558402777777778E-3</v>
      </c>
      <c r="F1566">
        <f t="shared" si="97"/>
        <v>1.2361636353611109E-3</v>
      </c>
      <c r="G1566">
        <f t="shared" si="98"/>
        <v>1</v>
      </c>
      <c r="H1566">
        <f t="shared" si="99"/>
        <v>4.2700833333333334E-2</v>
      </c>
    </row>
    <row r="1567" spans="1:8" x14ac:dyDescent="0.25">
      <c r="A1567">
        <v>1142</v>
      </c>
      <c r="B1567">
        <v>1</v>
      </c>
      <c r="C1567">
        <v>1.4750000000000001</v>
      </c>
      <c r="D1567">
        <v>1.4750000000000001</v>
      </c>
      <c r="E1567">
        <f t="shared" si="96"/>
        <v>6.1458333333333339E-3</v>
      </c>
      <c r="F1567">
        <f t="shared" si="97"/>
        <v>6.1458333333333339E-3</v>
      </c>
      <c r="G1567">
        <f t="shared" si="98"/>
        <v>1</v>
      </c>
      <c r="H1567">
        <f t="shared" si="99"/>
        <v>7.375000000000001E-2</v>
      </c>
    </row>
    <row r="1568" spans="1:8" x14ac:dyDescent="0.25">
      <c r="A1568">
        <v>1142</v>
      </c>
      <c r="B1568">
        <v>4</v>
      </c>
      <c r="C1568">
        <v>5.6333333333333337</v>
      </c>
      <c r="D1568">
        <v>5.6333333333333337</v>
      </c>
      <c r="E1568">
        <f t="shared" si="96"/>
        <v>2.3472222222222224E-2</v>
      </c>
      <c r="F1568">
        <f t="shared" si="97"/>
        <v>2.3472222222222224E-2</v>
      </c>
      <c r="G1568">
        <f t="shared" si="98"/>
        <v>1</v>
      </c>
      <c r="H1568">
        <f t="shared" si="99"/>
        <v>0.28166666666666668</v>
      </c>
    </row>
    <row r="1569" spans="1:8" x14ac:dyDescent="0.25">
      <c r="A1569">
        <v>1142</v>
      </c>
      <c r="B1569">
        <v>6</v>
      </c>
      <c r="C1569">
        <v>0.26666666666666672</v>
      </c>
      <c r="D1569">
        <v>0.26666666666666672</v>
      </c>
      <c r="E1569">
        <f t="shared" si="96"/>
        <v>1.1111111111111113E-3</v>
      </c>
      <c r="F1569">
        <f t="shared" si="97"/>
        <v>1.1111111111111113E-3</v>
      </c>
      <c r="G1569">
        <f t="shared" si="98"/>
        <v>1</v>
      </c>
      <c r="H1569">
        <f t="shared" si="99"/>
        <v>1.3333333333333336E-2</v>
      </c>
    </row>
    <row r="1570" spans="1:8" x14ac:dyDescent="0.25">
      <c r="A1570">
        <v>1142</v>
      </c>
      <c r="B1570">
        <v>8</v>
      </c>
      <c r="C1570">
        <v>0</v>
      </c>
      <c r="D1570">
        <v>0</v>
      </c>
      <c r="E1570">
        <f t="shared" si="96"/>
        <v>0</v>
      </c>
      <c r="F1570">
        <f t="shared" si="97"/>
        <v>0</v>
      </c>
      <c r="G1570">
        <f t="shared" si="98"/>
        <v>0</v>
      </c>
      <c r="H1570">
        <f t="shared" si="99"/>
        <v>0</v>
      </c>
    </row>
    <row r="1571" spans="1:8" x14ac:dyDescent="0.25">
      <c r="A1571">
        <v>1143</v>
      </c>
      <c r="B1571">
        <v>1</v>
      </c>
      <c r="C1571">
        <v>0.96972222222222215</v>
      </c>
      <c r="D1571">
        <v>0.5116666666666666</v>
      </c>
      <c r="E1571">
        <f t="shared" si="96"/>
        <v>4.0405092592592584E-3</v>
      </c>
      <c r="F1571">
        <f t="shared" si="97"/>
        <v>2.1319444444444441E-3</v>
      </c>
      <c r="G1571">
        <f t="shared" si="98"/>
        <v>1</v>
      </c>
      <c r="H1571">
        <f t="shared" si="99"/>
        <v>4.8486111111111105E-2</v>
      </c>
    </row>
    <row r="1572" spans="1:8" x14ac:dyDescent="0.25">
      <c r="A1572">
        <v>1143</v>
      </c>
      <c r="B1572">
        <v>4</v>
      </c>
      <c r="C1572">
        <v>2.0014680555555562</v>
      </c>
      <c r="D1572">
        <v>1.018209027777778</v>
      </c>
      <c r="E1572">
        <f t="shared" si="96"/>
        <v>8.3394502314814833E-3</v>
      </c>
      <c r="F1572">
        <f t="shared" si="97"/>
        <v>4.2425376157407416E-3</v>
      </c>
      <c r="G1572">
        <f t="shared" si="98"/>
        <v>1</v>
      </c>
      <c r="H1572">
        <f t="shared" si="99"/>
        <v>0.10007340277777779</v>
      </c>
    </row>
    <row r="1573" spans="1:8" x14ac:dyDescent="0.25">
      <c r="A1573">
        <v>1143</v>
      </c>
      <c r="B1573">
        <v>6</v>
      </c>
      <c r="C1573">
        <v>9.7382222222222217E-2</v>
      </c>
      <c r="D1573">
        <v>9.7382222222222217E-2</v>
      </c>
      <c r="E1573">
        <f t="shared" si="96"/>
        <v>4.0575925925925919E-4</v>
      </c>
      <c r="F1573">
        <f t="shared" si="97"/>
        <v>4.0575925925925919E-4</v>
      </c>
      <c r="G1573">
        <f t="shared" si="98"/>
        <v>1</v>
      </c>
      <c r="H1573">
        <f t="shared" si="99"/>
        <v>4.8691111111111105E-3</v>
      </c>
    </row>
    <row r="1574" spans="1:8" x14ac:dyDescent="0.25">
      <c r="A1574">
        <v>1143</v>
      </c>
      <c r="B1574">
        <v>7</v>
      </c>
      <c r="C1574">
        <v>2.5134138888888891</v>
      </c>
      <c r="D1574">
        <v>1.2762676388888889</v>
      </c>
      <c r="E1574">
        <f t="shared" si="96"/>
        <v>1.0472557870370372E-2</v>
      </c>
      <c r="F1574">
        <f t="shared" si="97"/>
        <v>5.3177818287037035E-3</v>
      </c>
      <c r="G1574">
        <f t="shared" si="98"/>
        <v>1</v>
      </c>
      <c r="H1574">
        <f t="shared" si="99"/>
        <v>0.12567069444444445</v>
      </c>
    </row>
    <row r="1575" spans="1:8" x14ac:dyDescent="0.25">
      <c r="A1575">
        <v>1143</v>
      </c>
      <c r="B1575">
        <v>10</v>
      </c>
      <c r="C1575">
        <v>1.0958769444444449</v>
      </c>
      <c r="D1575">
        <v>0.56815694444444442</v>
      </c>
      <c r="E1575">
        <f t="shared" si="96"/>
        <v>4.566153935185187E-3</v>
      </c>
      <c r="F1575">
        <f t="shared" si="97"/>
        <v>2.3673206018518518E-3</v>
      </c>
      <c r="G1575">
        <f t="shared" si="98"/>
        <v>1</v>
      </c>
      <c r="H1575">
        <f t="shared" si="99"/>
        <v>5.4793847222222247E-2</v>
      </c>
    </row>
    <row r="1576" spans="1:8" x14ac:dyDescent="0.25">
      <c r="A1576">
        <v>1143</v>
      </c>
      <c r="B1576">
        <v>12</v>
      </c>
      <c r="C1576">
        <v>0.10872416666666671</v>
      </c>
      <c r="D1576">
        <v>0.10872416666666671</v>
      </c>
      <c r="E1576">
        <f t="shared" si="96"/>
        <v>4.5301736111111129E-4</v>
      </c>
      <c r="F1576">
        <f t="shared" si="97"/>
        <v>4.5301736111111129E-4</v>
      </c>
      <c r="G1576">
        <f t="shared" si="98"/>
        <v>1</v>
      </c>
      <c r="H1576">
        <f t="shared" si="99"/>
        <v>5.4362083333333354E-3</v>
      </c>
    </row>
    <row r="1577" spans="1:8" x14ac:dyDescent="0.25">
      <c r="A1577">
        <v>1144</v>
      </c>
      <c r="B1577">
        <v>1</v>
      </c>
      <c r="C1577">
        <v>0.47138888888888891</v>
      </c>
      <c r="D1577">
        <v>0.27277777777777779</v>
      </c>
      <c r="E1577">
        <f t="shared" si="96"/>
        <v>1.9641203703703704E-3</v>
      </c>
      <c r="F1577">
        <f t="shared" si="97"/>
        <v>1.1365740740740741E-3</v>
      </c>
      <c r="G1577">
        <f t="shared" si="98"/>
        <v>1</v>
      </c>
      <c r="H1577">
        <f t="shared" si="99"/>
        <v>2.3569444444444445E-2</v>
      </c>
    </row>
    <row r="1578" spans="1:8" x14ac:dyDescent="0.25">
      <c r="A1578">
        <v>1144</v>
      </c>
      <c r="B1578">
        <v>2</v>
      </c>
      <c r="C1578">
        <v>1.055217222222222</v>
      </c>
      <c r="D1578">
        <v>0.88587537878777778</v>
      </c>
      <c r="E1578">
        <f t="shared" si="96"/>
        <v>4.3967384259259246E-3</v>
      </c>
      <c r="F1578">
        <f t="shared" si="97"/>
        <v>3.6911474116157407E-3</v>
      </c>
      <c r="G1578">
        <f t="shared" si="98"/>
        <v>1</v>
      </c>
      <c r="H1578">
        <f t="shared" si="99"/>
        <v>5.2760861111111099E-2</v>
      </c>
    </row>
    <row r="1579" spans="1:8" x14ac:dyDescent="0.25">
      <c r="A1579">
        <v>1144</v>
      </c>
      <c r="B1579">
        <v>3</v>
      </c>
      <c r="C1579">
        <v>1.0207474999999999</v>
      </c>
      <c r="D1579">
        <v>0.92904538888888888</v>
      </c>
      <c r="E1579">
        <f t="shared" si="96"/>
        <v>4.2531145833333327E-3</v>
      </c>
      <c r="F1579">
        <f t="shared" si="97"/>
        <v>3.8710224537037035E-3</v>
      </c>
      <c r="G1579">
        <f t="shared" si="98"/>
        <v>1</v>
      </c>
      <c r="H1579">
        <f t="shared" si="99"/>
        <v>5.1037374999999996E-2</v>
      </c>
    </row>
    <row r="1580" spans="1:8" x14ac:dyDescent="0.25">
      <c r="A1580">
        <v>1144</v>
      </c>
      <c r="B1580">
        <v>4</v>
      </c>
      <c r="C1580">
        <v>0.95587833333333339</v>
      </c>
      <c r="D1580">
        <v>0.2349673544972222</v>
      </c>
      <c r="E1580">
        <f t="shared" si="96"/>
        <v>3.982826388888889E-3</v>
      </c>
      <c r="F1580">
        <f t="shared" si="97"/>
        <v>9.7903064373842572E-4</v>
      </c>
      <c r="G1580">
        <f t="shared" si="98"/>
        <v>1</v>
      </c>
      <c r="H1580">
        <f t="shared" si="99"/>
        <v>4.7793916666666672E-2</v>
      </c>
    </row>
    <row r="1581" spans="1:8" x14ac:dyDescent="0.25">
      <c r="A1581">
        <v>1144</v>
      </c>
      <c r="B1581">
        <v>5</v>
      </c>
      <c r="C1581">
        <v>0.19958999999999999</v>
      </c>
      <c r="D1581">
        <v>8.2440236111111106E-2</v>
      </c>
      <c r="E1581">
        <f t="shared" si="96"/>
        <v>8.316249999999999E-4</v>
      </c>
      <c r="F1581">
        <f t="shared" si="97"/>
        <v>3.4350098379629627E-4</v>
      </c>
      <c r="G1581">
        <f t="shared" si="98"/>
        <v>1</v>
      </c>
      <c r="H1581">
        <f t="shared" si="99"/>
        <v>9.9794999999999988E-3</v>
      </c>
    </row>
    <row r="1582" spans="1:8" x14ac:dyDescent="0.25">
      <c r="A1582">
        <v>1144</v>
      </c>
      <c r="B1582">
        <v>6</v>
      </c>
      <c r="C1582">
        <v>0.2432047222222222</v>
      </c>
      <c r="D1582">
        <v>0.1063959259258333</v>
      </c>
      <c r="E1582">
        <f t="shared" si="96"/>
        <v>1.0133530092592592E-3</v>
      </c>
      <c r="F1582">
        <f t="shared" si="97"/>
        <v>4.4331635802430537E-4</v>
      </c>
      <c r="G1582">
        <f t="shared" si="98"/>
        <v>1</v>
      </c>
      <c r="H1582">
        <f t="shared" si="99"/>
        <v>1.2160236111111111E-2</v>
      </c>
    </row>
    <row r="1583" spans="1:8" x14ac:dyDescent="0.25">
      <c r="A1583">
        <v>1144</v>
      </c>
      <c r="B1583">
        <v>7</v>
      </c>
      <c r="C1583">
        <v>0.26247055555555548</v>
      </c>
      <c r="D1583">
        <v>0.10865372222222219</v>
      </c>
      <c r="E1583">
        <f t="shared" si="96"/>
        <v>1.0936273148148144E-3</v>
      </c>
      <c r="F1583">
        <f t="shared" si="97"/>
        <v>4.5272384259259247E-4</v>
      </c>
      <c r="G1583">
        <f t="shared" si="98"/>
        <v>1</v>
      </c>
      <c r="H1583">
        <f t="shared" si="99"/>
        <v>1.3123527777777772E-2</v>
      </c>
    </row>
    <row r="1584" spans="1:8" x14ac:dyDescent="0.25">
      <c r="A1584">
        <v>1144</v>
      </c>
      <c r="B1584">
        <v>8</v>
      </c>
      <c r="C1584">
        <v>0.53165083333333329</v>
      </c>
      <c r="D1584">
        <v>0.19074774154583329</v>
      </c>
      <c r="E1584">
        <f t="shared" si="96"/>
        <v>2.2152118055555553E-3</v>
      </c>
      <c r="F1584">
        <f t="shared" si="97"/>
        <v>7.9478225644097204E-4</v>
      </c>
      <c r="G1584">
        <f t="shared" si="98"/>
        <v>1</v>
      </c>
      <c r="H1584">
        <f t="shared" si="99"/>
        <v>2.6582541666666664E-2</v>
      </c>
    </row>
    <row r="1585" spans="1:8" x14ac:dyDescent="0.25">
      <c r="A1585">
        <v>1144</v>
      </c>
      <c r="B1585">
        <v>9</v>
      </c>
      <c r="C1585">
        <v>0.25486027777777781</v>
      </c>
      <c r="D1585">
        <v>0.1882230138888889</v>
      </c>
      <c r="E1585">
        <f t="shared" si="96"/>
        <v>1.0619178240740743E-3</v>
      </c>
      <c r="F1585">
        <f t="shared" si="97"/>
        <v>7.8426255787037043E-4</v>
      </c>
      <c r="G1585">
        <f t="shared" si="98"/>
        <v>1</v>
      </c>
      <c r="H1585">
        <f t="shared" si="99"/>
        <v>1.2743013888888891E-2</v>
      </c>
    </row>
    <row r="1586" spans="1:8" x14ac:dyDescent="0.25">
      <c r="A1586">
        <v>1144</v>
      </c>
      <c r="B1586">
        <v>10</v>
      </c>
      <c r="C1586">
        <v>0.23207722222222221</v>
      </c>
      <c r="D1586">
        <v>0.1485417297977778</v>
      </c>
      <c r="E1586">
        <f t="shared" si="96"/>
        <v>9.6698842592592583E-4</v>
      </c>
      <c r="F1586">
        <f t="shared" si="97"/>
        <v>6.1892387415740755E-4</v>
      </c>
      <c r="G1586">
        <f t="shared" si="98"/>
        <v>1</v>
      </c>
      <c r="H1586">
        <f t="shared" si="99"/>
        <v>1.160386111111111E-2</v>
      </c>
    </row>
    <row r="1587" spans="1:8" x14ac:dyDescent="0.25">
      <c r="A1587">
        <v>1144</v>
      </c>
      <c r="B1587">
        <v>11</v>
      </c>
      <c r="C1587">
        <v>0.58696694444444442</v>
      </c>
      <c r="D1587">
        <v>0.23759873737361109</v>
      </c>
      <c r="E1587">
        <f t="shared" si="96"/>
        <v>2.4456956018518517E-3</v>
      </c>
      <c r="F1587">
        <f t="shared" si="97"/>
        <v>9.8999473905671286E-4</v>
      </c>
      <c r="G1587">
        <f t="shared" si="98"/>
        <v>1</v>
      </c>
      <c r="H1587">
        <f t="shared" si="99"/>
        <v>2.934834722222222E-2</v>
      </c>
    </row>
    <row r="1588" spans="1:8" x14ac:dyDescent="0.25">
      <c r="A1588">
        <v>1144</v>
      </c>
      <c r="B1588">
        <v>12</v>
      </c>
      <c r="C1588">
        <v>0.31241777777777779</v>
      </c>
      <c r="D1588">
        <v>0.15844398148138891</v>
      </c>
      <c r="E1588">
        <f t="shared" si="96"/>
        <v>1.3017407407407407E-3</v>
      </c>
      <c r="F1588">
        <f t="shared" si="97"/>
        <v>6.6018325617245386E-4</v>
      </c>
      <c r="G1588">
        <f t="shared" si="98"/>
        <v>1</v>
      </c>
      <c r="H1588">
        <f t="shared" si="99"/>
        <v>1.5620888888888889E-2</v>
      </c>
    </row>
    <row r="1589" spans="1:8" x14ac:dyDescent="0.25">
      <c r="A1589">
        <v>1145</v>
      </c>
      <c r="B1589">
        <v>1</v>
      </c>
      <c r="C1589">
        <v>0.69138888888888894</v>
      </c>
      <c r="D1589">
        <v>0.37555555555555559</v>
      </c>
      <c r="E1589">
        <f t="shared" si="96"/>
        <v>2.8807870370370372E-3</v>
      </c>
      <c r="F1589">
        <f t="shared" si="97"/>
        <v>1.5648148148148149E-3</v>
      </c>
      <c r="G1589">
        <f t="shared" si="98"/>
        <v>1</v>
      </c>
      <c r="H1589">
        <f t="shared" si="99"/>
        <v>3.4569444444444444E-2</v>
      </c>
    </row>
    <row r="1590" spans="1:8" x14ac:dyDescent="0.25">
      <c r="A1590">
        <v>1145</v>
      </c>
      <c r="B1590">
        <v>4</v>
      </c>
      <c r="C1590">
        <v>0.66911833333333337</v>
      </c>
      <c r="D1590">
        <v>0.66911833333333337</v>
      </c>
      <c r="E1590">
        <f t="shared" si="96"/>
        <v>2.7879930555555557E-3</v>
      </c>
      <c r="F1590">
        <f t="shared" si="97"/>
        <v>2.7879930555555557E-3</v>
      </c>
      <c r="G1590">
        <f t="shared" si="98"/>
        <v>1</v>
      </c>
      <c r="H1590">
        <f t="shared" si="99"/>
        <v>3.3455916666666669E-2</v>
      </c>
    </row>
    <row r="1591" spans="1:8" x14ac:dyDescent="0.25">
      <c r="A1591">
        <v>1145</v>
      </c>
      <c r="B1591">
        <v>6</v>
      </c>
      <c r="C1591">
        <v>0.63833694444444444</v>
      </c>
      <c r="D1591">
        <v>0.22487765432083329</v>
      </c>
      <c r="E1591">
        <f t="shared" si="96"/>
        <v>2.6597372685185187E-3</v>
      </c>
      <c r="F1591">
        <f t="shared" si="97"/>
        <v>9.3699022633680527E-4</v>
      </c>
      <c r="G1591">
        <f t="shared" si="98"/>
        <v>1</v>
      </c>
      <c r="H1591">
        <f t="shared" si="99"/>
        <v>3.1916847222222225E-2</v>
      </c>
    </row>
    <row r="1592" spans="1:8" x14ac:dyDescent="0.25">
      <c r="A1592">
        <v>1145</v>
      </c>
      <c r="B1592">
        <v>7</v>
      </c>
      <c r="C1592">
        <v>0.74785250000000003</v>
      </c>
      <c r="D1592">
        <v>0.31329708333333328</v>
      </c>
      <c r="E1592">
        <f t="shared" si="96"/>
        <v>3.1160520833333331E-3</v>
      </c>
      <c r="F1592">
        <f t="shared" si="97"/>
        <v>1.3054045138888887E-3</v>
      </c>
      <c r="G1592">
        <f t="shared" si="98"/>
        <v>1</v>
      </c>
      <c r="H1592">
        <f t="shared" si="99"/>
        <v>3.7392624999999999E-2</v>
      </c>
    </row>
    <row r="1593" spans="1:8" x14ac:dyDescent="0.25">
      <c r="A1593">
        <v>1145</v>
      </c>
      <c r="B1593">
        <v>9</v>
      </c>
      <c r="C1593">
        <v>1.1019686111111111</v>
      </c>
      <c r="D1593">
        <v>0.52753398148138886</v>
      </c>
      <c r="E1593">
        <f t="shared" si="96"/>
        <v>4.5915358796296294E-3</v>
      </c>
      <c r="F1593">
        <f t="shared" si="97"/>
        <v>2.1980582561724536E-3</v>
      </c>
      <c r="G1593">
        <f t="shared" si="98"/>
        <v>1</v>
      </c>
      <c r="H1593">
        <f t="shared" si="99"/>
        <v>5.509843055555555E-2</v>
      </c>
    </row>
    <row r="1594" spans="1:8" x14ac:dyDescent="0.25">
      <c r="A1594">
        <v>1145</v>
      </c>
      <c r="B1594">
        <v>10</v>
      </c>
      <c r="C1594">
        <v>0.85352888888888889</v>
      </c>
      <c r="D1594">
        <v>0.32148690476166669</v>
      </c>
      <c r="E1594">
        <f t="shared" si="96"/>
        <v>3.5563703703703708E-3</v>
      </c>
      <c r="F1594">
        <f t="shared" si="97"/>
        <v>1.3395287698402779E-3</v>
      </c>
      <c r="G1594">
        <f t="shared" si="98"/>
        <v>1</v>
      </c>
      <c r="H1594">
        <f t="shared" si="99"/>
        <v>4.2676444444444447E-2</v>
      </c>
    </row>
    <row r="1595" spans="1:8" x14ac:dyDescent="0.25">
      <c r="A1595">
        <v>1145</v>
      </c>
      <c r="B1595">
        <v>11</v>
      </c>
      <c r="C1595">
        <v>1.2165349999999999</v>
      </c>
      <c r="D1595">
        <v>0.64493231481472224</v>
      </c>
      <c r="E1595">
        <f t="shared" si="96"/>
        <v>5.0688958333333332E-3</v>
      </c>
      <c r="F1595">
        <f t="shared" si="97"/>
        <v>2.687217978394676E-3</v>
      </c>
      <c r="G1595">
        <f t="shared" si="98"/>
        <v>1</v>
      </c>
      <c r="H1595">
        <f t="shared" si="99"/>
        <v>6.0826749999999999E-2</v>
      </c>
    </row>
    <row r="1596" spans="1:8" x14ac:dyDescent="0.25">
      <c r="A1596">
        <v>1145</v>
      </c>
      <c r="B1596">
        <v>12</v>
      </c>
      <c r="C1596">
        <v>0.30239611111111109</v>
      </c>
      <c r="D1596">
        <v>0.30239611111111109</v>
      </c>
      <c r="E1596">
        <f t="shared" si="96"/>
        <v>1.2599837962962962E-3</v>
      </c>
      <c r="F1596">
        <f t="shared" si="97"/>
        <v>1.2599837962962962E-3</v>
      </c>
      <c r="G1596">
        <f t="shared" si="98"/>
        <v>1</v>
      </c>
      <c r="H1596">
        <f t="shared" si="99"/>
        <v>1.5119805555555553E-2</v>
      </c>
    </row>
    <row r="1597" spans="1:8" x14ac:dyDescent="0.25">
      <c r="A1597">
        <v>1146</v>
      </c>
      <c r="B1597">
        <v>1</v>
      </c>
      <c r="C1597">
        <v>0.42</v>
      </c>
      <c r="D1597">
        <v>0.32444444444444442</v>
      </c>
      <c r="E1597">
        <f t="shared" si="96"/>
        <v>1.7499999999999998E-3</v>
      </c>
      <c r="F1597">
        <f t="shared" si="97"/>
        <v>1.3518518518518517E-3</v>
      </c>
      <c r="G1597">
        <f t="shared" si="98"/>
        <v>1</v>
      </c>
      <c r="H1597">
        <f t="shared" si="99"/>
        <v>2.0999999999999998E-2</v>
      </c>
    </row>
    <row r="1598" spans="1:8" x14ac:dyDescent="0.25">
      <c r="A1598">
        <v>1146</v>
      </c>
      <c r="B1598">
        <v>2</v>
      </c>
      <c r="C1598">
        <v>0.24433722222222221</v>
      </c>
      <c r="D1598">
        <v>0.22105498737361109</v>
      </c>
      <c r="E1598">
        <f t="shared" si="96"/>
        <v>1.0180717592592591E-3</v>
      </c>
      <c r="F1598">
        <f t="shared" si="97"/>
        <v>9.2106244739004629E-4</v>
      </c>
      <c r="G1598">
        <f t="shared" si="98"/>
        <v>1</v>
      </c>
      <c r="H1598">
        <f t="shared" si="99"/>
        <v>1.2216861111111109E-2</v>
      </c>
    </row>
    <row r="1599" spans="1:8" x14ac:dyDescent="0.25">
      <c r="A1599">
        <v>1146</v>
      </c>
      <c r="B1599">
        <v>3</v>
      </c>
      <c r="C1599">
        <v>0.30556666666666671</v>
      </c>
      <c r="D1599">
        <v>0.23219375</v>
      </c>
      <c r="E1599">
        <f t="shared" si="96"/>
        <v>1.2731944444444446E-3</v>
      </c>
      <c r="F1599">
        <f t="shared" si="97"/>
        <v>9.6747395833333332E-4</v>
      </c>
      <c r="G1599">
        <f t="shared" si="98"/>
        <v>1</v>
      </c>
      <c r="H1599">
        <f t="shared" si="99"/>
        <v>1.5278333333333335E-2</v>
      </c>
    </row>
    <row r="1600" spans="1:8" x14ac:dyDescent="0.25">
      <c r="A1600">
        <v>1146</v>
      </c>
      <c r="B1600">
        <v>4</v>
      </c>
      <c r="C1600">
        <v>0.46587222222222219</v>
      </c>
      <c r="D1600">
        <v>0.23837707671944439</v>
      </c>
      <c r="E1600">
        <f t="shared" si="96"/>
        <v>1.941134259259259E-3</v>
      </c>
      <c r="F1600">
        <f t="shared" si="97"/>
        <v>9.9323781966435148E-4</v>
      </c>
      <c r="G1600">
        <f t="shared" si="98"/>
        <v>1</v>
      </c>
      <c r="H1600">
        <f t="shared" si="99"/>
        <v>2.3293611111111109E-2</v>
      </c>
    </row>
    <row r="1601" spans="1:8" x14ac:dyDescent="0.25">
      <c r="A1601">
        <v>1146</v>
      </c>
      <c r="B1601">
        <v>5</v>
      </c>
      <c r="C1601">
        <v>0.26765</v>
      </c>
      <c r="D1601">
        <v>0.21804579166666671</v>
      </c>
      <c r="E1601">
        <f t="shared" si="96"/>
        <v>1.1152083333333333E-3</v>
      </c>
      <c r="F1601">
        <f t="shared" si="97"/>
        <v>9.0852413194444459E-4</v>
      </c>
      <c r="G1601">
        <f t="shared" si="98"/>
        <v>1</v>
      </c>
      <c r="H1601">
        <f t="shared" si="99"/>
        <v>1.3382499999999999E-2</v>
      </c>
    </row>
    <row r="1602" spans="1:8" x14ac:dyDescent="0.25">
      <c r="A1602">
        <v>1146</v>
      </c>
      <c r="B1602">
        <v>6</v>
      </c>
      <c r="C1602">
        <v>0.45781861111111111</v>
      </c>
      <c r="D1602">
        <v>0.3018825277777778</v>
      </c>
      <c r="E1602">
        <f t="shared" ref="E1602:E1665" si="100">+C1602/20/12</f>
        <v>1.9075775462962963E-3</v>
      </c>
      <c r="F1602">
        <f t="shared" ref="F1602:F1665" si="101">+D1602/20/12</f>
        <v>1.2578438657407408E-3</v>
      </c>
      <c r="G1602">
        <f t="shared" ref="G1602:G1665" si="102">+ROUNDUP(E1602*12,0)</f>
        <v>1</v>
      </c>
      <c r="H1602">
        <f t="shared" ref="H1602:H1665" si="103">+E1602*12</f>
        <v>2.2890930555555557E-2</v>
      </c>
    </row>
    <row r="1603" spans="1:8" x14ac:dyDescent="0.25">
      <c r="A1603">
        <v>1146</v>
      </c>
      <c r="B1603">
        <v>7</v>
      </c>
      <c r="C1603">
        <v>0.42961749999999999</v>
      </c>
      <c r="D1603">
        <v>0.40653395502638889</v>
      </c>
      <c r="E1603">
        <f t="shared" si="100"/>
        <v>1.7900729166666666E-3</v>
      </c>
      <c r="F1603">
        <f t="shared" si="101"/>
        <v>1.6938914792766204E-3</v>
      </c>
      <c r="G1603">
        <f t="shared" si="102"/>
        <v>1</v>
      </c>
      <c r="H1603">
        <f t="shared" si="103"/>
        <v>2.1480875E-2</v>
      </c>
    </row>
    <row r="1604" spans="1:8" x14ac:dyDescent="0.25">
      <c r="A1604">
        <v>1146</v>
      </c>
      <c r="B1604">
        <v>8</v>
      </c>
      <c r="C1604">
        <v>0.42964583333333328</v>
      </c>
      <c r="D1604">
        <v>0.40094594202888889</v>
      </c>
      <c r="E1604">
        <f t="shared" si="100"/>
        <v>1.7901909722222219E-3</v>
      </c>
      <c r="F1604">
        <f t="shared" si="101"/>
        <v>1.670608091787037E-3</v>
      </c>
      <c r="G1604">
        <f t="shared" si="102"/>
        <v>1</v>
      </c>
      <c r="H1604">
        <f t="shared" si="103"/>
        <v>2.1482291666666663E-2</v>
      </c>
    </row>
    <row r="1605" spans="1:8" x14ac:dyDescent="0.25">
      <c r="A1605">
        <v>1146</v>
      </c>
      <c r="B1605">
        <v>9</v>
      </c>
      <c r="C1605">
        <v>0.54990111111111106</v>
      </c>
      <c r="D1605">
        <v>0.50297515277777782</v>
      </c>
      <c r="E1605">
        <f t="shared" si="100"/>
        <v>2.2912546296296296E-3</v>
      </c>
      <c r="F1605">
        <f t="shared" si="101"/>
        <v>2.095729803240741E-3</v>
      </c>
      <c r="G1605">
        <f t="shared" si="102"/>
        <v>1</v>
      </c>
      <c r="H1605">
        <f t="shared" si="103"/>
        <v>2.7495055555555557E-2</v>
      </c>
    </row>
    <row r="1606" spans="1:8" x14ac:dyDescent="0.25">
      <c r="A1606">
        <v>1146</v>
      </c>
      <c r="B1606">
        <v>10</v>
      </c>
      <c r="C1606">
        <v>0.53878666666666664</v>
      </c>
      <c r="D1606">
        <v>0.44837458333333341</v>
      </c>
      <c r="E1606">
        <f t="shared" si="100"/>
        <v>2.2449444444444444E-3</v>
      </c>
      <c r="F1606">
        <f t="shared" si="101"/>
        <v>1.8682274305555559E-3</v>
      </c>
      <c r="G1606">
        <f t="shared" si="102"/>
        <v>1</v>
      </c>
      <c r="H1606">
        <f t="shared" si="103"/>
        <v>2.6939333333333332E-2</v>
      </c>
    </row>
    <row r="1607" spans="1:8" x14ac:dyDescent="0.25">
      <c r="A1607">
        <v>1146</v>
      </c>
      <c r="B1607">
        <v>11</v>
      </c>
      <c r="C1607">
        <v>0.52896194444444444</v>
      </c>
      <c r="D1607">
        <v>0.47243886363611109</v>
      </c>
      <c r="E1607">
        <f t="shared" si="100"/>
        <v>2.204008101851852E-3</v>
      </c>
      <c r="F1607">
        <f t="shared" si="101"/>
        <v>1.968495265150463E-3</v>
      </c>
      <c r="G1607">
        <f t="shared" si="102"/>
        <v>1</v>
      </c>
      <c r="H1607">
        <f t="shared" si="103"/>
        <v>2.6448097222222224E-2</v>
      </c>
    </row>
    <row r="1608" spans="1:8" x14ac:dyDescent="0.25">
      <c r="A1608">
        <v>1146</v>
      </c>
      <c r="B1608">
        <v>12</v>
      </c>
      <c r="C1608">
        <v>0.82033055555555556</v>
      </c>
      <c r="D1608">
        <v>0.44924058201055561</v>
      </c>
      <c r="E1608">
        <f t="shared" si="100"/>
        <v>3.4180439814814815E-3</v>
      </c>
      <c r="F1608">
        <f t="shared" si="101"/>
        <v>1.8718357583773152E-3</v>
      </c>
      <c r="G1608">
        <f t="shared" si="102"/>
        <v>1</v>
      </c>
      <c r="H1608">
        <f t="shared" si="103"/>
        <v>4.1016527777777777E-2</v>
      </c>
    </row>
    <row r="1609" spans="1:8" x14ac:dyDescent="0.25">
      <c r="A1609">
        <v>1147</v>
      </c>
      <c r="B1609">
        <v>1</v>
      </c>
      <c r="C1609">
        <v>1.0366666666666666</v>
      </c>
      <c r="D1609">
        <v>0.47444444444444439</v>
      </c>
      <c r="E1609">
        <f t="shared" si="100"/>
        <v>4.3194444444444443E-3</v>
      </c>
      <c r="F1609">
        <f t="shared" si="101"/>
        <v>1.9768518518518516E-3</v>
      </c>
      <c r="G1609">
        <f t="shared" si="102"/>
        <v>1</v>
      </c>
      <c r="H1609">
        <f t="shared" si="103"/>
        <v>5.1833333333333328E-2</v>
      </c>
    </row>
    <row r="1610" spans="1:8" x14ac:dyDescent="0.25">
      <c r="A1610">
        <v>1147</v>
      </c>
      <c r="B1610">
        <v>9</v>
      </c>
      <c r="C1610">
        <v>2.0683122222222221</v>
      </c>
      <c r="D1610">
        <v>0.98281116666666668</v>
      </c>
      <c r="E1610">
        <f t="shared" si="100"/>
        <v>8.617967592592592E-3</v>
      </c>
      <c r="F1610">
        <f t="shared" si="101"/>
        <v>4.0950465277777778E-3</v>
      </c>
      <c r="G1610">
        <f t="shared" si="102"/>
        <v>1</v>
      </c>
      <c r="H1610">
        <f t="shared" si="103"/>
        <v>0.10341561111111111</v>
      </c>
    </row>
    <row r="1611" spans="1:8" x14ac:dyDescent="0.25">
      <c r="A1611">
        <v>1147</v>
      </c>
      <c r="B1611">
        <v>10</v>
      </c>
      <c r="C1611">
        <v>1.0110861111111109</v>
      </c>
      <c r="D1611">
        <v>0.61584370370361108</v>
      </c>
      <c r="E1611">
        <f t="shared" si="100"/>
        <v>4.2128587962962953E-3</v>
      </c>
      <c r="F1611">
        <f t="shared" si="101"/>
        <v>2.5660154320983797E-3</v>
      </c>
      <c r="G1611">
        <f t="shared" si="102"/>
        <v>1</v>
      </c>
      <c r="H1611">
        <f t="shared" si="103"/>
        <v>5.055430555555554E-2</v>
      </c>
    </row>
    <row r="1612" spans="1:8" x14ac:dyDescent="0.25">
      <c r="A1612">
        <v>1147</v>
      </c>
      <c r="B1612">
        <v>11</v>
      </c>
      <c r="C1612">
        <v>1.066849722222222</v>
      </c>
      <c r="D1612">
        <v>0.29906953703694439</v>
      </c>
      <c r="E1612">
        <f t="shared" si="100"/>
        <v>4.4452071759259254E-3</v>
      </c>
      <c r="F1612">
        <f t="shared" si="101"/>
        <v>1.2461230709872684E-3</v>
      </c>
      <c r="G1612">
        <f t="shared" si="102"/>
        <v>1</v>
      </c>
      <c r="H1612">
        <f t="shared" si="103"/>
        <v>5.3342486111111101E-2</v>
      </c>
    </row>
    <row r="1613" spans="1:8" x14ac:dyDescent="0.25">
      <c r="A1613">
        <v>1148</v>
      </c>
      <c r="B1613">
        <v>1</v>
      </c>
      <c r="C1613">
        <v>0.3347222222222222</v>
      </c>
      <c r="D1613">
        <v>0.13666666666666666</v>
      </c>
      <c r="E1613">
        <f t="shared" si="100"/>
        <v>1.3946759259259259E-3</v>
      </c>
      <c r="F1613">
        <f t="shared" si="101"/>
        <v>5.6944444444444436E-4</v>
      </c>
      <c r="G1613">
        <f t="shared" si="102"/>
        <v>1</v>
      </c>
      <c r="H1613">
        <f t="shared" si="103"/>
        <v>1.6736111111111111E-2</v>
      </c>
    </row>
    <row r="1614" spans="1:8" x14ac:dyDescent="0.25">
      <c r="A1614">
        <v>1148</v>
      </c>
      <c r="B1614">
        <v>2</v>
      </c>
      <c r="C1614">
        <v>0.15939722222222219</v>
      </c>
      <c r="D1614">
        <v>0.1393398015872222</v>
      </c>
      <c r="E1614">
        <f t="shared" si="100"/>
        <v>6.6415509259259249E-4</v>
      </c>
      <c r="F1614">
        <f t="shared" si="101"/>
        <v>5.8058250661342586E-4</v>
      </c>
      <c r="G1614">
        <f t="shared" si="102"/>
        <v>1</v>
      </c>
      <c r="H1614">
        <f t="shared" si="103"/>
        <v>7.9698611111111099E-3</v>
      </c>
    </row>
    <row r="1615" spans="1:8" x14ac:dyDescent="0.25">
      <c r="A1615">
        <v>1148</v>
      </c>
      <c r="B1615">
        <v>3</v>
      </c>
      <c r="C1615">
        <v>0.15278611111111109</v>
      </c>
      <c r="D1615">
        <v>0.14185463888888891</v>
      </c>
      <c r="E1615">
        <f t="shared" si="100"/>
        <v>6.3660879629629625E-4</v>
      </c>
      <c r="F1615">
        <f t="shared" si="101"/>
        <v>5.9106099537037046E-4</v>
      </c>
      <c r="G1615">
        <f t="shared" si="102"/>
        <v>1</v>
      </c>
      <c r="H1615">
        <f t="shared" si="103"/>
        <v>7.6393055555555554E-3</v>
      </c>
    </row>
    <row r="1616" spans="1:8" x14ac:dyDescent="0.25">
      <c r="A1616">
        <v>1148</v>
      </c>
      <c r="B1616">
        <v>4</v>
      </c>
      <c r="C1616">
        <v>0.3960252777777778</v>
      </c>
      <c r="D1616">
        <v>0.1490291005288889</v>
      </c>
      <c r="E1616">
        <f t="shared" si="100"/>
        <v>1.650105324074074E-3</v>
      </c>
      <c r="F1616">
        <f t="shared" si="101"/>
        <v>6.209545855370371E-4</v>
      </c>
      <c r="G1616">
        <f t="shared" si="102"/>
        <v>1</v>
      </c>
      <c r="H1616">
        <f t="shared" si="103"/>
        <v>1.9801263888888889E-2</v>
      </c>
    </row>
    <row r="1617" spans="1:8" x14ac:dyDescent="0.25">
      <c r="A1617">
        <v>1148</v>
      </c>
      <c r="B1617">
        <v>5</v>
      </c>
      <c r="C1617">
        <v>0.16617777777777781</v>
      </c>
      <c r="D1617">
        <v>0.14738097222222221</v>
      </c>
      <c r="E1617">
        <f t="shared" si="100"/>
        <v>6.9240740740740753E-4</v>
      </c>
      <c r="F1617">
        <f t="shared" si="101"/>
        <v>6.1408738425925921E-4</v>
      </c>
      <c r="G1617">
        <f t="shared" si="102"/>
        <v>1</v>
      </c>
      <c r="H1617">
        <f t="shared" si="103"/>
        <v>8.30888888888889E-3</v>
      </c>
    </row>
    <row r="1618" spans="1:8" x14ac:dyDescent="0.25">
      <c r="A1618">
        <v>1148</v>
      </c>
      <c r="B1618">
        <v>6</v>
      </c>
      <c r="C1618">
        <v>0.15701027777777779</v>
      </c>
      <c r="D1618">
        <v>9.1612905982777784E-2</v>
      </c>
      <c r="E1618">
        <f t="shared" si="100"/>
        <v>6.5420949074074079E-4</v>
      </c>
      <c r="F1618">
        <f t="shared" si="101"/>
        <v>3.8172044159490745E-4</v>
      </c>
      <c r="G1618">
        <f t="shared" si="102"/>
        <v>1</v>
      </c>
      <c r="H1618">
        <f t="shared" si="103"/>
        <v>7.8505138888888895E-3</v>
      </c>
    </row>
    <row r="1619" spans="1:8" x14ac:dyDescent="0.25">
      <c r="A1619">
        <v>1148</v>
      </c>
      <c r="B1619">
        <v>7</v>
      </c>
      <c r="C1619">
        <v>1.59236</v>
      </c>
      <c r="D1619">
        <v>0.2139118915341667</v>
      </c>
      <c r="E1619">
        <f t="shared" si="100"/>
        <v>6.6348333333333329E-3</v>
      </c>
      <c r="F1619">
        <f t="shared" si="101"/>
        <v>8.9129954805902787E-4</v>
      </c>
      <c r="G1619">
        <f t="shared" si="102"/>
        <v>1</v>
      </c>
      <c r="H1619">
        <f t="shared" si="103"/>
        <v>7.9617999999999994E-2</v>
      </c>
    </row>
    <row r="1620" spans="1:8" x14ac:dyDescent="0.25">
      <c r="A1620">
        <v>1148</v>
      </c>
      <c r="B1620">
        <v>8</v>
      </c>
      <c r="C1620">
        <v>0.30955027777777783</v>
      </c>
      <c r="D1620">
        <v>0.1428335869563889</v>
      </c>
      <c r="E1620">
        <f t="shared" si="100"/>
        <v>1.2897928240740743E-3</v>
      </c>
      <c r="F1620">
        <f t="shared" si="101"/>
        <v>5.9513994565162044E-4</v>
      </c>
      <c r="G1620">
        <f t="shared" si="102"/>
        <v>1</v>
      </c>
      <c r="H1620">
        <f t="shared" si="103"/>
        <v>1.5477513888888891E-2</v>
      </c>
    </row>
    <row r="1621" spans="1:8" x14ac:dyDescent="0.25">
      <c r="A1621">
        <v>1148</v>
      </c>
      <c r="B1621">
        <v>9</v>
      </c>
      <c r="C1621">
        <v>0.29265194444444442</v>
      </c>
      <c r="D1621">
        <v>0.15944087500000001</v>
      </c>
      <c r="E1621">
        <f t="shared" si="100"/>
        <v>1.2193831018518517E-3</v>
      </c>
      <c r="F1621">
        <f t="shared" si="101"/>
        <v>6.6433697916666676E-4</v>
      </c>
      <c r="G1621">
        <f t="shared" si="102"/>
        <v>1</v>
      </c>
      <c r="H1621">
        <f t="shared" si="103"/>
        <v>1.463259722222222E-2</v>
      </c>
    </row>
    <row r="1622" spans="1:8" x14ac:dyDescent="0.25">
      <c r="A1622">
        <v>1148</v>
      </c>
      <c r="B1622">
        <v>10</v>
      </c>
      <c r="C1622">
        <v>0.30755083333333327</v>
      </c>
      <c r="D1622">
        <v>0.1519900378786111</v>
      </c>
      <c r="E1622">
        <f t="shared" si="100"/>
        <v>1.2814618055555554E-3</v>
      </c>
      <c r="F1622">
        <f t="shared" si="101"/>
        <v>6.3329182449421283E-4</v>
      </c>
      <c r="G1622">
        <f t="shared" si="102"/>
        <v>1</v>
      </c>
      <c r="H1622">
        <f t="shared" si="103"/>
        <v>1.5377541666666664E-2</v>
      </c>
    </row>
    <row r="1623" spans="1:8" x14ac:dyDescent="0.25">
      <c r="A1623">
        <v>1148</v>
      </c>
      <c r="B1623">
        <v>11</v>
      </c>
      <c r="C1623">
        <v>0.32222499999999998</v>
      </c>
      <c r="D1623">
        <v>0.15608547979777779</v>
      </c>
      <c r="E1623">
        <f t="shared" si="100"/>
        <v>1.3426041666666666E-3</v>
      </c>
      <c r="F1623">
        <f t="shared" si="101"/>
        <v>6.5035616582407414E-4</v>
      </c>
      <c r="G1623">
        <f t="shared" si="102"/>
        <v>1</v>
      </c>
      <c r="H1623">
        <f t="shared" si="103"/>
        <v>1.6111250000000001E-2</v>
      </c>
    </row>
    <row r="1624" spans="1:8" x14ac:dyDescent="0.25">
      <c r="A1624">
        <v>1148</v>
      </c>
      <c r="B1624">
        <v>12</v>
      </c>
      <c r="C1624">
        <v>0.15983166666666671</v>
      </c>
      <c r="D1624">
        <v>0.14501427248666671</v>
      </c>
      <c r="E1624">
        <f t="shared" si="100"/>
        <v>6.6596527777777791E-4</v>
      </c>
      <c r="F1624">
        <f t="shared" si="101"/>
        <v>6.0422613536111134E-4</v>
      </c>
      <c r="G1624">
        <f t="shared" si="102"/>
        <v>1</v>
      </c>
      <c r="H1624">
        <f t="shared" si="103"/>
        <v>7.9915833333333349E-3</v>
      </c>
    </row>
    <row r="1625" spans="1:8" x14ac:dyDescent="0.25">
      <c r="A1625">
        <v>1149</v>
      </c>
      <c r="B1625">
        <v>1</v>
      </c>
      <c r="C1625">
        <v>0.30805555555555558</v>
      </c>
      <c r="D1625">
        <v>0.12444444444444444</v>
      </c>
      <c r="E1625">
        <f t="shared" si="100"/>
        <v>1.2835648148148149E-3</v>
      </c>
      <c r="F1625">
        <f t="shared" si="101"/>
        <v>5.1851851851851853E-4</v>
      </c>
      <c r="G1625">
        <f t="shared" si="102"/>
        <v>1</v>
      </c>
      <c r="H1625">
        <f t="shared" si="103"/>
        <v>1.5402777777777779E-2</v>
      </c>
    </row>
    <row r="1626" spans="1:8" x14ac:dyDescent="0.25">
      <c r="A1626">
        <v>1149</v>
      </c>
      <c r="B1626">
        <v>2</v>
      </c>
      <c r="C1626">
        <v>0.1671897222222222</v>
      </c>
      <c r="D1626">
        <v>0.10264041666666671</v>
      </c>
      <c r="E1626">
        <f t="shared" si="100"/>
        <v>6.9662384259259243E-4</v>
      </c>
      <c r="F1626">
        <f t="shared" si="101"/>
        <v>4.2766840277777795E-4</v>
      </c>
      <c r="G1626">
        <f t="shared" si="102"/>
        <v>1</v>
      </c>
      <c r="H1626">
        <f t="shared" si="103"/>
        <v>8.3594861111111092E-3</v>
      </c>
    </row>
    <row r="1627" spans="1:8" x14ac:dyDescent="0.25">
      <c r="A1627">
        <v>1149</v>
      </c>
      <c r="B1627">
        <v>3</v>
      </c>
      <c r="C1627">
        <v>0.1667491666666667</v>
      </c>
      <c r="D1627">
        <v>9.0949930555555558E-2</v>
      </c>
      <c r="E1627">
        <f t="shared" si="100"/>
        <v>6.947881944444446E-4</v>
      </c>
      <c r="F1627">
        <f t="shared" si="101"/>
        <v>3.7895804398148147E-4</v>
      </c>
      <c r="G1627">
        <f t="shared" si="102"/>
        <v>1</v>
      </c>
      <c r="H1627">
        <f t="shared" si="103"/>
        <v>8.3374583333333356E-3</v>
      </c>
    </row>
    <row r="1628" spans="1:8" x14ac:dyDescent="0.25">
      <c r="A1628">
        <v>1149</v>
      </c>
      <c r="B1628">
        <v>4</v>
      </c>
      <c r="C1628">
        <v>0.22187305555555559</v>
      </c>
      <c r="D1628">
        <v>0.11700147222222219</v>
      </c>
      <c r="E1628">
        <f t="shared" si="100"/>
        <v>9.2447106481481493E-4</v>
      </c>
      <c r="F1628">
        <f t="shared" si="101"/>
        <v>4.8750613425925911E-4</v>
      </c>
      <c r="G1628">
        <f t="shared" si="102"/>
        <v>1</v>
      </c>
      <c r="H1628">
        <f t="shared" si="103"/>
        <v>1.1093652777777779E-2</v>
      </c>
    </row>
    <row r="1629" spans="1:8" x14ac:dyDescent="0.25">
      <c r="A1629">
        <v>1149</v>
      </c>
      <c r="B1629">
        <v>5</v>
      </c>
      <c r="C1629">
        <v>0.1942291666666667</v>
      </c>
      <c r="D1629">
        <v>0.1003440873013889</v>
      </c>
      <c r="E1629">
        <f t="shared" si="100"/>
        <v>8.0928819444444462E-4</v>
      </c>
      <c r="F1629">
        <f t="shared" si="101"/>
        <v>4.1810036375578707E-4</v>
      </c>
      <c r="G1629">
        <f t="shared" si="102"/>
        <v>1</v>
      </c>
      <c r="H1629">
        <f t="shared" si="103"/>
        <v>9.7114583333333358E-3</v>
      </c>
    </row>
    <row r="1630" spans="1:8" x14ac:dyDescent="0.25">
      <c r="A1630">
        <v>1149</v>
      </c>
      <c r="B1630">
        <v>6</v>
      </c>
      <c r="C1630">
        <v>0.2626425</v>
      </c>
      <c r="D1630">
        <v>0.1021749603172222</v>
      </c>
      <c r="E1630">
        <f t="shared" si="100"/>
        <v>1.09434375E-3</v>
      </c>
      <c r="F1630">
        <f t="shared" si="101"/>
        <v>4.2572900132175918E-4</v>
      </c>
      <c r="G1630">
        <f t="shared" si="102"/>
        <v>1</v>
      </c>
      <c r="H1630">
        <f t="shared" si="103"/>
        <v>1.3132125000000001E-2</v>
      </c>
    </row>
    <row r="1631" spans="1:8" x14ac:dyDescent="0.25">
      <c r="A1631">
        <v>1149</v>
      </c>
      <c r="B1631">
        <v>7</v>
      </c>
      <c r="C1631">
        <v>0.20426555555555559</v>
      </c>
      <c r="D1631">
        <v>0.12051217171694439</v>
      </c>
      <c r="E1631">
        <f t="shared" si="100"/>
        <v>8.5110648148148166E-4</v>
      </c>
      <c r="F1631">
        <f t="shared" si="101"/>
        <v>5.0213404882060164E-4</v>
      </c>
      <c r="G1631">
        <f t="shared" si="102"/>
        <v>1</v>
      </c>
      <c r="H1631">
        <f t="shared" si="103"/>
        <v>1.0213277777777779E-2</v>
      </c>
    </row>
    <row r="1632" spans="1:8" x14ac:dyDescent="0.25">
      <c r="A1632">
        <v>1149</v>
      </c>
      <c r="B1632">
        <v>8</v>
      </c>
      <c r="C1632">
        <v>0.60338138888888893</v>
      </c>
      <c r="D1632">
        <v>0.1595093803416667</v>
      </c>
      <c r="E1632">
        <f t="shared" si="100"/>
        <v>2.5140891203703705E-3</v>
      </c>
      <c r="F1632">
        <f t="shared" si="101"/>
        <v>6.6462241809027791E-4</v>
      </c>
      <c r="G1632">
        <f t="shared" si="102"/>
        <v>1</v>
      </c>
      <c r="H1632">
        <f t="shared" si="103"/>
        <v>3.0169069444444446E-2</v>
      </c>
    </row>
    <row r="1633" spans="1:8" x14ac:dyDescent="0.25">
      <c r="A1633">
        <v>1149</v>
      </c>
      <c r="B1633">
        <v>9</v>
      </c>
      <c r="C1633">
        <v>0.37710388888888891</v>
      </c>
      <c r="D1633">
        <v>0.15828713675194439</v>
      </c>
      <c r="E1633">
        <f t="shared" si="100"/>
        <v>1.5712662037037038E-3</v>
      </c>
      <c r="F1633">
        <f t="shared" si="101"/>
        <v>6.5952973646643499E-4</v>
      </c>
      <c r="G1633">
        <f t="shared" si="102"/>
        <v>1</v>
      </c>
      <c r="H1633">
        <f t="shared" si="103"/>
        <v>1.8855194444444445E-2</v>
      </c>
    </row>
    <row r="1634" spans="1:8" x14ac:dyDescent="0.25">
      <c r="A1634">
        <v>1149</v>
      </c>
      <c r="B1634">
        <v>10</v>
      </c>
      <c r="C1634">
        <v>0.20580694444444439</v>
      </c>
      <c r="D1634">
        <v>0.1389592735041667</v>
      </c>
      <c r="E1634">
        <f t="shared" si="100"/>
        <v>8.5752893518518502E-4</v>
      </c>
      <c r="F1634">
        <f t="shared" si="101"/>
        <v>5.7899697293402796E-4</v>
      </c>
      <c r="G1634">
        <f t="shared" si="102"/>
        <v>1</v>
      </c>
      <c r="H1634">
        <f t="shared" si="103"/>
        <v>1.029034722222222E-2</v>
      </c>
    </row>
    <row r="1635" spans="1:8" x14ac:dyDescent="0.25">
      <c r="A1635">
        <v>1149</v>
      </c>
      <c r="B1635">
        <v>11</v>
      </c>
      <c r="C1635">
        <v>0.88986583333333336</v>
      </c>
      <c r="D1635">
        <v>0.20693245833333329</v>
      </c>
      <c r="E1635">
        <f t="shared" si="100"/>
        <v>3.7077743055555557E-3</v>
      </c>
      <c r="F1635">
        <f t="shared" si="101"/>
        <v>8.6221857638888865E-4</v>
      </c>
      <c r="G1635">
        <f t="shared" si="102"/>
        <v>1</v>
      </c>
      <c r="H1635">
        <f t="shared" si="103"/>
        <v>4.4493291666666671E-2</v>
      </c>
    </row>
    <row r="1636" spans="1:8" x14ac:dyDescent="0.25">
      <c r="A1636">
        <v>1149</v>
      </c>
      <c r="B1636">
        <v>12</v>
      </c>
      <c r="C1636">
        <v>0.40241777777777782</v>
      </c>
      <c r="D1636">
        <v>0.19322938596472219</v>
      </c>
      <c r="E1636">
        <f t="shared" si="100"/>
        <v>1.6767407407407408E-3</v>
      </c>
      <c r="F1636">
        <f t="shared" si="101"/>
        <v>8.0512244151967588E-4</v>
      </c>
      <c r="G1636">
        <f t="shared" si="102"/>
        <v>1</v>
      </c>
      <c r="H1636">
        <f t="shared" si="103"/>
        <v>2.012088888888889E-2</v>
      </c>
    </row>
    <row r="1637" spans="1:8" x14ac:dyDescent="0.25">
      <c r="A1637">
        <v>1150</v>
      </c>
      <c r="B1637">
        <v>1</v>
      </c>
      <c r="C1637">
        <v>0.72583333333333333</v>
      </c>
      <c r="D1637">
        <v>0.33833333333333332</v>
      </c>
      <c r="E1637">
        <f t="shared" si="100"/>
        <v>3.0243055555555557E-3</v>
      </c>
      <c r="F1637">
        <f t="shared" si="101"/>
        <v>1.4097222222222221E-3</v>
      </c>
      <c r="G1637">
        <f t="shared" si="102"/>
        <v>1</v>
      </c>
      <c r="H1637">
        <f t="shared" si="103"/>
        <v>3.6291666666666667E-2</v>
      </c>
    </row>
    <row r="1638" spans="1:8" x14ac:dyDescent="0.25">
      <c r="A1638">
        <v>1150</v>
      </c>
      <c r="B1638">
        <v>4</v>
      </c>
      <c r="C1638">
        <v>5.1089722222222217E-2</v>
      </c>
      <c r="D1638">
        <v>3.4998611111111112E-2</v>
      </c>
      <c r="E1638">
        <f t="shared" si="100"/>
        <v>2.1287384259259255E-4</v>
      </c>
      <c r="F1638">
        <f t="shared" si="101"/>
        <v>1.458275462962963E-4</v>
      </c>
      <c r="G1638">
        <f t="shared" si="102"/>
        <v>1</v>
      </c>
      <c r="H1638">
        <f t="shared" si="103"/>
        <v>2.5544861111111107E-3</v>
      </c>
    </row>
    <row r="1639" spans="1:8" x14ac:dyDescent="0.25">
      <c r="A1639">
        <v>1150</v>
      </c>
      <c r="B1639">
        <v>5</v>
      </c>
      <c r="C1639">
        <v>0.28285444444444452</v>
      </c>
      <c r="D1639">
        <v>0.28285444444444452</v>
      </c>
      <c r="E1639">
        <f t="shared" si="100"/>
        <v>1.1785601851851855E-3</v>
      </c>
      <c r="F1639">
        <f t="shared" si="101"/>
        <v>1.1785601851851855E-3</v>
      </c>
      <c r="G1639">
        <f t="shared" si="102"/>
        <v>1</v>
      </c>
      <c r="H1639">
        <f t="shared" si="103"/>
        <v>1.4142722222222227E-2</v>
      </c>
    </row>
    <row r="1640" spans="1:8" x14ac:dyDescent="0.25">
      <c r="A1640">
        <v>1150</v>
      </c>
      <c r="B1640">
        <v>6</v>
      </c>
      <c r="C1640">
        <v>3.2576388888888892</v>
      </c>
      <c r="D1640">
        <v>1.344773993055556</v>
      </c>
      <c r="E1640">
        <f t="shared" si="100"/>
        <v>1.3573495370370371E-2</v>
      </c>
      <c r="F1640">
        <f t="shared" si="101"/>
        <v>5.6032249710648166E-3</v>
      </c>
      <c r="G1640">
        <f t="shared" si="102"/>
        <v>1</v>
      </c>
      <c r="H1640">
        <f t="shared" si="103"/>
        <v>0.16288194444444445</v>
      </c>
    </row>
    <row r="1641" spans="1:8" x14ac:dyDescent="0.25">
      <c r="A1641">
        <v>1150</v>
      </c>
      <c r="B1641">
        <v>7</v>
      </c>
      <c r="C1641">
        <v>3.7326111111111109E-2</v>
      </c>
      <c r="D1641">
        <v>2.816444444444444E-2</v>
      </c>
      <c r="E1641">
        <f t="shared" si="100"/>
        <v>1.5552546296296297E-4</v>
      </c>
      <c r="F1641">
        <f t="shared" si="101"/>
        <v>1.1735185185185183E-4</v>
      </c>
      <c r="G1641">
        <f t="shared" si="102"/>
        <v>1</v>
      </c>
      <c r="H1641">
        <f t="shared" si="103"/>
        <v>1.8663055555555555E-3</v>
      </c>
    </row>
    <row r="1642" spans="1:8" x14ac:dyDescent="0.25">
      <c r="A1642">
        <v>1151</v>
      </c>
      <c r="B1642">
        <v>1</v>
      </c>
      <c r="C1642">
        <v>0.35222222222222221</v>
      </c>
      <c r="D1642">
        <v>0.16611111111111113</v>
      </c>
      <c r="E1642">
        <f t="shared" si="100"/>
        <v>1.4675925925925926E-3</v>
      </c>
      <c r="F1642">
        <f t="shared" si="101"/>
        <v>6.9212962962962967E-4</v>
      </c>
      <c r="G1642">
        <f t="shared" si="102"/>
        <v>1</v>
      </c>
      <c r="H1642">
        <f t="shared" si="103"/>
        <v>1.7611111111111112E-2</v>
      </c>
    </row>
    <row r="1643" spans="1:8" x14ac:dyDescent="0.25">
      <c r="A1643">
        <v>1151</v>
      </c>
      <c r="B1643">
        <v>4</v>
      </c>
      <c r="C1643">
        <v>0.35746333333333341</v>
      </c>
      <c r="D1643">
        <v>0.18057752136749999</v>
      </c>
      <c r="E1643">
        <f t="shared" si="100"/>
        <v>1.4894305555555557E-3</v>
      </c>
      <c r="F1643">
        <f t="shared" si="101"/>
        <v>7.5240633903124997E-4</v>
      </c>
      <c r="G1643">
        <f t="shared" si="102"/>
        <v>1</v>
      </c>
      <c r="H1643">
        <f t="shared" si="103"/>
        <v>1.7873166666666669E-2</v>
      </c>
    </row>
    <row r="1644" spans="1:8" x14ac:dyDescent="0.25">
      <c r="A1644">
        <v>1151</v>
      </c>
      <c r="B1644">
        <v>5</v>
      </c>
      <c r="C1644">
        <v>0.35043083333333341</v>
      </c>
      <c r="D1644">
        <v>0.15696068055555559</v>
      </c>
      <c r="E1644">
        <f t="shared" si="100"/>
        <v>1.4601284722222227E-3</v>
      </c>
      <c r="F1644">
        <f t="shared" si="101"/>
        <v>6.5400283564814833E-4</v>
      </c>
      <c r="G1644">
        <f t="shared" si="102"/>
        <v>1</v>
      </c>
      <c r="H1644">
        <f t="shared" si="103"/>
        <v>1.7521541666666671E-2</v>
      </c>
    </row>
    <row r="1645" spans="1:8" x14ac:dyDescent="0.25">
      <c r="A1645">
        <v>1151</v>
      </c>
      <c r="B1645">
        <v>6</v>
      </c>
      <c r="C1645">
        <v>0.19094083333333331</v>
      </c>
      <c r="D1645">
        <v>0.1270492638888889</v>
      </c>
      <c r="E1645">
        <f t="shared" si="100"/>
        <v>7.9558680555555546E-4</v>
      </c>
      <c r="F1645">
        <f t="shared" si="101"/>
        <v>5.2937193287037041E-4</v>
      </c>
      <c r="G1645">
        <f t="shared" si="102"/>
        <v>1</v>
      </c>
      <c r="H1645">
        <f t="shared" si="103"/>
        <v>9.5470416666666655E-3</v>
      </c>
    </row>
    <row r="1646" spans="1:8" x14ac:dyDescent="0.25">
      <c r="A1646">
        <v>1151</v>
      </c>
      <c r="B1646">
        <v>7</v>
      </c>
      <c r="C1646">
        <v>0.18420555555555559</v>
      </c>
      <c r="D1646">
        <v>0.13528812500000001</v>
      </c>
      <c r="E1646">
        <f t="shared" si="100"/>
        <v>7.6752314814814825E-4</v>
      </c>
      <c r="F1646">
        <f t="shared" si="101"/>
        <v>5.6370052083333337E-4</v>
      </c>
      <c r="G1646">
        <f t="shared" si="102"/>
        <v>1</v>
      </c>
      <c r="H1646">
        <f t="shared" si="103"/>
        <v>9.210277777777779E-3</v>
      </c>
    </row>
    <row r="1647" spans="1:8" x14ac:dyDescent="0.25">
      <c r="A1647">
        <v>1151</v>
      </c>
      <c r="B1647">
        <v>8</v>
      </c>
      <c r="C1647">
        <v>0.1681766666666667</v>
      </c>
      <c r="D1647">
        <v>0.12578632850222221</v>
      </c>
      <c r="E1647">
        <f t="shared" si="100"/>
        <v>7.0073611111111118E-4</v>
      </c>
      <c r="F1647">
        <f t="shared" si="101"/>
        <v>5.2410970209259254E-4</v>
      </c>
      <c r="G1647">
        <f t="shared" si="102"/>
        <v>1</v>
      </c>
      <c r="H1647">
        <f t="shared" si="103"/>
        <v>8.4088333333333341E-3</v>
      </c>
    </row>
    <row r="1648" spans="1:8" x14ac:dyDescent="0.25">
      <c r="A1648">
        <v>1151</v>
      </c>
      <c r="B1648">
        <v>9</v>
      </c>
      <c r="C1648">
        <v>0.39607305555555561</v>
      </c>
      <c r="D1648">
        <v>0.19578955555555561</v>
      </c>
      <c r="E1648">
        <f t="shared" si="100"/>
        <v>1.6503043981481484E-3</v>
      </c>
      <c r="F1648">
        <f t="shared" si="101"/>
        <v>8.1578981481481504E-4</v>
      </c>
      <c r="G1648">
        <f t="shared" si="102"/>
        <v>1</v>
      </c>
      <c r="H1648">
        <f t="shared" si="103"/>
        <v>1.9803652777777781E-2</v>
      </c>
    </row>
    <row r="1649" spans="1:8" x14ac:dyDescent="0.25">
      <c r="A1649">
        <v>1151</v>
      </c>
      <c r="B1649">
        <v>10</v>
      </c>
      <c r="C1649">
        <v>0.50224250000000004</v>
      </c>
      <c r="D1649">
        <v>0.14410751543194439</v>
      </c>
      <c r="E1649">
        <f t="shared" si="100"/>
        <v>2.0926770833333335E-3</v>
      </c>
      <c r="F1649">
        <f t="shared" si="101"/>
        <v>6.0044798096643497E-4</v>
      </c>
      <c r="G1649">
        <f t="shared" si="102"/>
        <v>1</v>
      </c>
      <c r="H1649">
        <f t="shared" si="103"/>
        <v>2.5112125000000003E-2</v>
      </c>
    </row>
    <row r="1650" spans="1:8" x14ac:dyDescent="0.25">
      <c r="A1650">
        <v>1151</v>
      </c>
      <c r="B1650">
        <v>11</v>
      </c>
      <c r="C1650">
        <v>1.1073433333333329</v>
      </c>
      <c r="D1650">
        <v>0.4609928373013889</v>
      </c>
      <c r="E1650">
        <f t="shared" si="100"/>
        <v>4.6139305555555543E-3</v>
      </c>
      <c r="F1650">
        <f t="shared" si="101"/>
        <v>1.9208034887557872E-3</v>
      </c>
      <c r="G1650">
        <f t="shared" si="102"/>
        <v>1</v>
      </c>
      <c r="H1650">
        <f t="shared" si="103"/>
        <v>5.5367166666666648E-2</v>
      </c>
    </row>
    <row r="1651" spans="1:8" x14ac:dyDescent="0.25">
      <c r="A1651">
        <v>1151</v>
      </c>
      <c r="B1651">
        <v>12</v>
      </c>
      <c r="C1651">
        <v>0.26274750000000002</v>
      </c>
      <c r="D1651">
        <v>0.1344424867722222</v>
      </c>
      <c r="E1651">
        <f t="shared" si="100"/>
        <v>1.0947812500000001E-3</v>
      </c>
      <c r="F1651">
        <f t="shared" si="101"/>
        <v>5.6017702821759246E-4</v>
      </c>
      <c r="G1651">
        <f t="shared" si="102"/>
        <v>1</v>
      </c>
      <c r="H1651">
        <f t="shared" si="103"/>
        <v>1.3137375E-2</v>
      </c>
    </row>
    <row r="1652" spans="1:8" x14ac:dyDescent="0.25">
      <c r="A1652">
        <v>1152</v>
      </c>
      <c r="B1652">
        <v>1</v>
      </c>
      <c r="C1652">
        <v>1.1255555555555554</v>
      </c>
      <c r="D1652">
        <v>0.8997222222222222</v>
      </c>
      <c r="E1652">
        <f t="shared" si="100"/>
        <v>4.6898148148148142E-3</v>
      </c>
      <c r="F1652">
        <f t="shared" si="101"/>
        <v>3.7488425925925922E-3</v>
      </c>
      <c r="G1652">
        <f t="shared" si="102"/>
        <v>1</v>
      </c>
      <c r="H1652">
        <f t="shared" si="103"/>
        <v>5.6277777777777774E-2</v>
      </c>
    </row>
    <row r="1653" spans="1:8" x14ac:dyDescent="0.25">
      <c r="A1653">
        <v>1152</v>
      </c>
      <c r="B1653">
        <v>2</v>
      </c>
      <c r="C1653">
        <v>1.7120236111111109</v>
      </c>
      <c r="D1653">
        <v>1.616963989898889</v>
      </c>
      <c r="E1653">
        <f t="shared" si="100"/>
        <v>7.1334317129629621E-3</v>
      </c>
      <c r="F1653">
        <f t="shared" si="101"/>
        <v>6.737349957912038E-3</v>
      </c>
      <c r="G1653">
        <f t="shared" si="102"/>
        <v>1</v>
      </c>
      <c r="H1653">
        <f t="shared" si="103"/>
        <v>8.5601180555555545E-2</v>
      </c>
    </row>
    <row r="1654" spans="1:8" x14ac:dyDescent="0.25">
      <c r="A1654">
        <v>1152</v>
      </c>
      <c r="B1654">
        <v>3</v>
      </c>
      <c r="C1654">
        <v>1.6644833333333331</v>
      </c>
      <c r="D1654">
        <v>1.081405138888889</v>
      </c>
      <c r="E1654">
        <f t="shared" si="100"/>
        <v>6.9353472222222212E-3</v>
      </c>
      <c r="F1654">
        <f t="shared" si="101"/>
        <v>4.5058547453703706E-3</v>
      </c>
      <c r="G1654">
        <f t="shared" si="102"/>
        <v>1</v>
      </c>
      <c r="H1654">
        <f t="shared" si="103"/>
        <v>8.3224166666666655E-2</v>
      </c>
    </row>
    <row r="1655" spans="1:8" x14ac:dyDescent="0.25">
      <c r="A1655">
        <v>1153</v>
      </c>
      <c r="B1655">
        <v>1</v>
      </c>
      <c r="C1655">
        <v>1.0219444444444445</v>
      </c>
      <c r="D1655">
        <v>0.3783333333333333</v>
      </c>
      <c r="E1655">
        <f t="shared" si="100"/>
        <v>4.2581018518518523E-3</v>
      </c>
      <c r="F1655">
        <f t="shared" si="101"/>
        <v>1.5763888888888887E-3</v>
      </c>
      <c r="G1655">
        <f t="shared" si="102"/>
        <v>1</v>
      </c>
      <c r="H1655">
        <f t="shared" si="103"/>
        <v>5.1097222222222224E-2</v>
      </c>
    </row>
    <row r="1656" spans="1:8" x14ac:dyDescent="0.25">
      <c r="A1656">
        <v>1153</v>
      </c>
      <c r="B1656">
        <v>9</v>
      </c>
      <c r="C1656">
        <v>2.0008238888888892</v>
      </c>
      <c r="D1656">
        <v>0.65403500000000003</v>
      </c>
      <c r="E1656">
        <f t="shared" si="100"/>
        <v>8.3367662037037039E-3</v>
      </c>
      <c r="F1656">
        <f t="shared" si="101"/>
        <v>2.7251458333333333E-3</v>
      </c>
      <c r="G1656">
        <f t="shared" si="102"/>
        <v>1</v>
      </c>
      <c r="H1656">
        <f t="shared" si="103"/>
        <v>0.10004119444444445</v>
      </c>
    </row>
    <row r="1657" spans="1:8" x14ac:dyDescent="0.25">
      <c r="A1657">
        <v>1153</v>
      </c>
      <c r="B1657">
        <v>11</v>
      </c>
      <c r="C1657">
        <v>1.064345277777778</v>
      </c>
      <c r="D1657">
        <v>0.48071625000000001</v>
      </c>
      <c r="E1657">
        <f t="shared" si="100"/>
        <v>4.4347719907407417E-3</v>
      </c>
      <c r="F1657">
        <f t="shared" si="101"/>
        <v>2.002984375E-3</v>
      </c>
      <c r="G1657">
        <f t="shared" si="102"/>
        <v>1</v>
      </c>
      <c r="H1657">
        <f t="shared" si="103"/>
        <v>5.3217263888888901E-2</v>
      </c>
    </row>
    <row r="1658" spans="1:8" x14ac:dyDescent="0.25">
      <c r="A1658">
        <v>1154</v>
      </c>
      <c r="B1658">
        <v>1</v>
      </c>
      <c r="C1658">
        <v>0.53555555555555556</v>
      </c>
      <c r="D1658">
        <v>0.24361111111111111</v>
      </c>
      <c r="E1658">
        <f t="shared" si="100"/>
        <v>2.2314814814814814E-3</v>
      </c>
      <c r="F1658">
        <f t="shared" si="101"/>
        <v>1.0150462962962962E-3</v>
      </c>
      <c r="G1658">
        <f t="shared" si="102"/>
        <v>1</v>
      </c>
      <c r="H1658">
        <f t="shared" si="103"/>
        <v>2.6777777777777775E-2</v>
      </c>
    </row>
    <row r="1659" spans="1:8" x14ac:dyDescent="0.25">
      <c r="A1659">
        <v>1154</v>
      </c>
      <c r="B1659">
        <v>4</v>
      </c>
      <c r="C1659">
        <v>2.9507222222222219E-2</v>
      </c>
      <c r="D1659">
        <v>2.1250000000000002E-2</v>
      </c>
      <c r="E1659">
        <f t="shared" si="100"/>
        <v>1.2294675925925925E-4</v>
      </c>
      <c r="F1659">
        <f t="shared" si="101"/>
        <v>8.8541666666666673E-5</v>
      </c>
      <c r="G1659">
        <f t="shared" si="102"/>
        <v>1</v>
      </c>
      <c r="H1659">
        <f t="shared" si="103"/>
        <v>1.4753611111111109E-3</v>
      </c>
    </row>
    <row r="1660" spans="1:8" x14ac:dyDescent="0.25">
      <c r="A1660">
        <v>1154</v>
      </c>
      <c r="B1660">
        <v>5</v>
      </c>
      <c r="C1660">
        <v>0.31088777777777782</v>
      </c>
      <c r="D1660">
        <v>0.31088777777777782</v>
      </c>
      <c r="E1660">
        <f t="shared" si="100"/>
        <v>1.2953657407407408E-3</v>
      </c>
      <c r="F1660">
        <f t="shared" si="101"/>
        <v>1.2953657407407408E-3</v>
      </c>
      <c r="G1660">
        <f t="shared" si="102"/>
        <v>1</v>
      </c>
      <c r="H1660">
        <f t="shared" si="103"/>
        <v>1.5544388888888889E-2</v>
      </c>
    </row>
    <row r="1661" spans="1:8" x14ac:dyDescent="0.25">
      <c r="A1661">
        <v>1154</v>
      </c>
      <c r="B1661">
        <v>6</v>
      </c>
      <c r="C1661">
        <v>2.3113388888888888</v>
      </c>
      <c r="D1661">
        <v>0.86110263888888894</v>
      </c>
      <c r="E1661">
        <f t="shared" si="100"/>
        <v>9.6305787037037037E-3</v>
      </c>
      <c r="F1661">
        <f t="shared" si="101"/>
        <v>3.5879276620370375E-3</v>
      </c>
      <c r="G1661">
        <f t="shared" si="102"/>
        <v>1</v>
      </c>
      <c r="H1661">
        <f t="shared" si="103"/>
        <v>0.11556694444444444</v>
      </c>
    </row>
    <row r="1662" spans="1:8" x14ac:dyDescent="0.25">
      <c r="A1662">
        <v>1154</v>
      </c>
      <c r="B1662">
        <v>7</v>
      </c>
      <c r="C1662">
        <v>2.537611111111111E-2</v>
      </c>
      <c r="D1662">
        <v>2.4648750000000001E-2</v>
      </c>
      <c r="E1662">
        <f t="shared" si="100"/>
        <v>1.057337962962963E-4</v>
      </c>
      <c r="F1662">
        <f t="shared" si="101"/>
        <v>1.02703125E-4</v>
      </c>
      <c r="G1662">
        <f t="shared" si="102"/>
        <v>1</v>
      </c>
      <c r="H1662">
        <f t="shared" si="103"/>
        <v>1.2688055555555556E-3</v>
      </c>
    </row>
    <row r="1663" spans="1:8" x14ac:dyDescent="0.25">
      <c r="A1663">
        <v>1155</v>
      </c>
      <c r="B1663">
        <v>1</v>
      </c>
      <c r="C1663">
        <v>0.86166666666666669</v>
      </c>
      <c r="D1663">
        <v>0.4211111111111111</v>
      </c>
      <c r="E1663">
        <f t="shared" si="100"/>
        <v>3.5902777777777777E-3</v>
      </c>
      <c r="F1663">
        <f t="shared" si="101"/>
        <v>1.7546296296296296E-3</v>
      </c>
      <c r="G1663">
        <f t="shared" si="102"/>
        <v>1</v>
      </c>
      <c r="H1663">
        <f t="shared" si="103"/>
        <v>4.3083333333333335E-2</v>
      </c>
    </row>
    <row r="1664" spans="1:8" x14ac:dyDescent="0.25">
      <c r="A1664">
        <v>1155</v>
      </c>
      <c r="B1664">
        <v>2</v>
      </c>
      <c r="C1664">
        <v>1.199146111111111</v>
      </c>
      <c r="D1664">
        <v>0.40528769841250001</v>
      </c>
      <c r="E1664">
        <f t="shared" si="100"/>
        <v>4.9964421296296293E-3</v>
      </c>
      <c r="F1664">
        <f t="shared" si="101"/>
        <v>1.6886987433854166E-3</v>
      </c>
      <c r="G1664">
        <f t="shared" si="102"/>
        <v>1</v>
      </c>
      <c r="H1664">
        <f t="shared" si="103"/>
        <v>5.9957305555555548E-2</v>
      </c>
    </row>
    <row r="1665" spans="1:8" x14ac:dyDescent="0.25">
      <c r="A1665">
        <v>1155</v>
      </c>
      <c r="B1665">
        <v>3</v>
      </c>
      <c r="C1665">
        <v>1.3853500000000001</v>
      </c>
      <c r="D1665">
        <v>0.85759444444444444</v>
      </c>
      <c r="E1665">
        <f t="shared" si="100"/>
        <v>5.7722916666666678E-3</v>
      </c>
      <c r="F1665">
        <f t="shared" si="101"/>
        <v>3.573310185185185E-3</v>
      </c>
      <c r="G1665">
        <f t="shared" si="102"/>
        <v>1</v>
      </c>
      <c r="H1665">
        <f t="shared" si="103"/>
        <v>6.926750000000001E-2</v>
      </c>
    </row>
    <row r="1666" spans="1:8" x14ac:dyDescent="0.25">
      <c r="A1666">
        <v>1156</v>
      </c>
      <c r="B1666">
        <v>1</v>
      </c>
      <c r="C1666">
        <v>0.21388888888888891</v>
      </c>
      <c r="D1666">
        <v>0.20250000000000001</v>
      </c>
      <c r="E1666">
        <f t="shared" ref="E1666:E1729" si="104">+C1666/20/12</f>
        <v>8.9120370370370384E-4</v>
      </c>
      <c r="F1666">
        <f t="shared" ref="F1666:F1729" si="105">+D1666/20/12</f>
        <v>8.4374999999999999E-4</v>
      </c>
      <c r="G1666">
        <f t="shared" ref="G1666:G1729" si="106">+ROUNDUP(E1666*12,0)</f>
        <v>1</v>
      </c>
      <c r="H1666">
        <f t="shared" ref="H1666:H1729" si="107">+E1666*12</f>
        <v>1.0694444444444446E-2</v>
      </c>
    </row>
    <row r="1667" spans="1:8" x14ac:dyDescent="0.25">
      <c r="A1667">
        <v>1156</v>
      </c>
      <c r="B1667">
        <v>2</v>
      </c>
      <c r="C1667">
        <v>0.76061749999999995</v>
      </c>
      <c r="D1667">
        <v>0.76061749999999995</v>
      </c>
      <c r="E1667">
        <f t="shared" si="104"/>
        <v>3.1692395833333334E-3</v>
      </c>
      <c r="F1667">
        <f t="shared" si="105"/>
        <v>3.1692395833333334E-3</v>
      </c>
      <c r="G1667">
        <f t="shared" si="106"/>
        <v>1</v>
      </c>
      <c r="H1667">
        <f t="shared" si="107"/>
        <v>3.8030874999999999E-2</v>
      </c>
    </row>
    <row r="1668" spans="1:8" x14ac:dyDescent="0.25">
      <c r="A1668">
        <v>1156</v>
      </c>
      <c r="B1668">
        <v>3</v>
      </c>
      <c r="C1668">
        <v>0.27143972222222218</v>
      </c>
      <c r="D1668">
        <v>0.27143972222222218</v>
      </c>
      <c r="E1668">
        <f t="shared" si="104"/>
        <v>1.1309988425925925E-3</v>
      </c>
      <c r="F1668">
        <f t="shared" si="105"/>
        <v>1.1309988425925925E-3</v>
      </c>
      <c r="G1668">
        <f t="shared" si="106"/>
        <v>1</v>
      </c>
      <c r="H1668">
        <f t="shared" si="107"/>
        <v>1.3571986111111111E-2</v>
      </c>
    </row>
    <row r="1669" spans="1:8" x14ac:dyDescent="0.25">
      <c r="A1669">
        <v>1156</v>
      </c>
      <c r="B1669">
        <v>4</v>
      </c>
      <c r="C1669">
        <v>0.16262055555555549</v>
      </c>
      <c r="D1669">
        <v>0.16262055555555549</v>
      </c>
      <c r="E1669">
        <f t="shared" si="104"/>
        <v>6.7758564814814797E-4</v>
      </c>
      <c r="F1669">
        <f t="shared" si="105"/>
        <v>6.7758564814814797E-4</v>
      </c>
      <c r="G1669">
        <f t="shared" si="106"/>
        <v>1</v>
      </c>
      <c r="H1669">
        <f t="shared" si="107"/>
        <v>8.1310277777777752E-3</v>
      </c>
    </row>
    <row r="1670" spans="1:8" x14ac:dyDescent="0.25">
      <c r="A1670">
        <v>1156</v>
      </c>
      <c r="B1670">
        <v>5</v>
      </c>
      <c r="C1670">
        <v>0.1152916666666667</v>
      </c>
      <c r="D1670">
        <v>0.1152916666666667</v>
      </c>
      <c r="E1670">
        <f t="shared" si="104"/>
        <v>4.8038194444444457E-4</v>
      </c>
      <c r="F1670">
        <f t="shared" si="105"/>
        <v>4.8038194444444457E-4</v>
      </c>
      <c r="G1670">
        <f t="shared" si="106"/>
        <v>1</v>
      </c>
      <c r="H1670">
        <f t="shared" si="107"/>
        <v>5.7645833333333351E-3</v>
      </c>
    </row>
    <row r="1671" spans="1:8" x14ac:dyDescent="0.25">
      <c r="A1671">
        <v>1156</v>
      </c>
      <c r="B1671">
        <v>6</v>
      </c>
      <c r="C1671">
        <v>0.18765194444444441</v>
      </c>
      <c r="D1671">
        <v>0.11981166666666671</v>
      </c>
      <c r="E1671">
        <f t="shared" si="104"/>
        <v>7.8188310185185175E-4</v>
      </c>
      <c r="F1671">
        <f t="shared" si="105"/>
        <v>4.99215277777778E-4</v>
      </c>
      <c r="G1671">
        <f t="shared" si="106"/>
        <v>1</v>
      </c>
      <c r="H1671">
        <f t="shared" si="107"/>
        <v>9.382597222222221E-3</v>
      </c>
    </row>
    <row r="1672" spans="1:8" x14ac:dyDescent="0.25">
      <c r="A1672">
        <v>1156</v>
      </c>
      <c r="B1672">
        <v>7</v>
      </c>
      <c r="C1672">
        <v>0.1546241666666667</v>
      </c>
      <c r="D1672">
        <v>0.1546241666666667</v>
      </c>
      <c r="E1672">
        <f t="shared" si="104"/>
        <v>6.4426736111111119E-4</v>
      </c>
      <c r="F1672">
        <f t="shared" si="105"/>
        <v>6.4426736111111119E-4</v>
      </c>
      <c r="G1672">
        <f t="shared" si="106"/>
        <v>1</v>
      </c>
      <c r="H1672">
        <f t="shared" si="107"/>
        <v>7.7312083333333347E-3</v>
      </c>
    </row>
    <row r="1673" spans="1:8" x14ac:dyDescent="0.25">
      <c r="A1673">
        <v>1156</v>
      </c>
      <c r="B1673">
        <v>8</v>
      </c>
      <c r="C1673">
        <v>0.13196944444444439</v>
      </c>
      <c r="D1673">
        <v>0.13196944444444439</v>
      </c>
      <c r="E1673">
        <f t="shared" si="104"/>
        <v>5.4987268518518493E-4</v>
      </c>
      <c r="F1673">
        <f t="shared" si="105"/>
        <v>5.4987268518518493E-4</v>
      </c>
      <c r="G1673">
        <f t="shared" si="106"/>
        <v>1</v>
      </c>
      <c r="H1673">
        <f t="shared" si="107"/>
        <v>6.5984722222222191E-3</v>
      </c>
    </row>
    <row r="1674" spans="1:8" x14ac:dyDescent="0.25">
      <c r="A1674">
        <v>1156</v>
      </c>
      <c r="B1674">
        <v>9</v>
      </c>
      <c r="C1674">
        <v>0.2463572222222222</v>
      </c>
      <c r="D1674">
        <v>0.2463572222222222</v>
      </c>
      <c r="E1674">
        <f t="shared" si="104"/>
        <v>1.0264884259259257E-3</v>
      </c>
      <c r="F1674">
        <f t="shared" si="105"/>
        <v>1.0264884259259257E-3</v>
      </c>
      <c r="G1674">
        <f t="shared" si="106"/>
        <v>1</v>
      </c>
      <c r="H1674">
        <f t="shared" si="107"/>
        <v>1.2317861111111109E-2</v>
      </c>
    </row>
    <row r="1675" spans="1:8" x14ac:dyDescent="0.25">
      <c r="A1675">
        <v>1156</v>
      </c>
      <c r="B1675">
        <v>10</v>
      </c>
      <c r="C1675">
        <v>0.1630861111111111</v>
      </c>
      <c r="D1675">
        <v>0.1630861111111111</v>
      </c>
      <c r="E1675">
        <f t="shared" si="104"/>
        <v>6.7952546296296294E-4</v>
      </c>
      <c r="F1675">
        <f t="shared" si="105"/>
        <v>6.7952546296296294E-4</v>
      </c>
      <c r="G1675">
        <f t="shared" si="106"/>
        <v>1</v>
      </c>
      <c r="H1675">
        <f t="shared" si="107"/>
        <v>8.1543055555555553E-3</v>
      </c>
    </row>
    <row r="1676" spans="1:8" x14ac:dyDescent="0.25">
      <c r="A1676">
        <v>1156</v>
      </c>
      <c r="B1676">
        <v>11</v>
      </c>
      <c r="C1676">
        <v>0.1205972222222222</v>
      </c>
      <c r="D1676">
        <v>0.1205972222222222</v>
      </c>
      <c r="E1676">
        <f t="shared" si="104"/>
        <v>5.0248842592592587E-4</v>
      </c>
      <c r="F1676">
        <f t="shared" si="105"/>
        <v>5.0248842592592587E-4</v>
      </c>
      <c r="G1676">
        <f t="shared" si="106"/>
        <v>1</v>
      </c>
      <c r="H1676">
        <f t="shared" si="107"/>
        <v>6.0298611111111108E-3</v>
      </c>
    </row>
    <row r="1677" spans="1:8" x14ac:dyDescent="0.25">
      <c r="A1677">
        <v>1156</v>
      </c>
      <c r="B1677">
        <v>12</v>
      </c>
      <c r="C1677">
        <v>0.25225944444444443</v>
      </c>
      <c r="D1677">
        <v>0.18231666666666671</v>
      </c>
      <c r="E1677">
        <f t="shared" si="104"/>
        <v>1.0510810185185185E-3</v>
      </c>
      <c r="F1677">
        <f t="shared" si="105"/>
        <v>7.5965277777777793E-4</v>
      </c>
      <c r="G1677">
        <f t="shared" si="106"/>
        <v>1</v>
      </c>
      <c r="H1677">
        <f t="shared" si="107"/>
        <v>1.2612972222222222E-2</v>
      </c>
    </row>
    <row r="1678" spans="1:8" x14ac:dyDescent="0.25">
      <c r="A1678">
        <v>1157</v>
      </c>
      <c r="B1678">
        <v>1</v>
      </c>
      <c r="C1678">
        <v>0.17888888888888888</v>
      </c>
      <c r="D1678">
        <v>8.0555555555555547E-2</v>
      </c>
      <c r="E1678">
        <f t="shared" si="104"/>
        <v>7.4537037037037031E-4</v>
      </c>
      <c r="F1678">
        <f t="shared" si="105"/>
        <v>3.3564814814814812E-4</v>
      </c>
      <c r="G1678">
        <f t="shared" si="106"/>
        <v>1</v>
      </c>
      <c r="H1678">
        <f t="shared" si="107"/>
        <v>8.9444444444444441E-3</v>
      </c>
    </row>
    <row r="1679" spans="1:8" x14ac:dyDescent="0.25">
      <c r="A1679">
        <v>1157</v>
      </c>
      <c r="B1679">
        <v>2</v>
      </c>
      <c r="C1679">
        <v>6.3791944444444443E-2</v>
      </c>
      <c r="D1679">
        <v>4.5732916666666658E-2</v>
      </c>
      <c r="E1679">
        <f t="shared" si="104"/>
        <v>2.6579976851851851E-4</v>
      </c>
      <c r="F1679">
        <f t="shared" si="105"/>
        <v>1.9055381944444439E-4</v>
      </c>
      <c r="G1679">
        <f t="shared" si="106"/>
        <v>1</v>
      </c>
      <c r="H1679">
        <f t="shared" si="107"/>
        <v>3.1895972222222221E-3</v>
      </c>
    </row>
    <row r="1680" spans="1:8" x14ac:dyDescent="0.25">
      <c r="A1680">
        <v>1157</v>
      </c>
      <c r="B1680">
        <v>3</v>
      </c>
      <c r="C1680">
        <v>0.24172638888888889</v>
      </c>
      <c r="D1680">
        <v>0.11652712962944441</v>
      </c>
      <c r="E1680">
        <f t="shared" si="104"/>
        <v>1.0071932870370371E-3</v>
      </c>
      <c r="F1680">
        <f t="shared" si="105"/>
        <v>4.8552970678935166E-4</v>
      </c>
      <c r="G1680">
        <f t="shared" si="106"/>
        <v>1</v>
      </c>
      <c r="H1680">
        <f t="shared" si="107"/>
        <v>1.2086319444444445E-2</v>
      </c>
    </row>
    <row r="1681" spans="1:8" x14ac:dyDescent="0.25">
      <c r="A1681">
        <v>1157</v>
      </c>
      <c r="B1681">
        <v>4</v>
      </c>
      <c r="C1681">
        <v>0.84576722222222223</v>
      </c>
      <c r="D1681">
        <v>0.26501956349194439</v>
      </c>
      <c r="E1681">
        <f t="shared" si="104"/>
        <v>3.5240300925925925E-3</v>
      </c>
      <c r="F1681">
        <f t="shared" si="105"/>
        <v>1.1042481812164348E-3</v>
      </c>
      <c r="G1681">
        <f t="shared" si="106"/>
        <v>1</v>
      </c>
      <c r="H1681">
        <f t="shared" si="107"/>
        <v>4.228836111111111E-2</v>
      </c>
    </row>
    <row r="1682" spans="1:8" x14ac:dyDescent="0.25">
      <c r="A1682">
        <v>1157</v>
      </c>
      <c r="B1682">
        <v>5</v>
      </c>
      <c r="C1682">
        <v>9.6581388888888883E-2</v>
      </c>
      <c r="D1682">
        <v>7.925083333333334E-2</v>
      </c>
      <c r="E1682">
        <f t="shared" si="104"/>
        <v>4.0242245370370367E-4</v>
      </c>
      <c r="F1682">
        <f t="shared" si="105"/>
        <v>3.302118055555556E-4</v>
      </c>
      <c r="G1682">
        <f t="shared" si="106"/>
        <v>1</v>
      </c>
      <c r="H1682">
        <f t="shared" si="107"/>
        <v>4.829069444444444E-3</v>
      </c>
    </row>
    <row r="1683" spans="1:8" x14ac:dyDescent="0.25">
      <c r="A1683">
        <v>1157</v>
      </c>
      <c r="B1683">
        <v>6</v>
      </c>
      <c r="C1683">
        <v>0.2242247222222222</v>
      </c>
      <c r="D1683">
        <v>8.6706076388888886E-2</v>
      </c>
      <c r="E1683">
        <f t="shared" si="104"/>
        <v>9.3426967592592574E-4</v>
      </c>
      <c r="F1683">
        <f t="shared" si="105"/>
        <v>3.6127531828703701E-4</v>
      </c>
      <c r="G1683">
        <f t="shared" si="106"/>
        <v>1</v>
      </c>
      <c r="H1683">
        <f t="shared" si="107"/>
        <v>1.1211236111111109E-2</v>
      </c>
    </row>
    <row r="1684" spans="1:8" x14ac:dyDescent="0.25">
      <c r="A1684">
        <v>1157</v>
      </c>
      <c r="B1684">
        <v>7</v>
      </c>
      <c r="C1684">
        <v>9.3396944444444449E-2</v>
      </c>
      <c r="D1684">
        <v>4.3323368055555547E-2</v>
      </c>
      <c r="E1684">
        <f t="shared" si="104"/>
        <v>3.8915393518518525E-4</v>
      </c>
      <c r="F1684">
        <f t="shared" si="105"/>
        <v>1.8051403356481477E-4</v>
      </c>
      <c r="G1684">
        <f t="shared" si="106"/>
        <v>1</v>
      </c>
      <c r="H1684">
        <f t="shared" si="107"/>
        <v>4.6698472222222228E-3</v>
      </c>
    </row>
    <row r="1685" spans="1:8" x14ac:dyDescent="0.25">
      <c r="A1685">
        <v>1157</v>
      </c>
      <c r="B1685">
        <v>8</v>
      </c>
      <c r="C1685">
        <v>5.7884444444444447E-2</v>
      </c>
      <c r="D1685">
        <v>4.4577499999999999E-2</v>
      </c>
      <c r="E1685">
        <f t="shared" si="104"/>
        <v>2.4118518518518521E-4</v>
      </c>
      <c r="F1685">
        <f t="shared" si="105"/>
        <v>1.8573958333333333E-4</v>
      </c>
      <c r="G1685">
        <f t="shared" si="106"/>
        <v>1</v>
      </c>
      <c r="H1685">
        <f t="shared" si="107"/>
        <v>2.8942222222222225E-3</v>
      </c>
    </row>
    <row r="1686" spans="1:8" x14ac:dyDescent="0.25">
      <c r="A1686">
        <v>1157</v>
      </c>
      <c r="B1686">
        <v>9</v>
      </c>
      <c r="C1686">
        <v>2.5212222222222219E-2</v>
      </c>
      <c r="D1686">
        <v>2.5212222222222219E-2</v>
      </c>
      <c r="E1686">
        <f t="shared" si="104"/>
        <v>1.0505092592592592E-4</v>
      </c>
      <c r="F1686">
        <f t="shared" si="105"/>
        <v>1.0505092592592592E-4</v>
      </c>
      <c r="G1686">
        <f t="shared" si="106"/>
        <v>1</v>
      </c>
      <c r="H1686">
        <f t="shared" si="107"/>
        <v>1.260611111111111E-3</v>
      </c>
    </row>
    <row r="1687" spans="1:8" x14ac:dyDescent="0.25">
      <c r="A1687">
        <v>1157</v>
      </c>
      <c r="B1687">
        <v>10</v>
      </c>
      <c r="C1687">
        <v>0.25770916666666671</v>
      </c>
      <c r="D1687">
        <v>0.1181926190475</v>
      </c>
      <c r="E1687">
        <f t="shared" si="104"/>
        <v>1.0737881944444447E-3</v>
      </c>
      <c r="F1687">
        <f t="shared" si="105"/>
        <v>4.9246924603125E-4</v>
      </c>
      <c r="G1687">
        <f t="shared" si="106"/>
        <v>1</v>
      </c>
      <c r="H1687">
        <f t="shared" si="107"/>
        <v>1.2885458333333336E-2</v>
      </c>
    </row>
    <row r="1688" spans="1:8" x14ac:dyDescent="0.25">
      <c r="A1688">
        <v>1157</v>
      </c>
      <c r="B1688">
        <v>11</v>
      </c>
      <c r="C1688">
        <v>0.18256555555555559</v>
      </c>
      <c r="D1688">
        <v>8.9259236111111112E-2</v>
      </c>
      <c r="E1688">
        <f t="shared" si="104"/>
        <v>7.6068981481481506E-4</v>
      </c>
      <c r="F1688">
        <f t="shared" si="105"/>
        <v>3.7191348379629635E-4</v>
      </c>
      <c r="G1688">
        <f t="shared" si="106"/>
        <v>1</v>
      </c>
      <c r="H1688">
        <f t="shared" si="107"/>
        <v>9.1282777777777803E-3</v>
      </c>
    </row>
    <row r="1689" spans="1:8" x14ac:dyDescent="0.25">
      <c r="A1689">
        <v>1157</v>
      </c>
      <c r="B1689">
        <v>12</v>
      </c>
      <c r="C1689">
        <v>5.7124166666666663E-2</v>
      </c>
      <c r="D1689">
        <v>4.9979583333333327E-2</v>
      </c>
      <c r="E1689">
        <f t="shared" si="104"/>
        <v>2.3801736111111107E-4</v>
      </c>
      <c r="F1689">
        <f t="shared" si="105"/>
        <v>2.0824826388888887E-4</v>
      </c>
      <c r="G1689">
        <f t="shared" si="106"/>
        <v>1</v>
      </c>
      <c r="H1689">
        <f t="shared" si="107"/>
        <v>2.856208333333333E-3</v>
      </c>
    </row>
    <row r="1690" spans="1:8" x14ac:dyDescent="0.25">
      <c r="A1690">
        <v>1158</v>
      </c>
      <c r="B1690">
        <v>1</v>
      </c>
      <c r="C1690">
        <v>0.50138888888888888</v>
      </c>
      <c r="D1690">
        <v>0.17694444444444446</v>
      </c>
      <c r="E1690">
        <f t="shared" si="104"/>
        <v>2.0891203703703701E-3</v>
      </c>
      <c r="F1690">
        <f t="shared" si="105"/>
        <v>7.3726851851851861E-4</v>
      </c>
      <c r="G1690">
        <f t="shared" si="106"/>
        <v>1</v>
      </c>
      <c r="H1690">
        <f t="shared" si="107"/>
        <v>2.5069444444444443E-2</v>
      </c>
    </row>
    <row r="1691" spans="1:8" x14ac:dyDescent="0.25">
      <c r="A1691">
        <v>1158</v>
      </c>
      <c r="B1691">
        <v>2</v>
      </c>
      <c r="C1691">
        <v>1.635076944444444</v>
      </c>
      <c r="D1691">
        <v>0.50562119444444442</v>
      </c>
      <c r="E1691">
        <f t="shared" si="104"/>
        <v>6.8128206018518503E-3</v>
      </c>
      <c r="F1691">
        <f t="shared" si="105"/>
        <v>2.1067549768518518E-3</v>
      </c>
      <c r="G1691">
        <f t="shared" si="106"/>
        <v>1</v>
      </c>
      <c r="H1691">
        <f t="shared" si="107"/>
        <v>8.1753847222222203E-2</v>
      </c>
    </row>
    <row r="1692" spans="1:8" x14ac:dyDescent="0.25">
      <c r="A1692">
        <v>1158</v>
      </c>
      <c r="B1692">
        <v>3</v>
      </c>
      <c r="C1692">
        <v>0.18351944444444451</v>
      </c>
      <c r="D1692">
        <v>9.5632736111111116E-2</v>
      </c>
      <c r="E1692">
        <f t="shared" si="104"/>
        <v>7.646643518518522E-4</v>
      </c>
      <c r="F1692">
        <f t="shared" si="105"/>
        <v>3.9846973379629633E-4</v>
      </c>
      <c r="G1692">
        <f t="shared" si="106"/>
        <v>1</v>
      </c>
      <c r="H1692">
        <f t="shared" si="107"/>
        <v>9.175972222222226E-3</v>
      </c>
    </row>
    <row r="1693" spans="1:8" x14ac:dyDescent="0.25">
      <c r="A1693">
        <v>1158</v>
      </c>
      <c r="B1693">
        <v>4</v>
      </c>
      <c r="C1693">
        <v>0.18592027777777781</v>
      </c>
      <c r="D1693">
        <v>0.1063766975308333</v>
      </c>
      <c r="E1693">
        <f t="shared" si="104"/>
        <v>7.7466782407407421E-4</v>
      </c>
      <c r="F1693">
        <f t="shared" si="105"/>
        <v>4.4323623971180543E-4</v>
      </c>
      <c r="G1693">
        <f t="shared" si="106"/>
        <v>1</v>
      </c>
      <c r="H1693">
        <f t="shared" si="107"/>
        <v>9.2960138888888901E-3</v>
      </c>
    </row>
    <row r="1694" spans="1:8" x14ac:dyDescent="0.25">
      <c r="A1694">
        <v>1159</v>
      </c>
      <c r="B1694">
        <v>1</v>
      </c>
      <c r="C1694">
        <v>0.1522222222222222</v>
      </c>
      <c r="D1694">
        <v>6.9444444444444448E-2</v>
      </c>
      <c r="E1694">
        <f t="shared" si="104"/>
        <v>6.3425925925925922E-4</v>
      </c>
      <c r="F1694">
        <f t="shared" si="105"/>
        <v>2.8935185185185189E-4</v>
      </c>
      <c r="G1694">
        <f t="shared" si="106"/>
        <v>1</v>
      </c>
      <c r="H1694">
        <f t="shared" si="107"/>
        <v>7.6111111111111102E-3</v>
      </c>
    </row>
    <row r="1695" spans="1:8" x14ac:dyDescent="0.25">
      <c r="A1695">
        <v>1159</v>
      </c>
      <c r="B1695">
        <v>2</v>
      </c>
      <c r="C1695">
        <v>5.5781666666666667E-2</v>
      </c>
      <c r="D1695">
        <v>4.8143017676666663E-2</v>
      </c>
      <c r="E1695">
        <f t="shared" si="104"/>
        <v>2.3242361111111112E-4</v>
      </c>
      <c r="F1695">
        <f t="shared" si="105"/>
        <v>2.0059590698611111E-4</v>
      </c>
      <c r="G1695">
        <f t="shared" si="106"/>
        <v>1</v>
      </c>
      <c r="H1695">
        <f t="shared" si="107"/>
        <v>2.7890833333333335E-3</v>
      </c>
    </row>
    <row r="1696" spans="1:8" x14ac:dyDescent="0.25">
      <c r="A1696">
        <v>1159</v>
      </c>
      <c r="B1696">
        <v>3</v>
      </c>
      <c r="C1696">
        <v>5.076777777777778E-2</v>
      </c>
      <c r="D1696">
        <v>4.6546999999999998E-2</v>
      </c>
      <c r="E1696">
        <f t="shared" si="104"/>
        <v>2.1153240740740743E-4</v>
      </c>
      <c r="F1696">
        <f t="shared" si="105"/>
        <v>1.939458333333333E-4</v>
      </c>
      <c r="G1696">
        <f t="shared" si="106"/>
        <v>1</v>
      </c>
      <c r="H1696">
        <f t="shared" si="107"/>
        <v>2.5383888888888891E-3</v>
      </c>
    </row>
    <row r="1697" spans="1:8" x14ac:dyDescent="0.25">
      <c r="A1697">
        <v>1159</v>
      </c>
      <c r="B1697">
        <v>4</v>
      </c>
      <c r="C1697">
        <v>0.14287111111111109</v>
      </c>
      <c r="D1697">
        <v>5.3020753968055563E-2</v>
      </c>
      <c r="E1697">
        <f t="shared" si="104"/>
        <v>5.9529629629629613E-4</v>
      </c>
      <c r="F1697">
        <f t="shared" si="105"/>
        <v>2.2091980820023151E-4</v>
      </c>
      <c r="G1697">
        <f t="shared" si="106"/>
        <v>1</v>
      </c>
      <c r="H1697">
        <f t="shared" si="107"/>
        <v>7.143555555555554E-3</v>
      </c>
    </row>
    <row r="1698" spans="1:8" x14ac:dyDescent="0.25">
      <c r="A1698">
        <v>1159</v>
      </c>
      <c r="B1698">
        <v>5</v>
      </c>
      <c r="C1698">
        <v>0.633525</v>
      </c>
      <c r="D1698">
        <v>0.11938975</v>
      </c>
      <c r="E1698">
        <f t="shared" si="104"/>
        <v>2.6396875000000001E-3</v>
      </c>
      <c r="F1698">
        <f t="shared" si="105"/>
        <v>4.9745729166666671E-4</v>
      </c>
      <c r="G1698">
        <f t="shared" si="106"/>
        <v>1</v>
      </c>
      <c r="H1698">
        <f t="shared" si="107"/>
        <v>3.1676250000000003E-2</v>
      </c>
    </row>
    <row r="1699" spans="1:8" x14ac:dyDescent="0.25">
      <c r="A1699">
        <v>1159</v>
      </c>
      <c r="B1699">
        <v>6</v>
      </c>
      <c r="C1699">
        <v>6.6417500000000004E-2</v>
      </c>
      <c r="D1699">
        <v>6.0738055555555559E-2</v>
      </c>
      <c r="E1699">
        <f t="shared" si="104"/>
        <v>2.7673958333333332E-4</v>
      </c>
      <c r="F1699">
        <f t="shared" si="105"/>
        <v>2.5307523148148151E-4</v>
      </c>
      <c r="G1699">
        <f t="shared" si="106"/>
        <v>1</v>
      </c>
      <c r="H1699">
        <f t="shared" si="107"/>
        <v>3.320875E-3</v>
      </c>
    </row>
    <row r="1700" spans="1:8" x14ac:dyDescent="0.25">
      <c r="A1700">
        <v>1159</v>
      </c>
      <c r="B1700">
        <v>7</v>
      </c>
      <c r="C1700">
        <v>0.12655111111111109</v>
      </c>
      <c r="D1700">
        <v>6.5669695766944439E-2</v>
      </c>
      <c r="E1700">
        <f t="shared" si="104"/>
        <v>5.2729629629629622E-4</v>
      </c>
      <c r="F1700">
        <f t="shared" si="105"/>
        <v>2.7362373236226851E-4</v>
      </c>
      <c r="G1700">
        <f t="shared" si="106"/>
        <v>1</v>
      </c>
      <c r="H1700">
        <f t="shared" si="107"/>
        <v>6.327555555555555E-3</v>
      </c>
    </row>
    <row r="1701" spans="1:8" x14ac:dyDescent="0.25">
      <c r="A1701">
        <v>1159</v>
      </c>
      <c r="B1701">
        <v>8</v>
      </c>
      <c r="C1701">
        <v>7.208055555555555E-2</v>
      </c>
      <c r="D1701">
        <v>5.8646521738888888E-2</v>
      </c>
      <c r="E1701">
        <f t="shared" si="104"/>
        <v>3.0033564814814815E-4</v>
      </c>
      <c r="F1701">
        <f t="shared" si="105"/>
        <v>2.4436050724537038E-4</v>
      </c>
      <c r="G1701">
        <f t="shared" si="106"/>
        <v>1</v>
      </c>
      <c r="H1701">
        <f t="shared" si="107"/>
        <v>3.604027777777778E-3</v>
      </c>
    </row>
    <row r="1702" spans="1:8" x14ac:dyDescent="0.25">
      <c r="A1702">
        <v>1159</v>
      </c>
      <c r="B1702">
        <v>9</v>
      </c>
      <c r="C1702">
        <v>0.1016122222222222</v>
      </c>
      <c r="D1702">
        <v>9.4112361111111112E-2</v>
      </c>
      <c r="E1702">
        <f t="shared" si="104"/>
        <v>4.233842592592592E-4</v>
      </c>
      <c r="F1702">
        <f t="shared" si="105"/>
        <v>3.92134837962963E-4</v>
      </c>
      <c r="G1702">
        <f t="shared" si="106"/>
        <v>1</v>
      </c>
      <c r="H1702">
        <f t="shared" si="107"/>
        <v>5.0806111111111104E-3</v>
      </c>
    </row>
    <row r="1703" spans="1:8" x14ac:dyDescent="0.25">
      <c r="A1703">
        <v>1159</v>
      </c>
      <c r="B1703">
        <v>10</v>
      </c>
      <c r="C1703">
        <v>0.17756388888888891</v>
      </c>
      <c r="D1703">
        <v>9.4230416666666664E-2</v>
      </c>
      <c r="E1703">
        <f t="shared" si="104"/>
        <v>7.3984953703703712E-4</v>
      </c>
      <c r="F1703">
        <f t="shared" si="105"/>
        <v>3.9262673611111112E-4</v>
      </c>
      <c r="G1703">
        <f t="shared" si="106"/>
        <v>1</v>
      </c>
      <c r="H1703">
        <f t="shared" si="107"/>
        <v>8.8781944444444455E-3</v>
      </c>
    </row>
    <row r="1704" spans="1:8" x14ac:dyDescent="0.25">
      <c r="A1704">
        <v>1159</v>
      </c>
      <c r="B1704">
        <v>11</v>
      </c>
      <c r="C1704">
        <v>0.10154638888888889</v>
      </c>
      <c r="D1704">
        <v>9.1138409090833331E-2</v>
      </c>
      <c r="E1704">
        <f t="shared" si="104"/>
        <v>4.2310995370370376E-4</v>
      </c>
      <c r="F1704">
        <f t="shared" si="105"/>
        <v>3.7974337121180553E-4</v>
      </c>
      <c r="G1704">
        <f t="shared" si="106"/>
        <v>1</v>
      </c>
      <c r="H1704">
        <f t="shared" si="107"/>
        <v>5.0773194444444451E-3</v>
      </c>
    </row>
    <row r="1705" spans="1:8" x14ac:dyDescent="0.25">
      <c r="A1705">
        <v>1159</v>
      </c>
      <c r="B1705">
        <v>12</v>
      </c>
      <c r="C1705">
        <v>0.29499555555555562</v>
      </c>
      <c r="D1705">
        <v>9.9750582010555561E-2</v>
      </c>
      <c r="E1705">
        <f t="shared" si="104"/>
        <v>1.2291481481481485E-3</v>
      </c>
      <c r="F1705">
        <f t="shared" si="105"/>
        <v>4.1562742504398152E-4</v>
      </c>
      <c r="G1705">
        <f t="shared" si="106"/>
        <v>1</v>
      </c>
      <c r="H1705">
        <f t="shared" si="107"/>
        <v>1.4749777777777782E-2</v>
      </c>
    </row>
    <row r="1706" spans="1:8" x14ac:dyDescent="0.25">
      <c r="A1706">
        <v>1160</v>
      </c>
      <c r="B1706">
        <v>1</v>
      </c>
      <c r="C1706">
        <v>0.1225</v>
      </c>
      <c r="D1706">
        <v>2.9166666666666667E-2</v>
      </c>
      <c r="E1706">
        <f t="shared" si="104"/>
        <v>5.1041666666666672E-4</v>
      </c>
      <c r="F1706">
        <f t="shared" si="105"/>
        <v>1.2152777777777779E-4</v>
      </c>
      <c r="G1706">
        <f t="shared" si="106"/>
        <v>1</v>
      </c>
      <c r="H1706">
        <f t="shared" si="107"/>
        <v>6.1250000000000002E-3</v>
      </c>
    </row>
    <row r="1707" spans="1:8" x14ac:dyDescent="0.25">
      <c r="A1707">
        <v>1160</v>
      </c>
      <c r="B1707">
        <v>2</v>
      </c>
      <c r="C1707">
        <v>0.22896583333333331</v>
      </c>
      <c r="D1707">
        <v>4.764379629611111E-2</v>
      </c>
      <c r="E1707">
        <f t="shared" si="104"/>
        <v>9.5402430555555551E-4</v>
      </c>
      <c r="F1707">
        <f t="shared" si="105"/>
        <v>1.9851581790046295E-4</v>
      </c>
      <c r="G1707">
        <f t="shared" si="106"/>
        <v>1</v>
      </c>
      <c r="H1707">
        <f t="shared" si="107"/>
        <v>1.1448291666666666E-2</v>
      </c>
    </row>
    <row r="1708" spans="1:8" x14ac:dyDescent="0.25">
      <c r="A1708">
        <v>1160</v>
      </c>
      <c r="B1708">
        <v>3</v>
      </c>
      <c r="C1708">
        <v>6.5795833333333331E-2</v>
      </c>
      <c r="D1708">
        <v>2.0882347222222219E-2</v>
      </c>
      <c r="E1708">
        <f t="shared" si="104"/>
        <v>2.7414930555555553E-4</v>
      </c>
      <c r="F1708">
        <f t="shared" si="105"/>
        <v>8.7009780092592567E-5</v>
      </c>
      <c r="G1708">
        <f t="shared" si="106"/>
        <v>1</v>
      </c>
      <c r="H1708">
        <f t="shared" si="107"/>
        <v>3.2897916666666666E-3</v>
      </c>
    </row>
    <row r="1709" spans="1:8" x14ac:dyDescent="0.25">
      <c r="A1709">
        <v>1160</v>
      </c>
      <c r="B1709">
        <v>4</v>
      </c>
      <c r="C1709">
        <v>0.19532861111111111</v>
      </c>
      <c r="D1709">
        <v>4.4654656084444452E-2</v>
      </c>
      <c r="E1709">
        <f t="shared" si="104"/>
        <v>8.1386921296296296E-4</v>
      </c>
      <c r="F1709">
        <f t="shared" si="105"/>
        <v>1.8606106701851854E-4</v>
      </c>
      <c r="G1709">
        <f t="shared" si="106"/>
        <v>1</v>
      </c>
      <c r="H1709">
        <f t="shared" si="107"/>
        <v>9.766430555555556E-3</v>
      </c>
    </row>
    <row r="1710" spans="1:8" x14ac:dyDescent="0.25">
      <c r="A1710">
        <v>1160</v>
      </c>
      <c r="B1710">
        <v>5</v>
      </c>
      <c r="C1710">
        <v>4.6613055555555553E-2</v>
      </c>
      <c r="D1710">
        <v>1.926645833333333E-2</v>
      </c>
      <c r="E1710">
        <f t="shared" si="104"/>
        <v>1.9422106481481482E-4</v>
      </c>
      <c r="F1710">
        <f t="shared" si="105"/>
        <v>8.0276909722222211E-5</v>
      </c>
      <c r="G1710">
        <f t="shared" si="106"/>
        <v>1</v>
      </c>
      <c r="H1710">
        <f t="shared" si="107"/>
        <v>2.3306527777777778E-3</v>
      </c>
    </row>
    <row r="1711" spans="1:8" x14ac:dyDescent="0.25">
      <c r="A1711">
        <v>1160</v>
      </c>
      <c r="B1711">
        <v>6</v>
      </c>
      <c r="C1711">
        <v>6.2819166666666662E-2</v>
      </c>
      <c r="D1711">
        <v>2.054954248361111E-2</v>
      </c>
      <c r="E1711">
        <f t="shared" si="104"/>
        <v>2.6174652777777779E-4</v>
      </c>
      <c r="F1711">
        <f t="shared" si="105"/>
        <v>8.5623093681712957E-5</v>
      </c>
      <c r="G1711">
        <f t="shared" si="106"/>
        <v>1</v>
      </c>
      <c r="H1711">
        <f t="shared" si="107"/>
        <v>3.1409583333333333E-3</v>
      </c>
    </row>
    <row r="1712" spans="1:8" x14ac:dyDescent="0.25">
      <c r="A1712">
        <v>1160</v>
      </c>
      <c r="B1712">
        <v>7</v>
      </c>
      <c r="C1712">
        <v>0.1653613888888889</v>
      </c>
      <c r="D1712">
        <v>4.8899193121666663E-2</v>
      </c>
      <c r="E1712">
        <f t="shared" si="104"/>
        <v>6.8900578703703713E-4</v>
      </c>
      <c r="F1712">
        <f t="shared" si="105"/>
        <v>2.0374663800694443E-4</v>
      </c>
      <c r="G1712">
        <f t="shared" si="106"/>
        <v>1</v>
      </c>
      <c r="H1712">
        <f t="shared" si="107"/>
        <v>8.2680694444444459E-3</v>
      </c>
    </row>
    <row r="1713" spans="1:8" x14ac:dyDescent="0.25">
      <c r="A1713">
        <v>1160</v>
      </c>
      <c r="B1713">
        <v>8</v>
      </c>
      <c r="C1713">
        <v>0.17413305555555561</v>
      </c>
      <c r="D1713">
        <v>2.577055555555556E-2</v>
      </c>
      <c r="E1713">
        <f t="shared" si="104"/>
        <v>7.2555439814814835E-4</v>
      </c>
      <c r="F1713">
        <f t="shared" si="105"/>
        <v>1.0737731481481483E-4</v>
      </c>
      <c r="G1713">
        <f t="shared" si="106"/>
        <v>1</v>
      </c>
      <c r="H1713">
        <f t="shared" si="107"/>
        <v>8.7066527777777802E-3</v>
      </c>
    </row>
    <row r="1714" spans="1:8" x14ac:dyDescent="0.25">
      <c r="A1714">
        <v>1160</v>
      </c>
      <c r="B1714">
        <v>9</v>
      </c>
      <c r="C1714">
        <v>3.4388333333333333E-2</v>
      </c>
      <c r="D1714">
        <v>1.46250396825E-2</v>
      </c>
      <c r="E1714">
        <f t="shared" si="104"/>
        <v>1.4328472222222222E-4</v>
      </c>
      <c r="F1714">
        <f t="shared" si="105"/>
        <v>6.0937665343750007E-5</v>
      </c>
      <c r="G1714">
        <f t="shared" si="106"/>
        <v>1</v>
      </c>
      <c r="H1714">
        <f t="shared" si="107"/>
        <v>1.7194166666666666E-3</v>
      </c>
    </row>
    <row r="1715" spans="1:8" x14ac:dyDescent="0.25">
      <c r="A1715">
        <v>1160</v>
      </c>
      <c r="B1715">
        <v>10</v>
      </c>
      <c r="C1715">
        <v>0.16204111111111111</v>
      </c>
      <c r="D1715">
        <v>3.5082543859444447E-2</v>
      </c>
      <c r="E1715">
        <f t="shared" si="104"/>
        <v>6.7517129629629622E-4</v>
      </c>
      <c r="F1715">
        <f t="shared" si="105"/>
        <v>1.4617726608101851E-4</v>
      </c>
      <c r="G1715">
        <f t="shared" si="106"/>
        <v>1</v>
      </c>
      <c r="H1715">
        <f t="shared" si="107"/>
        <v>8.1020555555555551E-3</v>
      </c>
    </row>
    <row r="1716" spans="1:8" x14ac:dyDescent="0.25">
      <c r="A1716">
        <v>1160</v>
      </c>
      <c r="B1716">
        <v>11</v>
      </c>
      <c r="C1716">
        <v>0.2103177777777778</v>
      </c>
      <c r="D1716">
        <v>2.982984848472222E-2</v>
      </c>
      <c r="E1716">
        <f t="shared" si="104"/>
        <v>8.7632407407407418E-4</v>
      </c>
      <c r="F1716">
        <f t="shared" si="105"/>
        <v>1.2429103535300924E-4</v>
      </c>
      <c r="G1716">
        <f t="shared" si="106"/>
        <v>1</v>
      </c>
      <c r="H1716">
        <f t="shared" si="107"/>
        <v>1.0515888888888891E-2</v>
      </c>
    </row>
    <row r="1717" spans="1:8" x14ac:dyDescent="0.25">
      <c r="A1717">
        <v>1160</v>
      </c>
      <c r="B1717">
        <v>12</v>
      </c>
      <c r="C1717">
        <v>0.12358861111111109</v>
      </c>
      <c r="D1717">
        <v>4.1731153846111112E-2</v>
      </c>
      <c r="E1717">
        <f t="shared" si="104"/>
        <v>5.1495254629629623E-4</v>
      </c>
      <c r="F1717">
        <f t="shared" si="105"/>
        <v>1.7387980769212962E-4</v>
      </c>
      <c r="G1717">
        <f t="shared" si="106"/>
        <v>1</v>
      </c>
      <c r="H1717">
        <f t="shared" si="107"/>
        <v>6.1794305555555543E-3</v>
      </c>
    </row>
    <row r="1718" spans="1:8" x14ac:dyDescent="0.25">
      <c r="A1718">
        <v>1161</v>
      </c>
      <c r="B1718">
        <v>1</v>
      </c>
      <c r="C1718">
        <v>0.11972222222222223</v>
      </c>
      <c r="D1718">
        <v>8.4999999999999992E-2</v>
      </c>
      <c r="E1718">
        <f t="shared" si="104"/>
        <v>4.9884259259259261E-4</v>
      </c>
      <c r="F1718">
        <f t="shared" si="105"/>
        <v>3.5416666666666664E-4</v>
      </c>
      <c r="G1718">
        <f t="shared" si="106"/>
        <v>1</v>
      </c>
      <c r="H1718">
        <f t="shared" si="107"/>
        <v>5.9861111111111113E-3</v>
      </c>
    </row>
    <row r="1719" spans="1:8" x14ac:dyDescent="0.25">
      <c r="A1719">
        <v>1161</v>
      </c>
      <c r="B1719">
        <v>2</v>
      </c>
      <c r="C1719">
        <v>0.1173563888888889</v>
      </c>
      <c r="D1719">
        <v>9.3593813131111106E-2</v>
      </c>
      <c r="E1719">
        <f t="shared" si="104"/>
        <v>4.8898495370370372E-4</v>
      </c>
      <c r="F1719">
        <f t="shared" si="105"/>
        <v>3.899742213796296E-4</v>
      </c>
      <c r="G1719">
        <f t="shared" si="106"/>
        <v>1</v>
      </c>
      <c r="H1719">
        <f t="shared" si="107"/>
        <v>5.8678194444444446E-3</v>
      </c>
    </row>
    <row r="1720" spans="1:8" x14ac:dyDescent="0.25">
      <c r="A1720">
        <v>1161</v>
      </c>
      <c r="B1720">
        <v>3</v>
      </c>
      <c r="C1720">
        <v>0.1161972222222222</v>
      </c>
      <c r="D1720">
        <v>8.6326597222222218E-2</v>
      </c>
      <c r="E1720">
        <f t="shared" si="104"/>
        <v>4.841550925925925E-4</v>
      </c>
      <c r="F1720">
        <f t="shared" si="105"/>
        <v>3.5969415509259261E-4</v>
      </c>
      <c r="G1720">
        <f t="shared" si="106"/>
        <v>1</v>
      </c>
      <c r="H1720">
        <f t="shared" si="107"/>
        <v>5.8098611111111103E-3</v>
      </c>
    </row>
    <row r="1721" spans="1:8" x14ac:dyDescent="0.25">
      <c r="A1721">
        <v>1161</v>
      </c>
      <c r="B1721">
        <v>4</v>
      </c>
      <c r="C1721">
        <v>0.11936472222222221</v>
      </c>
      <c r="D1721">
        <v>8.5611322751111107E-2</v>
      </c>
      <c r="E1721">
        <f t="shared" si="104"/>
        <v>4.9735300925925912E-4</v>
      </c>
      <c r="F1721">
        <f t="shared" si="105"/>
        <v>3.5671384479629627E-4</v>
      </c>
      <c r="G1721">
        <f t="shared" si="106"/>
        <v>1</v>
      </c>
      <c r="H1721">
        <f t="shared" si="107"/>
        <v>5.9682361111111099E-3</v>
      </c>
    </row>
    <row r="1722" spans="1:8" x14ac:dyDescent="0.25">
      <c r="A1722">
        <v>1161</v>
      </c>
      <c r="B1722">
        <v>5</v>
      </c>
      <c r="C1722">
        <v>0.1526352777777778</v>
      </c>
      <c r="D1722">
        <v>9.1018402777777771E-2</v>
      </c>
      <c r="E1722">
        <f t="shared" si="104"/>
        <v>6.3598032407407418E-4</v>
      </c>
      <c r="F1722">
        <f t="shared" si="105"/>
        <v>3.7924334490740735E-4</v>
      </c>
      <c r="G1722">
        <f t="shared" si="106"/>
        <v>1</v>
      </c>
      <c r="H1722">
        <f t="shared" si="107"/>
        <v>7.6317638888888902E-3</v>
      </c>
    </row>
    <row r="1723" spans="1:8" x14ac:dyDescent="0.25">
      <c r="A1723">
        <v>1161</v>
      </c>
      <c r="B1723">
        <v>6</v>
      </c>
      <c r="C1723">
        <v>0.12793055555555549</v>
      </c>
      <c r="D1723">
        <v>8.8648597222222222E-2</v>
      </c>
      <c r="E1723">
        <f t="shared" si="104"/>
        <v>5.3304398148148124E-4</v>
      </c>
      <c r="F1723">
        <f t="shared" si="105"/>
        <v>3.6936915509259261E-4</v>
      </c>
      <c r="G1723">
        <f t="shared" si="106"/>
        <v>1</v>
      </c>
      <c r="H1723">
        <f t="shared" si="107"/>
        <v>6.3965277777777753E-3</v>
      </c>
    </row>
    <row r="1724" spans="1:8" x14ac:dyDescent="0.25">
      <c r="A1724">
        <v>1161</v>
      </c>
      <c r="B1724">
        <v>7</v>
      </c>
      <c r="C1724">
        <v>0.1053408333333333</v>
      </c>
      <c r="D1724">
        <v>7.7951333333333331E-2</v>
      </c>
      <c r="E1724">
        <f t="shared" si="104"/>
        <v>4.389201388888887E-4</v>
      </c>
      <c r="F1724">
        <f t="shared" si="105"/>
        <v>3.2479722222222222E-4</v>
      </c>
      <c r="G1724">
        <f t="shared" si="106"/>
        <v>1</v>
      </c>
      <c r="H1724">
        <f t="shared" si="107"/>
        <v>5.2670416666666647E-3</v>
      </c>
    </row>
    <row r="1725" spans="1:8" x14ac:dyDescent="0.25">
      <c r="A1725">
        <v>1161</v>
      </c>
      <c r="B1725">
        <v>8</v>
      </c>
      <c r="C1725">
        <v>0.10247333333333331</v>
      </c>
      <c r="D1725">
        <v>7.4264456521666661E-2</v>
      </c>
      <c r="E1725">
        <f t="shared" si="104"/>
        <v>4.2697222222222209E-4</v>
      </c>
      <c r="F1725">
        <f t="shared" si="105"/>
        <v>3.0943523550694445E-4</v>
      </c>
      <c r="G1725">
        <f t="shared" si="106"/>
        <v>1</v>
      </c>
      <c r="H1725">
        <f t="shared" si="107"/>
        <v>5.1236666666666653E-3</v>
      </c>
    </row>
    <row r="1726" spans="1:8" x14ac:dyDescent="0.25">
      <c r="A1726">
        <v>1161</v>
      </c>
      <c r="B1726">
        <v>9</v>
      </c>
      <c r="C1726">
        <v>0.1446047222222222</v>
      </c>
      <c r="D1726">
        <v>0.11553470833333331</v>
      </c>
      <c r="E1726">
        <f t="shared" si="104"/>
        <v>6.0251967592592584E-4</v>
      </c>
      <c r="F1726">
        <f t="shared" si="105"/>
        <v>4.8139461805555547E-4</v>
      </c>
      <c r="G1726">
        <f t="shared" si="106"/>
        <v>1</v>
      </c>
      <c r="H1726">
        <f t="shared" si="107"/>
        <v>7.23023611111111E-3</v>
      </c>
    </row>
    <row r="1727" spans="1:8" x14ac:dyDescent="0.25">
      <c r="A1727">
        <v>1161</v>
      </c>
      <c r="B1727">
        <v>10</v>
      </c>
      <c r="C1727">
        <v>0.14611583333333331</v>
      </c>
      <c r="D1727">
        <v>0.1015070075755556</v>
      </c>
      <c r="E1727">
        <f t="shared" si="104"/>
        <v>6.0881597222222207E-4</v>
      </c>
      <c r="F1727">
        <f t="shared" si="105"/>
        <v>4.2294586489814836E-4</v>
      </c>
      <c r="G1727">
        <f t="shared" si="106"/>
        <v>1</v>
      </c>
      <c r="H1727">
        <f t="shared" si="107"/>
        <v>7.3057916666666653E-3</v>
      </c>
    </row>
    <row r="1728" spans="1:8" x14ac:dyDescent="0.25">
      <c r="A1728">
        <v>1161</v>
      </c>
      <c r="B1728">
        <v>11</v>
      </c>
      <c r="C1728">
        <v>0.1565925</v>
      </c>
      <c r="D1728">
        <v>0.1128392171716667</v>
      </c>
      <c r="E1728">
        <f t="shared" si="104"/>
        <v>6.5246874999999995E-4</v>
      </c>
      <c r="F1728">
        <f t="shared" si="105"/>
        <v>4.701634048819446E-4</v>
      </c>
      <c r="G1728">
        <f t="shared" si="106"/>
        <v>1</v>
      </c>
      <c r="H1728">
        <f t="shared" si="107"/>
        <v>7.8296249999999998E-3</v>
      </c>
    </row>
    <row r="1729" spans="1:8" x14ac:dyDescent="0.25">
      <c r="A1729">
        <v>1161</v>
      </c>
      <c r="B1729">
        <v>12</v>
      </c>
      <c r="C1729">
        <v>0.1477158333333333</v>
      </c>
      <c r="D1729">
        <v>9.1819484126944448E-2</v>
      </c>
      <c r="E1729">
        <f t="shared" si="104"/>
        <v>6.1548263888888872E-4</v>
      </c>
      <c r="F1729">
        <f t="shared" si="105"/>
        <v>3.8258118386226857E-4</v>
      </c>
      <c r="G1729">
        <f t="shared" si="106"/>
        <v>1</v>
      </c>
      <c r="H1729">
        <f t="shared" si="107"/>
        <v>7.3857916666666646E-3</v>
      </c>
    </row>
    <row r="1730" spans="1:8" x14ac:dyDescent="0.25">
      <c r="A1730">
        <v>1162</v>
      </c>
      <c r="B1730">
        <v>1</v>
      </c>
      <c r="C1730">
        <v>0.66555555555555546</v>
      </c>
      <c r="D1730">
        <v>0.22472222222222221</v>
      </c>
      <c r="E1730">
        <f t="shared" ref="E1730:E1793" si="108">+C1730/20/12</f>
        <v>2.7731481481481478E-3</v>
      </c>
      <c r="F1730">
        <f t="shared" ref="F1730:F1793" si="109">+D1730/20/12</f>
        <v>9.3634259259259246E-4</v>
      </c>
      <c r="G1730">
        <f t="shared" ref="G1730:G1793" si="110">+ROUNDUP(E1730*12,0)</f>
        <v>1</v>
      </c>
      <c r="H1730">
        <f t="shared" ref="H1730:H1793" si="111">+E1730*12</f>
        <v>3.3277777777777774E-2</v>
      </c>
    </row>
    <row r="1731" spans="1:8" x14ac:dyDescent="0.25">
      <c r="A1731">
        <v>1162</v>
      </c>
      <c r="B1731">
        <v>10</v>
      </c>
      <c r="C1731">
        <v>1.3308074999999999</v>
      </c>
      <c r="D1731">
        <v>0.44943861111111111</v>
      </c>
      <c r="E1731">
        <f t="shared" si="108"/>
        <v>5.5450312499999996E-3</v>
      </c>
      <c r="F1731">
        <f t="shared" si="109"/>
        <v>1.8726608796296295E-3</v>
      </c>
      <c r="G1731">
        <f t="shared" si="110"/>
        <v>1</v>
      </c>
      <c r="H1731">
        <f t="shared" si="111"/>
        <v>6.6540374999999999E-2</v>
      </c>
    </row>
    <row r="1732" spans="1:8" x14ac:dyDescent="0.25">
      <c r="A1732">
        <v>1163</v>
      </c>
      <c r="B1732">
        <v>1</v>
      </c>
      <c r="C1732">
        <v>9.7222222222222224E-2</v>
      </c>
      <c r="D1732">
        <v>8.2777777777777783E-2</v>
      </c>
      <c r="E1732">
        <f t="shared" si="108"/>
        <v>4.0509259259259258E-4</v>
      </c>
      <c r="F1732">
        <f t="shared" si="109"/>
        <v>3.4490740740740743E-4</v>
      </c>
      <c r="G1732">
        <f t="shared" si="110"/>
        <v>1</v>
      </c>
      <c r="H1732">
        <f t="shared" si="111"/>
        <v>4.8611111111111112E-3</v>
      </c>
    </row>
    <row r="1733" spans="1:8" x14ac:dyDescent="0.25">
      <c r="A1733">
        <v>1163</v>
      </c>
      <c r="B1733">
        <v>2</v>
      </c>
      <c r="C1733">
        <v>0.11651833333333329</v>
      </c>
      <c r="D1733">
        <v>8.6805347222222218E-2</v>
      </c>
      <c r="E1733">
        <f t="shared" si="108"/>
        <v>4.8549305555555542E-4</v>
      </c>
      <c r="F1733">
        <f t="shared" si="109"/>
        <v>3.6168894675925924E-4</v>
      </c>
      <c r="G1733">
        <f t="shared" si="110"/>
        <v>1</v>
      </c>
      <c r="H1733">
        <f t="shared" si="111"/>
        <v>5.825916666666665E-3</v>
      </c>
    </row>
    <row r="1734" spans="1:8" x14ac:dyDescent="0.25">
      <c r="A1734">
        <v>1163</v>
      </c>
      <c r="B1734">
        <v>3</v>
      </c>
      <c r="C1734">
        <v>9.6663055555555558E-2</v>
      </c>
      <c r="D1734">
        <v>8.5739097222222227E-2</v>
      </c>
      <c r="E1734">
        <f t="shared" si="108"/>
        <v>4.0276273148148154E-4</v>
      </c>
      <c r="F1734">
        <f t="shared" si="109"/>
        <v>3.5724623842592595E-4</v>
      </c>
      <c r="G1734">
        <f t="shared" si="110"/>
        <v>1</v>
      </c>
      <c r="H1734">
        <f t="shared" si="111"/>
        <v>4.8331527777777782E-3</v>
      </c>
    </row>
    <row r="1735" spans="1:8" x14ac:dyDescent="0.25">
      <c r="A1735">
        <v>1163</v>
      </c>
      <c r="B1735">
        <v>4</v>
      </c>
      <c r="C1735">
        <v>0.1153083333333333</v>
      </c>
      <c r="D1735">
        <v>9.4635648148055557E-2</v>
      </c>
      <c r="E1735">
        <f t="shared" si="108"/>
        <v>4.8045138888888877E-4</v>
      </c>
      <c r="F1735">
        <f t="shared" si="109"/>
        <v>3.9431520061689816E-4</v>
      </c>
      <c r="G1735">
        <f t="shared" si="110"/>
        <v>1</v>
      </c>
      <c r="H1735">
        <f t="shared" si="111"/>
        <v>5.7654166666666652E-3</v>
      </c>
    </row>
    <row r="1736" spans="1:8" x14ac:dyDescent="0.25">
      <c r="A1736">
        <v>1163</v>
      </c>
      <c r="B1736">
        <v>5</v>
      </c>
      <c r="C1736">
        <v>8.0891666666666667E-2</v>
      </c>
      <c r="D1736">
        <v>7.8874351851666663E-2</v>
      </c>
      <c r="E1736">
        <f t="shared" si="108"/>
        <v>3.370486111111111E-4</v>
      </c>
      <c r="F1736">
        <f t="shared" si="109"/>
        <v>3.2864313271527778E-4</v>
      </c>
      <c r="G1736">
        <f t="shared" si="110"/>
        <v>1</v>
      </c>
      <c r="H1736">
        <f t="shared" si="111"/>
        <v>4.0445833333333332E-3</v>
      </c>
    </row>
    <row r="1737" spans="1:8" x14ac:dyDescent="0.25">
      <c r="A1737">
        <v>1163</v>
      </c>
      <c r="B1737">
        <v>6</v>
      </c>
      <c r="C1737">
        <v>0.1160361111111111</v>
      </c>
      <c r="D1737">
        <v>9.492520833333333E-2</v>
      </c>
      <c r="E1737">
        <f t="shared" si="108"/>
        <v>4.8348379629629625E-4</v>
      </c>
      <c r="F1737">
        <f t="shared" si="109"/>
        <v>3.9552170138888889E-4</v>
      </c>
      <c r="G1737">
        <f t="shared" si="110"/>
        <v>1</v>
      </c>
      <c r="H1737">
        <f t="shared" si="111"/>
        <v>5.8018055555555548E-3</v>
      </c>
    </row>
    <row r="1738" spans="1:8" x14ac:dyDescent="0.25">
      <c r="A1738">
        <v>1163</v>
      </c>
      <c r="B1738">
        <v>7</v>
      </c>
      <c r="C1738">
        <v>9.1393611111111106E-2</v>
      </c>
      <c r="D1738">
        <v>8.9487777777777777E-2</v>
      </c>
      <c r="E1738">
        <f t="shared" si="108"/>
        <v>3.8080671296296295E-4</v>
      </c>
      <c r="F1738">
        <f t="shared" si="109"/>
        <v>3.7286574074074072E-4</v>
      </c>
      <c r="G1738">
        <f t="shared" si="110"/>
        <v>1</v>
      </c>
      <c r="H1738">
        <f t="shared" si="111"/>
        <v>4.5696805555555551E-3</v>
      </c>
    </row>
    <row r="1739" spans="1:8" x14ac:dyDescent="0.25">
      <c r="A1739">
        <v>1163</v>
      </c>
      <c r="B1739">
        <v>8</v>
      </c>
      <c r="C1739">
        <v>9.9508333333333338E-2</v>
      </c>
      <c r="D1739">
        <v>9.1248194444444444E-2</v>
      </c>
      <c r="E1739">
        <f t="shared" si="108"/>
        <v>4.1461805555555561E-4</v>
      </c>
      <c r="F1739">
        <f t="shared" si="109"/>
        <v>3.8020081018518519E-4</v>
      </c>
      <c r="G1739">
        <f t="shared" si="110"/>
        <v>1</v>
      </c>
      <c r="H1739">
        <f t="shared" si="111"/>
        <v>4.975416666666667E-3</v>
      </c>
    </row>
    <row r="1740" spans="1:8" x14ac:dyDescent="0.25">
      <c r="A1740">
        <v>1163</v>
      </c>
      <c r="B1740">
        <v>9</v>
      </c>
      <c r="C1740">
        <v>0.1052027777777778</v>
      </c>
      <c r="D1740">
        <v>9.9713263888888889E-2</v>
      </c>
      <c r="E1740">
        <f t="shared" si="108"/>
        <v>4.3834490740740748E-4</v>
      </c>
      <c r="F1740">
        <f t="shared" si="109"/>
        <v>4.1547193287037035E-4</v>
      </c>
      <c r="G1740">
        <f t="shared" si="110"/>
        <v>1</v>
      </c>
      <c r="H1740">
        <f t="shared" si="111"/>
        <v>5.2601388888888897E-3</v>
      </c>
    </row>
    <row r="1741" spans="1:8" x14ac:dyDescent="0.25">
      <c r="A1741">
        <v>1163</v>
      </c>
      <c r="B1741">
        <v>10</v>
      </c>
      <c r="C1741">
        <v>0.15937416666666671</v>
      </c>
      <c r="D1741">
        <v>9.7870092592499999E-2</v>
      </c>
      <c r="E1741">
        <f t="shared" si="108"/>
        <v>6.6405902777777785E-4</v>
      </c>
      <c r="F1741">
        <f t="shared" si="109"/>
        <v>4.0779205246874997E-4</v>
      </c>
      <c r="G1741">
        <f t="shared" si="110"/>
        <v>1</v>
      </c>
      <c r="H1741">
        <f t="shared" si="111"/>
        <v>7.9687083333333346E-3</v>
      </c>
    </row>
    <row r="1742" spans="1:8" x14ac:dyDescent="0.25">
      <c r="A1742">
        <v>1163</v>
      </c>
      <c r="B1742">
        <v>11</v>
      </c>
      <c r="C1742">
        <v>9.1821111111111117E-2</v>
      </c>
      <c r="D1742">
        <v>8.7192638888888882E-2</v>
      </c>
      <c r="E1742">
        <f t="shared" si="108"/>
        <v>3.8258796296296299E-4</v>
      </c>
      <c r="F1742">
        <f t="shared" si="109"/>
        <v>3.6330266203703698E-4</v>
      </c>
      <c r="G1742">
        <f t="shared" si="110"/>
        <v>1</v>
      </c>
      <c r="H1742">
        <f t="shared" si="111"/>
        <v>4.5910555555555557E-3</v>
      </c>
    </row>
    <row r="1743" spans="1:8" x14ac:dyDescent="0.25">
      <c r="A1743">
        <v>1163</v>
      </c>
      <c r="B1743">
        <v>12</v>
      </c>
      <c r="C1743">
        <v>9.3095277777777777E-2</v>
      </c>
      <c r="D1743">
        <v>8.6136319444444442E-2</v>
      </c>
      <c r="E1743">
        <f t="shared" si="108"/>
        <v>3.8789699074074074E-4</v>
      </c>
      <c r="F1743">
        <f t="shared" si="109"/>
        <v>3.5890133101851854E-4</v>
      </c>
      <c r="G1743">
        <f t="shared" si="110"/>
        <v>1</v>
      </c>
      <c r="H1743">
        <f t="shared" si="111"/>
        <v>4.6547638888888888E-3</v>
      </c>
    </row>
    <row r="1744" spans="1:8" x14ac:dyDescent="0.25">
      <c r="A1744">
        <v>1164</v>
      </c>
      <c r="B1744">
        <v>1</v>
      </c>
      <c r="C1744">
        <v>0.30361111111111111</v>
      </c>
      <c r="D1744">
        <v>0.30361111111111111</v>
      </c>
      <c r="E1744">
        <f t="shared" si="108"/>
        <v>1.2650462962962962E-3</v>
      </c>
      <c r="F1744">
        <f t="shared" si="109"/>
        <v>1.2650462962962962E-3</v>
      </c>
      <c r="G1744">
        <f t="shared" si="110"/>
        <v>1</v>
      </c>
      <c r="H1744">
        <f t="shared" si="111"/>
        <v>1.5180555555555555E-2</v>
      </c>
    </row>
    <row r="1745" spans="1:8" x14ac:dyDescent="0.25">
      <c r="A1745">
        <v>1164</v>
      </c>
      <c r="B1745">
        <v>3</v>
      </c>
      <c r="C1745">
        <v>0.66666666666666663</v>
      </c>
      <c r="D1745">
        <v>0.66666666666666663</v>
      </c>
      <c r="E1745">
        <f t="shared" si="108"/>
        <v>2.7777777777777779E-3</v>
      </c>
      <c r="F1745">
        <f t="shared" si="109"/>
        <v>2.7777777777777779E-3</v>
      </c>
      <c r="G1745">
        <f t="shared" si="110"/>
        <v>1</v>
      </c>
      <c r="H1745">
        <f t="shared" si="111"/>
        <v>3.3333333333333333E-2</v>
      </c>
    </row>
    <row r="1746" spans="1:8" x14ac:dyDescent="0.25">
      <c r="A1746">
        <v>1164</v>
      </c>
      <c r="B1746">
        <v>4</v>
      </c>
      <c r="C1746">
        <v>0.24359527777777781</v>
      </c>
      <c r="D1746">
        <v>0.24359527777777781</v>
      </c>
      <c r="E1746">
        <f t="shared" si="108"/>
        <v>1.0149803240740742E-3</v>
      </c>
      <c r="F1746">
        <f t="shared" si="109"/>
        <v>1.0149803240740742E-3</v>
      </c>
      <c r="G1746">
        <f t="shared" si="110"/>
        <v>1</v>
      </c>
      <c r="H1746">
        <f t="shared" si="111"/>
        <v>1.2179763888888889E-2</v>
      </c>
    </row>
    <row r="1747" spans="1:8" x14ac:dyDescent="0.25">
      <c r="A1747">
        <v>1165</v>
      </c>
      <c r="B1747">
        <v>1</v>
      </c>
      <c r="C1747">
        <v>0.1388888888888889</v>
      </c>
      <c r="D1747">
        <v>0.10555555555555556</v>
      </c>
      <c r="E1747">
        <f t="shared" si="108"/>
        <v>5.7870370370370378E-4</v>
      </c>
      <c r="F1747">
        <f t="shared" si="109"/>
        <v>4.3981481481481481E-4</v>
      </c>
      <c r="G1747">
        <f t="shared" si="110"/>
        <v>1</v>
      </c>
      <c r="H1747">
        <f t="shared" si="111"/>
        <v>6.9444444444444458E-3</v>
      </c>
    </row>
    <row r="1748" spans="1:8" x14ac:dyDescent="0.25">
      <c r="A1748">
        <v>1165</v>
      </c>
      <c r="B1748">
        <v>6</v>
      </c>
      <c r="C1748">
        <v>0.19035722222222221</v>
      </c>
      <c r="D1748">
        <v>0.19035722222222221</v>
      </c>
      <c r="E1748">
        <f t="shared" si="108"/>
        <v>7.9315509259259259E-4</v>
      </c>
      <c r="F1748">
        <f t="shared" si="109"/>
        <v>7.9315509259259259E-4</v>
      </c>
      <c r="G1748">
        <f t="shared" si="110"/>
        <v>1</v>
      </c>
      <c r="H1748">
        <f t="shared" si="111"/>
        <v>9.5178611111111106E-3</v>
      </c>
    </row>
    <row r="1749" spans="1:8" x14ac:dyDescent="0.25">
      <c r="A1749">
        <v>1165</v>
      </c>
      <c r="B1749">
        <v>7</v>
      </c>
      <c r="C1749">
        <v>0.18830194444444451</v>
      </c>
      <c r="D1749">
        <v>0.10161398148138889</v>
      </c>
      <c r="E1749">
        <f t="shared" si="108"/>
        <v>7.8459143518518548E-4</v>
      </c>
      <c r="F1749">
        <f t="shared" si="109"/>
        <v>4.2339158950578703E-4</v>
      </c>
      <c r="G1749">
        <f t="shared" si="110"/>
        <v>1</v>
      </c>
      <c r="H1749">
        <f t="shared" si="111"/>
        <v>9.4150972222222257E-3</v>
      </c>
    </row>
    <row r="1750" spans="1:8" x14ac:dyDescent="0.25">
      <c r="A1750">
        <v>1165</v>
      </c>
      <c r="B1750">
        <v>8</v>
      </c>
      <c r="C1750">
        <v>0.26523777777777779</v>
      </c>
      <c r="D1750">
        <v>0.18477287037027779</v>
      </c>
      <c r="E1750">
        <f t="shared" si="108"/>
        <v>1.1051574074074073E-3</v>
      </c>
      <c r="F1750">
        <f t="shared" si="109"/>
        <v>7.6988695987615741E-4</v>
      </c>
      <c r="G1750">
        <f t="shared" si="110"/>
        <v>1</v>
      </c>
      <c r="H1750">
        <f t="shared" si="111"/>
        <v>1.3261888888888889E-2</v>
      </c>
    </row>
    <row r="1751" spans="1:8" x14ac:dyDescent="0.25">
      <c r="A1751">
        <v>1165</v>
      </c>
      <c r="B1751">
        <v>11</v>
      </c>
      <c r="C1751">
        <v>5.0209166666666673E-2</v>
      </c>
      <c r="D1751">
        <v>5.0209166666666673E-2</v>
      </c>
      <c r="E1751">
        <f t="shared" si="108"/>
        <v>2.0920486111111115E-4</v>
      </c>
      <c r="F1751">
        <f t="shared" si="109"/>
        <v>2.0920486111111115E-4</v>
      </c>
      <c r="G1751">
        <f t="shared" si="110"/>
        <v>1</v>
      </c>
      <c r="H1751">
        <f t="shared" si="111"/>
        <v>2.5104583333333337E-3</v>
      </c>
    </row>
    <row r="1752" spans="1:8" x14ac:dyDescent="0.25">
      <c r="A1752">
        <v>1166</v>
      </c>
      <c r="B1752">
        <v>1</v>
      </c>
      <c r="C1752">
        <v>0.16555555555555557</v>
      </c>
      <c r="D1752">
        <v>6.0000000000000005E-2</v>
      </c>
      <c r="E1752">
        <f t="shared" si="108"/>
        <v>6.8981481481481487E-4</v>
      </c>
      <c r="F1752">
        <f t="shared" si="109"/>
        <v>2.5000000000000001E-4</v>
      </c>
      <c r="G1752">
        <f t="shared" si="110"/>
        <v>1</v>
      </c>
      <c r="H1752">
        <f t="shared" si="111"/>
        <v>8.277777777777778E-3</v>
      </c>
    </row>
    <row r="1753" spans="1:8" x14ac:dyDescent="0.25">
      <c r="A1753">
        <v>1166</v>
      </c>
      <c r="B1753">
        <v>4</v>
      </c>
      <c r="C1753">
        <v>2.0771388888888891E-2</v>
      </c>
      <c r="D1753">
        <v>2.0771388888888891E-2</v>
      </c>
      <c r="E1753">
        <f t="shared" si="108"/>
        <v>8.6547453703703713E-5</v>
      </c>
      <c r="F1753">
        <f t="shared" si="109"/>
        <v>8.6547453703703713E-5</v>
      </c>
      <c r="G1753">
        <f t="shared" si="110"/>
        <v>1</v>
      </c>
      <c r="H1753">
        <f t="shared" si="111"/>
        <v>1.0385694444444446E-3</v>
      </c>
    </row>
    <row r="1754" spans="1:8" x14ac:dyDescent="0.25">
      <c r="A1754">
        <v>1166</v>
      </c>
      <c r="B1754">
        <v>6</v>
      </c>
      <c r="C1754">
        <v>0.62724083333333336</v>
      </c>
      <c r="D1754">
        <v>0.20725058641972219</v>
      </c>
      <c r="E1754">
        <f t="shared" si="108"/>
        <v>2.6135034722222224E-3</v>
      </c>
      <c r="F1754">
        <f t="shared" si="109"/>
        <v>8.6354411008217585E-4</v>
      </c>
      <c r="G1754">
        <f t="shared" si="110"/>
        <v>1</v>
      </c>
      <c r="H1754">
        <f t="shared" si="111"/>
        <v>3.1362041666666667E-2</v>
      </c>
    </row>
    <row r="1755" spans="1:8" x14ac:dyDescent="0.25">
      <c r="A1755">
        <v>1166</v>
      </c>
      <c r="B1755">
        <v>7</v>
      </c>
      <c r="C1755">
        <v>1.3662777777777781E-2</v>
      </c>
      <c r="D1755">
        <v>1.100675925916667E-2</v>
      </c>
      <c r="E1755">
        <f t="shared" si="108"/>
        <v>5.6928240740740752E-5</v>
      </c>
      <c r="F1755">
        <f t="shared" si="109"/>
        <v>4.5861496913194464E-5</v>
      </c>
      <c r="G1755">
        <f t="shared" si="110"/>
        <v>1</v>
      </c>
      <c r="H1755">
        <f t="shared" si="111"/>
        <v>6.8313888888888905E-4</v>
      </c>
    </row>
    <row r="1756" spans="1:8" x14ac:dyDescent="0.25">
      <c r="A1756">
        <v>1167</v>
      </c>
      <c r="B1756">
        <v>1</v>
      </c>
      <c r="C1756">
        <v>6.277777777777778E-2</v>
      </c>
      <c r="D1756">
        <v>1.6111111111111111E-2</v>
      </c>
      <c r="E1756">
        <f t="shared" si="108"/>
        <v>2.6157407407407406E-4</v>
      </c>
      <c r="F1756">
        <f t="shared" si="109"/>
        <v>6.712962962962963E-5</v>
      </c>
      <c r="G1756">
        <f t="shared" si="110"/>
        <v>1</v>
      </c>
      <c r="H1756">
        <f t="shared" si="111"/>
        <v>3.138888888888889E-3</v>
      </c>
    </row>
    <row r="1757" spans="1:8" x14ac:dyDescent="0.25">
      <c r="A1757">
        <v>1167</v>
      </c>
      <c r="B1757">
        <v>4</v>
      </c>
      <c r="C1757">
        <v>3.4293055555555563E-2</v>
      </c>
      <c r="D1757">
        <v>2.0710648148055559E-2</v>
      </c>
      <c r="E1757">
        <f t="shared" si="108"/>
        <v>1.428877314814815E-4</v>
      </c>
      <c r="F1757">
        <f t="shared" si="109"/>
        <v>8.6294367283564833E-5</v>
      </c>
      <c r="G1757">
        <f t="shared" si="110"/>
        <v>1</v>
      </c>
      <c r="H1757">
        <f t="shared" si="111"/>
        <v>1.714652777777778E-3</v>
      </c>
    </row>
    <row r="1758" spans="1:8" x14ac:dyDescent="0.25">
      <c r="A1758">
        <v>1167</v>
      </c>
      <c r="B1758">
        <v>5</v>
      </c>
      <c r="C1758">
        <v>4.0491666666666671E-3</v>
      </c>
      <c r="D1758">
        <v>4.0491666666666671E-3</v>
      </c>
      <c r="E1758">
        <f t="shared" si="108"/>
        <v>1.6871527777777778E-5</v>
      </c>
      <c r="F1758">
        <f t="shared" si="109"/>
        <v>1.6871527777777778E-5</v>
      </c>
      <c r="G1758">
        <f t="shared" si="110"/>
        <v>1</v>
      </c>
      <c r="H1758">
        <f t="shared" si="111"/>
        <v>2.0245833333333335E-4</v>
      </c>
    </row>
    <row r="1759" spans="1:8" x14ac:dyDescent="0.25">
      <c r="A1759">
        <v>1167</v>
      </c>
      <c r="B1759">
        <v>6</v>
      </c>
      <c r="C1759">
        <v>0.32645138888888892</v>
      </c>
      <c r="D1759">
        <v>4.6611820987499997E-2</v>
      </c>
      <c r="E1759">
        <f t="shared" si="108"/>
        <v>1.3602141203703704E-3</v>
      </c>
      <c r="F1759">
        <f t="shared" si="109"/>
        <v>1.9421592078124996E-4</v>
      </c>
      <c r="G1759">
        <f t="shared" si="110"/>
        <v>1</v>
      </c>
      <c r="H1759">
        <f t="shared" si="111"/>
        <v>1.6322569444444445E-2</v>
      </c>
    </row>
    <row r="1760" spans="1:8" x14ac:dyDescent="0.25">
      <c r="A1760">
        <v>1167</v>
      </c>
      <c r="B1760">
        <v>7</v>
      </c>
      <c r="C1760">
        <v>1.7645277777777781E-2</v>
      </c>
      <c r="D1760">
        <v>8.778222222222222E-3</v>
      </c>
      <c r="E1760">
        <f t="shared" si="108"/>
        <v>7.3521990740740752E-5</v>
      </c>
      <c r="F1760">
        <f t="shared" si="109"/>
        <v>3.6575925925925926E-5</v>
      </c>
      <c r="G1760">
        <f t="shared" si="110"/>
        <v>1</v>
      </c>
      <c r="H1760">
        <f t="shared" si="111"/>
        <v>8.8226388888888903E-4</v>
      </c>
    </row>
    <row r="1761" spans="1:8" x14ac:dyDescent="0.25">
      <c r="A1761">
        <v>1167</v>
      </c>
      <c r="B1761">
        <v>8</v>
      </c>
      <c r="C1761">
        <v>9.1208333333333336E-2</v>
      </c>
      <c r="D1761">
        <v>2.5067314814722221E-2</v>
      </c>
      <c r="E1761">
        <f t="shared" si="108"/>
        <v>3.800347222222222E-4</v>
      </c>
      <c r="F1761">
        <f t="shared" si="109"/>
        <v>1.0444714506134259E-4</v>
      </c>
      <c r="G1761">
        <f t="shared" si="110"/>
        <v>1</v>
      </c>
      <c r="H1761">
        <f t="shared" si="111"/>
        <v>4.5604166666666666E-3</v>
      </c>
    </row>
    <row r="1762" spans="1:8" x14ac:dyDescent="0.25">
      <c r="A1762">
        <v>1167</v>
      </c>
      <c r="B1762">
        <v>9</v>
      </c>
      <c r="C1762">
        <v>3.321972222222222E-2</v>
      </c>
      <c r="D1762">
        <v>1.378608585833333E-2</v>
      </c>
      <c r="E1762">
        <f t="shared" si="108"/>
        <v>1.3841550925925924E-4</v>
      </c>
      <c r="F1762">
        <f t="shared" si="109"/>
        <v>5.7442024409722206E-5</v>
      </c>
      <c r="G1762">
        <f t="shared" si="110"/>
        <v>1</v>
      </c>
      <c r="H1762">
        <f t="shared" si="111"/>
        <v>1.6609861111111109E-3</v>
      </c>
    </row>
    <row r="1763" spans="1:8" x14ac:dyDescent="0.25">
      <c r="A1763">
        <v>1167</v>
      </c>
      <c r="B1763">
        <v>10</v>
      </c>
      <c r="C1763">
        <v>3.2440833333333342E-2</v>
      </c>
      <c r="D1763">
        <v>1.130222222222222E-2</v>
      </c>
      <c r="E1763">
        <f t="shared" si="108"/>
        <v>1.3517013888888891E-4</v>
      </c>
      <c r="F1763">
        <f t="shared" si="109"/>
        <v>4.7092592592592587E-5</v>
      </c>
      <c r="G1763">
        <f t="shared" si="110"/>
        <v>1</v>
      </c>
      <c r="H1763">
        <f t="shared" si="111"/>
        <v>1.622041666666667E-3</v>
      </c>
    </row>
    <row r="1764" spans="1:8" x14ac:dyDescent="0.25">
      <c r="A1764">
        <v>1167</v>
      </c>
      <c r="B1764">
        <v>11</v>
      </c>
      <c r="C1764">
        <v>6.0498333333333328E-2</v>
      </c>
      <c r="D1764">
        <v>1.8544236111111109E-2</v>
      </c>
      <c r="E1764">
        <f t="shared" si="108"/>
        <v>2.5207638888888887E-4</v>
      </c>
      <c r="F1764">
        <f t="shared" si="109"/>
        <v>7.7267650462962956E-5</v>
      </c>
      <c r="G1764">
        <f t="shared" si="110"/>
        <v>1</v>
      </c>
      <c r="H1764">
        <f t="shared" si="111"/>
        <v>3.0249166666666662E-3</v>
      </c>
    </row>
    <row r="1765" spans="1:8" x14ac:dyDescent="0.25">
      <c r="A1765">
        <v>1167</v>
      </c>
      <c r="B1765">
        <v>12</v>
      </c>
      <c r="C1765">
        <v>2.733194444444444E-2</v>
      </c>
      <c r="D1765">
        <v>1.169830065333333E-2</v>
      </c>
      <c r="E1765">
        <f t="shared" si="108"/>
        <v>1.1388310185185183E-4</v>
      </c>
      <c r="F1765">
        <f t="shared" si="109"/>
        <v>4.8742919388888882E-5</v>
      </c>
      <c r="G1765">
        <f t="shared" si="110"/>
        <v>1</v>
      </c>
      <c r="H1765">
        <f t="shared" si="111"/>
        <v>1.366597222222222E-3</v>
      </c>
    </row>
    <row r="1766" spans="1:8" x14ac:dyDescent="0.25">
      <c r="A1766">
        <v>1168</v>
      </c>
      <c r="B1766">
        <v>1</v>
      </c>
      <c r="C1766">
        <v>8.3055555555555563E-2</v>
      </c>
      <c r="D1766">
        <v>4.083333333333334E-2</v>
      </c>
      <c r="E1766">
        <f t="shared" si="108"/>
        <v>3.4606481481481484E-4</v>
      </c>
      <c r="F1766">
        <f t="shared" si="109"/>
        <v>1.7013888888888892E-4</v>
      </c>
      <c r="G1766">
        <f t="shared" si="110"/>
        <v>1</v>
      </c>
      <c r="H1766">
        <f t="shared" si="111"/>
        <v>4.1527777777777778E-3</v>
      </c>
    </row>
    <row r="1767" spans="1:8" x14ac:dyDescent="0.25">
      <c r="A1767">
        <v>1168</v>
      </c>
      <c r="B1767">
        <v>3</v>
      </c>
      <c r="C1767">
        <v>5.3490833333333328E-2</v>
      </c>
      <c r="D1767">
        <v>5.3490833333333328E-2</v>
      </c>
      <c r="E1767">
        <f t="shared" si="108"/>
        <v>2.2287847222222218E-4</v>
      </c>
      <c r="F1767">
        <f t="shared" si="109"/>
        <v>2.2287847222222218E-4</v>
      </c>
      <c r="G1767">
        <f t="shared" si="110"/>
        <v>1</v>
      </c>
      <c r="H1767">
        <f t="shared" si="111"/>
        <v>2.6745416666666662E-3</v>
      </c>
    </row>
    <row r="1768" spans="1:8" x14ac:dyDescent="0.25">
      <c r="A1768">
        <v>1168</v>
      </c>
      <c r="B1768">
        <v>7</v>
      </c>
      <c r="C1768">
        <v>0.27269055555555549</v>
      </c>
      <c r="D1768">
        <v>8.0800119047499994E-2</v>
      </c>
      <c r="E1768">
        <f t="shared" si="108"/>
        <v>1.1362106481481479E-3</v>
      </c>
      <c r="F1768">
        <f t="shared" si="109"/>
        <v>3.3666716269791663E-4</v>
      </c>
      <c r="G1768">
        <f t="shared" si="110"/>
        <v>1</v>
      </c>
      <c r="H1768">
        <f t="shared" si="111"/>
        <v>1.3634527777777775E-2</v>
      </c>
    </row>
    <row r="1769" spans="1:8" x14ac:dyDescent="0.25">
      <c r="A1769">
        <v>1168</v>
      </c>
      <c r="B1769">
        <v>8</v>
      </c>
      <c r="C1769">
        <v>9.755277777777778E-2</v>
      </c>
      <c r="D1769">
        <v>5.1997023809444452E-2</v>
      </c>
      <c r="E1769">
        <f t="shared" si="108"/>
        <v>4.0646990740740742E-4</v>
      </c>
      <c r="F1769">
        <f t="shared" si="109"/>
        <v>2.1665426587268521E-4</v>
      </c>
      <c r="G1769">
        <f t="shared" si="110"/>
        <v>1</v>
      </c>
      <c r="H1769">
        <f t="shared" si="111"/>
        <v>4.8776388888888888E-3</v>
      </c>
    </row>
    <row r="1770" spans="1:8" x14ac:dyDescent="0.25">
      <c r="A1770">
        <v>1168</v>
      </c>
      <c r="B1770">
        <v>10</v>
      </c>
      <c r="C1770">
        <v>4.9686388888888891E-2</v>
      </c>
      <c r="D1770">
        <v>3.2913055555555563E-2</v>
      </c>
      <c r="E1770">
        <f t="shared" si="108"/>
        <v>2.0702662037037036E-4</v>
      </c>
      <c r="F1770">
        <f t="shared" si="109"/>
        <v>1.3713773148148152E-4</v>
      </c>
      <c r="G1770">
        <f t="shared" si="110"/>
        <v>1</v>
      </c>
      <c r="H1770">
        <f t="shared" si="111"/>
        <v>2.4843194444444444E-3</v>
      </c>
    </row>
    <row r="1771" spans="1:8" x14ac:dyDescent="0.25">
      <c r="A1771">
        <v>1168</v>
      </c>
      <c r="B1771">
        <v>11</v>
      </c>
      <c r="C1771">
        <v>1.6250000000000001E-2</v>
      </c>
      <c r="D1771">
        <v>1.545E-2</v>
      </c>
      <c r="E1771">
        <f t="shared" si="108"/>
        <v>6.7708333333333344E-5</v>
      </c>
      <c r="F1771">
        <f t="shared" si="109"/>
        <v>6.4374999999999993E-5</v>
      </c>
      <c r="G1771">
        <f t="shared" si="110"/>
        <v>1</v>
      </c>
      <c r="H1771">
        <f t="shared" si="111"/>
        <v>8.1250000000000007E-4</v>
      </c>
    </row>
    <row r="1772" spans="1:8" x14ac:dyDescent="0.25">
      <c r="A1772">
        <v>1168</v>
      </c>
      <c r="B1772">
        <v>12</v>
      </c>
      <c r="C1772">
        <v>9.1253888888888884E-2</v>
      </c>
      <c r="D1772">
        <v>5.1058125000000003E-2</v>
      </c>
      <c r="E1772">
        <f t="shared" si="108"/>
        <v>3.8022453703703699E-4</v>
      </c>
      <c r="F1772">
        <f t="shared" si="109"/>
        <v>2.1274218750000001E-4</v>
      </c>
      <c r="G1772">
        <f t="shared" si="110"/>
        <v>1</v>
      </c>
      <c r="H1772">
        <f t="shared" si="111"/>
        <v>4.5626944444444439E-3</v>
      </c>
    </row>
    <row r="1773" spans="1:8" x14ac:dyDescent="0.25">
      <c r="A1773">
        <v>1169</v>
      </c>
      <c r="B1773">
        <v>1</v>
      </c>
      <c r="C1773">
        <v>7.3055555555555568E-2</v>
      </c>
      <c r="D1773">
        <v>3.8611111111111117E-2</v>
      </c>
      <c r="E1773">
        <f t="shared" si="108"/>
        <v>3.043981481481482E-4</v>
      </c>
      <c r="F1773">
        <f t="shared" si="109"/>
        <v>1.6087962962962966E-4</v>
      </c>
      <c r="G1773">
        <f t="shared" si="110"/>
        <v>1</v>
      </c>
      <c r="H1773">
        <f t="shared" si="111"/>
        <v>3.6527777777777782E-3</v>
      </c>
    </row>
    <row r="1774" spans="1:8" x14ac:dyDescent="0.25">
      <c r="A1774">
        <v>1169</v>
      </c>
      <c r="B1774">
        <v>3</v>
      </c>
      <c r="C1774">
        <v>1.6146111111111111E-2</v>
      </c>
      <c r="D1774">
        <v>1.6146111111111111E-2</v>
      </c>
      <c r="E1774">
        <f t="shared" si="108"/>
        <v>6.7275462962962965E-5</v>
      </c>
      <c r="F1774">
        <f t="shared" si="109"/>
        <v>6.7275462962962965E-5</v>
      </c>
      <c r="G1774">
        <f t="shared" si="110"/>
        <v>1</v>
      </c>
      <c r="H1774">
        <f t="shared" si="111"/>
        <v>8.0730555555555558E-4</v>
      </c>
    </row>
    <row r="1775" spans="1:8" x14ac:dyDescent="0.25">
      <c r="A1775">
        <v>1169</v>
      </c>
      <c r="B1775">
        <v>4</v>
      </c>
      <c r="C1775">
        <v>2.3474999999999999E-2</v>
      </c>
      <c r="D1775">
        <v>2.3474999999999999E-2</v>
      </c>
      <c r="E1775">
        <f t="shared" si="108"/>
        <v>9.7812499999999986E-5</v>
      </c>
      <c r="F1775">
        <f t="shared" si="109"/>
        <v>9.7812499999999986E-5</v>
      </c>
      <c r="G1775">
        <f t="shared" si="110"/>
        <v>1</v>
      </c>
      <c r="H1775">
        <f t="shared" si="111"/>
        <v>1.1737499999999999E-3</v>
      </c>
    </row>
    <row r="1776" spans="1:8" x14ac:dyDescent="0.25">
      <c r="A1776">
        <v>1169</v>
      </c>
      <c r="B1776">
        <v>6</v>
      </c>
      <c r="C1776">
        <v>8.9194444444444451E-3</v>
      </c>
      <c r="D1776">
        <v>8.9194444444444451E-3</v>
      </c>
      <c r="E1776">
        <f t="shared" si="108"/>
        <v>3.7164351851851859E-5</v>
      </c>
      <c r="F1776">
        <f t="shared" si="109"/>
        <v>3.7164351851851859E-5</v>
      </c>
      <c r="G1776">
        <f t="shared" si="110"/>
        <v>1</v>
      </c>
      <c r="H1776">
        <f t="shared" si="111"/>
        <v>4.4597222222222228E-4</v>
      </c>
    </row>
    <row r="1777" spans="1:8" x14ac:dyDescent="0.25">
      <c r="A1777">
        <v>1169</v>
      </c>
      <c r="B1777">
        <v>8</v>
      </c>
      <c r="C1777">
        <v>7.417555555555555E-2</v>
      </c>
      <c r="D1777">
        <v>7.417555555555555E-2</v>
      </c>
      <c r="E1777">
        <f t="shared" si="108"/>
        <v>3.090648148148148E-4</v>
      </c>
      <c r="F1777">
        <f t="shared" si="109"/>
        <v>3.090648148148148E-4</v>
      </c>
      <c r="G1777">
        <f t="shared" si="110"/>
        <v>1</v>
      </c>
      <c r="H1777">
        <f t="shared" si="111"/>
        <v>3.7087777777777779E-3</v>
      </c>
    </row>
    <row r="1778" spans="1:8" x14ac:dyDescent="0.25">
      <c r="A1778">
        <v>1169</v>
      </c>
      <c r="B1778">
        <v>11</v>
      </c>
      <c r="C1778">
        <v>8.2436111111111113E-3</v>
      </c>
      <c r="D1778">
        <v>8.2436111111111113E-3</v>
      </c>
      <c r="E1778">
        <f t="shared" si="108"/>
        <v>3.4348379629629629E-5</v>
      </c>
      <c r="F1778">
        <f t="shared" si="109"/>
        <v>3.4348379629629629E-5</v>
      </c>
      <c r="G1778">
        <f t="shared" si="110"/>
        <v>1</v>
      </c>
      <c r="H1778">
        <f t="shared" si="111"/>
        <v>4.1218055555555555E-4</v>
      </c>
    </row>
    <row r="1779" spans="1:8" x14ac:dyDescent="0.25">
      <c r="A1779">
        <v>1169</v>
      </c>
      <c r="B1779">
        <v>12</v>
      </c>
      <c r="C1779">
        <v>0.37878916666666668</v>
      </c>
      <c r="D1779">
        <v>0.13905101851833329</v>
      </c>
      <c r="E1779">
        <f t="shared" si="108"/>
        <v>1.5782881944444444E-3</v>
      </c>
      <c r="F1779">
        <f t="shared" si="109"/>
        <v>5.7937924382638875E-4</v>
      </c>
      <c r="G1779">
        <f t="shared" si="110"/>
        <v>1</v>
      </c>
      <c r="H1779">
        <f t="shared" si="111"/>
        <v>1.8939458333333332E-2</v>
      </c>
    </row>
    <row r="1780" spans="1:8" x14ac:dyDescent="0.25">
      <c r="A1780">
        <v>1170</v>
      </c>
      <c r="B1780">
        <v>1</v>
      </c>
      <c r="C1780">
        <v>0.2525</v>
      </c>
      <c r="D1780">
        <v>0.2525</v>
      </c>
      <c r="E1780">
        <f t="shared" si="108"/>
        <v>1.0520833333333335E-3</v>
      </c>
      <c r="F1780">
        <f t="shared" si="109"/>
        <v>1.0520833333333335E-3</v>
      </c>
      <c r="G1780">
        <f t="shared" si="110"/>
        <v>1</v>
      </c>
      <c r="H1780">
        <f t="shared" si="111"/>
        <v>1.2625000000000001E-2</v>
      </c>
    </row>
    <row r="1781" spans="1:8" x14ac:dyDescent="0.25">
      <c r="A1781">
        <v>1170</v>
      </c>
      <c r="B1781">
        <v>2</v>
      </c>
      <c r="C1781">
        <v>0.50472499999999998</v>
      </c>
      <c r="D1781">
        <v>0.50472499999999998</v>
      </c>
      <c r="E1781">
        <f t="shared" si="108"/>
        <v>2.103020833333333E-3</v>
      </c>
      <c r="F1781">
        <f t="shared" si="109"/>
        <v>2.103020833333333E-3</v>
      </c>
      <c r="G1781">
        <f t="shared" si="110"/>
        <v>1</v>
      </c>
      <c r="H1781">
        <f t="shared" si="111"/>
        <v>2.5236249999999995E-2</v>
      </c>
    </row>
    <row r="1782" spans="1:8" x14ac:dyDescent="0.25">
      <c r="A1782">
        <v>1171</v>
      </c>
      <c r="B1782">
        <v>1</v>
      </c>
      <c r="C1782">
        <v>9.0555555555555556E-2</v>
      </c>
      <c r="D1782">
        <v>5.8888888888888886E-2</v>
      </c>
      <c r="E1782">
        <f t="shared" si="108"/>
        <v>3.7731481481481486E-4</v>
      </c>
      <c r="F1782">
        <f t="shared" si="109"/>
        <v>2.4537037037037035E-4</v>
      </c>
      <c r="G1782">
        <f t="shared" si="110"/>
        <v>1</v>
      </c>
      <c r="H1782">
        <f t="shared" si="111"/>
        <v>4.5277777777777781E-3</v>
      </c>
    </row>
    <row r="1783" spans="1:8" x14ac:dyDescent="0.25">
      <c r="A1783">
        <v>1171</v>
      </c>
      <c r="B1783">
        <v>4</v>
      </c>
      <c r="C1783">
        <v>0.10538166666666671</v>
      </c>
      <c r="D1783">
        <v>0.10538166666666671</v>
      </c>
      <c r="E1783">
        <f t="shared" si="108"/>
        <v>4.3909027777777799E-4</v>
      </c>
      <c r="F1783">
        <f t="shared" si="109"/>
        <v>4.3909027777777799E-4</v>
      </c>
      <c r="G1783">
        <f t="shared" si="110"/>
        <v>1</v>
      </c>
      <c r="H1783">
        <f t="shared" si="111"/>
        <v>5.2690833333333357E-3</v>
      </c>
    </row>
    <row r="1784" spans="1:8" x14ac:dyDescent="0.25">
      <c r="A1784">
        <v>1171</v>
      </c>
      <c r="B1784">
        <v>5</v>
      </c>
      <c r="C1784">
        <v>0.32221722222222221</v>
      </c>
      <c r="D1784">
        <v>0.16353736111111111</v>
      </c>
      <c r="E1784">
        <f t="shared" si="108"/>
        <v>1.3425717592592593E-3</v>
      </c>
      <c r="F1784">
        <f t="shared" si="109"/>
        <v>6.8140567129629627E-4</v>
      </c>
      <c r="G1784">
        <f t="shared" si="110"/>
        <v>1</v>
      </c>
      <c r="H1784">
        <f t="shared" si="111"/>
        <v>1.6110861111111111E-2</v>
      </c>
    </row>
    <row r="1785" spans="1:8" x14ac:dyDescent="0.25">
      <c r="A1785">
        <v>1171</v>
      </c>
      <c r="B1785">
        <v>9</v>
      </c>
      <c r="C1785">
        <v>5.2555555555555558E-3</v>
      </c>
      <c r="D1785">
        <v>5.2555555555555558E-3</v>
      </c>
      <c r="E1785">
        <f t="shared" si="108"/>
        <v>2.189814814814815E-5</v>
      </c>
      <c r="F1785">
        <f t="shared" si="109"/>
        <v>2.189814814814815E-5</v>
      </c>
      <c r="G1785">
        <f t="shared" si="110"/>
        <v>1</v>
      </c>
      <c r="H1785">
        <f t="shared" si="111"/>
        <v>2.6277777777777779E-4</v>
      </c>
    </row>
    <row r="1786" spans="1:8" x14ac:dyDescent="0.25">
      <c r="A1786">
        <v>1171</v>
      </c>
      <c r="B1786">
        <v>10</v>
      </c>
      <c r="C1786">
        <v>1.9375833333333332E-2</v>
      </c>
      <c r="D1786">
        <v>1.9375833333333332E-2</v>
      </c>
      <c r="E1786">
        <f t="shared" si="108"/>
        <v>8.0732638888888881E-5</v>
      </c>
      <c r="F1786">
        <f t="shared" si="109"/>
        <v>8.0732638888888881E-5</v>
      </c>
      <c r="G1786">
        <f t="shared" si="110"/>
        <v>1</v>
      </c>
      <c r="H1786">
        <f t="shared" si="111"/>
        <v>9.6879166666666663E-4</v>
      </c>
    </row>
    <row r="1787" spans="1:8" x14ac:dyDescent="0.25">
      <c r="A1787">
        <v>1172</v>
      </c>
      <c r="B1787">
        <v>1</v>
      </c>
      <c r="C1787">
        <v>0.19416666666666668</v>
      </c>
      <c r="D1787">
        <v>0.1186111111111111</v>
      </c>
      <c r="E1787">
        <f t="shared" si="108"/>
        <v>8.0902777777777787E-4</v>
      </c>
      <c r="F1787">
        <f t="shared" si="109"/>
        <v>4.942129629629629E-4</v>
      </c>
      <c r="G1787">
        <f t="shared" si="110"/>
        <v>1</v>
      </c>
      <c r="H1787">
        <f t="shared" si="111"/>
        <v>9.7083333333333344E-3</v>
      </c>
    </row>
    <row r="1788" spans="1:8" x14ac:dyDescent="0.25">
      <c r="A1788">
        <v>1172</v>
      </c>
      <c r="B1788">
        <v>9</v>
      </c>
      <c r="C1788">
        <v>0.3883213888888889</v>
      </c>
      <c r="D1788">
        <v>0.23715194444444451</v>
      </c>
      <c r="E1788">
        <f t="shared" si="108"/>
        <v>1.6180057870370369E-3</v>
      </c>
      <c r="F1788">
        <f t="shared" si="109"/>
        <v>9.8813310185185224E-4</v>
      </c>
      <c r="G1788">
        <f t="shared" si="110"/>
        <v>1</v>
      </c>
      <c r="H1788">
        <f t="shared" si="111"/>
        <v>1.9416069444444444E-2</v>
      </c>
    </row>
    <row r="1789" spans="1:8" x14ac:dyDescent="0.25">
      <c r="A1789">
        <v>1173</v>
      </c>
      <c r="B1789">
        <v>1</v>
      </c>
      <c r="C1789">
        <v>9.6111111111111105E-2</v>
      </c>
      <c r="D1789">
        <v>6.5555555555555547E-2</v>
      </c>
      <c r="E1789">
        <f t="shared" si="108"/>
        <v>4.0046296296296293E-4</v>
      </c>
      <c r="F1789">
        <f t="shared" si="109"/>
        <v>2.7314814814814812E-4</v>
      </c>
      <c r="G1789">
        <f t="shared" si="110"/>
        <v>1</v>
      </c>
      <c r="H1789">
        <f t="shared" si="111"/>
        <v>4.8055555555555551E-3</v>
      </c>
    </row>
    <row r="1790" spans="1:8" x14ac:dyDescent="0.25">
      <c r="A1790">
        <v>1173</v>
      </c>
      <c r="B1790">
        <v>8</v>
      </c>
      <c r="C1790">
        <v>0.2438663888888889</v>
      </c>
      <c r="D1790">
        <v>0.1497679166666667</v>
      </c>
      <c r="E1790">
        <f t="shared" si="108"/>
        <v>1.0161099537037037E-3</v>
      </c>
      <c r="F1790">
        <f t="shared" si="109"/>
        <v>6.2403298611111123E-4</v>
      </c>
      <c r="G1790">
        <f t="shared" si="110"/>
        <v>1</v>
      </c>
      <c r="H1790">
        <f t="shared" si="111"/>
        <v>1.2193319444444444E-2</v>
      </c>
    </row>
    <row r="1791" spans="1:8" x14ac:dyDescent="0.25">
      <c r="A1791">
        <v>1173</v>
      </c>
      <c r="B1791">
        <v>9</v>
      </c>
      <c r="C1791">
        <v>3.2676666666666673E-2</v>
      </c>
      <c r="D1791">
        <v>3.2676666666666673E-2</v>
      </c>
      <c r="E1791">
        <f t="shared" si="108"/>
        <v>1.3615277777777782E-4</v>
      </c>
      <c r="F1791">
        <f t="shared" si="109"/>
        <v>1.3615277777777782E-4</v>
      </c>
      <c r="G1791">
        <f t="shared" si="110"/>
        <v>1</v>
      </c>
      <c r="H1791">
        <f t="shared" si="111"/>
        <v>1.6338333333333339E-3</v>
      </c>
    </row>
    <row r="1792" spans="1:8" x14ac:dyDescent="0.25">
      <c r="A1792">
        <v>1173</v>
      </c>
      <c r="B1792">
        <v>12</v>
      </c>
      <c r="C1792">
        <v>0.1069258333333333</v>
      </c>
      <c r="D1792">
        <v>7.8895000000000007E-2</v>
      </c>
      <c r="E1792">
        <f t="shared" si="108"/>
        <v>4.455243055555554E-4</v>
      </c>
      <c r="F1792">
        <f t="shared" si="109"/>
        <v>3.2872916666666668E-4</v>
      </c>
      <c r="G1792">
        <f t="shared" si="110"/>
        <v>1</v>
      </c>
      <c r="H1792">
        <f t="shared" si="111"/>
        <v>5.346291666666665E-3</v>
      </c>
    </row>
    <row r="1793" spans="1:8" x14ac:dyDescent="0.25">
      <c r="A1793">
        <v>1174</v>
      </c>
      <c r="B1793">
        <v>1</v>
      </c>
      <c r="C1793">
        <v>0.16861111111111113</v>
      </c>
      <c r="D1793">
        <v>0.10277777777777779</v>
      </c>
      <c r="E1793">
        <f t="shared" si="108"/>
        <v>7.0254629629629627E-4</v>
      </c>
      <c r="F1793">
        <f t="shared" si="109"/>
        <v>4.2824074074074075E-4</v>
      </c>
      <c r="G1793">
        <f t="shared" si="110"/>
        <v>1</v>
      </c>
      <c r="H1793">
        <f t="shared" si="111"/>
        <v>8.4305555555555557E-3</v>
      </c>
    </row>
    <row r="1794" spans="1:8" x14ac:dyDescent="0.25">
      <c r="A1794">
        <v>1174</v>
      </c>
      <c r="B1794">
        <v>11</v>
      </c>
      <c r="C1794">
        <v>0.33721861111111112</v>
      </c>
      <c r="D1794">
        <v>0.2050922222222222</v>
      </c>
      <c r="E1794">
        <f t="shared" ref="E1794:E1849" si="112">+C1794/20/12</f>
        <v>1.4050775462962964E-3</v>
      </c>
      <c r="F1794">
        <f t="shared" ref="F1794:F1849" si="113">+D1794/20/12</f>
        <v>8.5455092592592581E-4</v>
      </c>
      <c r="G1794">
        <f t="shared" ref="G1794:G1849" si="114">+ROUNDUP(E1794*12,0)</f>
        <v>1</v>
      </c>
      <c r="H1794">
        <f t="shared" ref="H1794:H1849" si="115">+E1794*12</f>
        <v>1.6860930555555556E-2</v>
      </c>
    </row>
    <row r="1795" spans="1:8" x14ac:dyDescent="0.25">
      <c r="A1795">
        <v>1175</v>
      </c>
      <c r="B1795">
        <v>1</v>
      </c>
      <c r="C1795">
        <v>2.5555555555555557E-2</v>
      </c>
      <c r="D1795">
        <v>1.3055555555555555E-2</v>
      </c>
      <c r="E1795">
        <f t="shared" si="112"/>
        <v>1.0648148148148149E-4</v>
      </c>
      <c r="F1795">
        <f t="shared" si="113"/>
        <v>5.4398148148148144E-5</v>
      </c>
      <c r="G1795">
        <f t="shared" si="114"/>
        <v>1</v>
      </c>
      <c r="H1795">
        <f t="shared" si="115"/>
        <v>1.2777777777777779E-3</v>
      </c>
    </row>
    <row r="1796" spans="1:8" x14ac:dyDescent="0.25">
      <c r="A1796">
        <v>1175</v>
      </c>
      <c r="B1796">
        <v>2</v>
      </c>
      <c r="C1796">
        <v>2.3507222222222221E-2</v>
      </c>
      <c r="D1796">
        <v>1.5836982323055551E-2</v>
      </c>
      <c r="E1796">
        <f t="shared" si="112"/>
        <v>9.7946759259259252E-5</v>
      </c>
      <c r="F1796">
        <f t="shared" si="113"/>
        <v>6.5987426346064793E-5</v>
      </c>
      <c r="G1796">
        <f t="shared" si="114"/>
        <v>1</v>
      </c>
      <c r="H1796">
        <f t="shared" si="115"/>
        <v>1.175361111111111E-3</v>
      </c>
    </row>
    <row r="1797" spans="1:8" x14ac:dyDescent="0.25">
      <c r="A1797">
        <v>1175</v>
      </c>
      <c r="B1797">
        <v>3</v>
      </c>
      <c r="C1797">
        <v>5.0434166666666669E-2</v>
      </c>
      <c r="D1797">
        <v>1.7587152777777781E-2</v>
      </c>
      <c r="E1797">
        <f t="shared" si="112"/>
        <v>2.1014236111111111E-4</v>
      </c>
      <c r="F1797">
        <f t="shared" si="113"/>
        <v>7.3279803240740754E-5</v>
      </c>
      <c r="G1797">
        <f t="shared" si="114"/>
        <v>1</v>
      </c>
      <c r="H1797">
        <f t="shared" si="115"/>
        <v>2.5217083333333333E-3</v>
      </c>
    </row>
    <row r="1798" spans="1:8" x14ac:dyDescent="0.25">
      <c r="A1798">
        <v>1175</v>
      </c>
      <c r="B1798">
        <v>4</v>
      </c>
      <c r="C1798">
        <v>1.788611111111111E-2</v>
      </c>
      <c r="D1798">
        <v>1.453170634916667E-2</v>
      </c>
      <c r="E1798">
        <f t="shared" si="112"/>
        <v>7.4525462962962965E-5</v>
      </c>
      <c r="F1798">
        <f t="shared" si="113"/>
        <v>6.0548776454861124E-5</v>
      </c>
      <c r="G1798">
        <f t="shared" si="114"/>
        <v>1</v>
      </c>
      <c r="H1798">
        <f t="shared" si="115"/>
        <v>8.9430555555555552E-4</v>
      </c>
    </row>
    <row r="1799" spans="1:8" x14ac:dyDescent="0.25">
      <c r="A1799">
        <v>1175</v>
      </c>
      <c r="B1799">
        <v>5</v>
      </c>
      <c r="C1799">
        <v>2.1023333333333331E-2</v>
      </c>
      <c r="D1799">
        <v>1.468130555555556E-2</v>
      </c>
      <c r="E1799">
        <f t="shared" si="112"/>
        <v>8.7597222222222213E-5</v>
      </c>
      <c r="F1799">
        <f t="shared" si="113"/>
        <v>6.1172106481481499E-5</v>
      </c>
      <c r="G1799">
        <f t="shared" si="114"/>
        <v>1</v>
      </c>
      <c r="H1799">
        <f t="shared" si="115"/>
        <v>1.0511666666666666E-3</v>
      </c>
    </row>
    <row r="1800" spans="1:8" x14ac:dyDescent="0.25">
      <c r="A1800">
        <v>1175</v>
      </c>
      <c r="B1800">
        <v>6</v>
      </c>
      <c r="C1800">
        <v>1.6111111111111111E-2</v>
      </c>
      <c r="D1800">
        <v>1.339229532138889E-2</v>
      </c>
      <c r="E1800">
        <f t="shared" si="112"/>
        <v>6.712962962962963E-5</v>
      </c>
      <c r="F1800">
        <f t="shared" si="113"/>
        <v>5.5801230505787035E-5</v>
      </c>
      <c r="G1800">
        <f t="shared" si="114"/>
        <v>1</v>
      </c>
      <c r="H1800">
        <f t="shared" si="115"/>
        <v>8.0555555555555556E-4</v>
      </c>
    </row>
    <row r="1801" spans="1:8" x14ac:dyDescent="0.25">
      <c r="A1801">
        <v>1175</v>
      </c>
      <c r="B1801">
        <v>7</v>
      </c>
      <c r="C1801">
        <v>2.0659166666666669E-2</v>
      </c>
      <c r="D1801">
        <v>1.285339947083333E-2</v>
      </c>
      <c r="E1801">
        <f t="shared" si="112"/>
        <v>8.6079861111111114E-5</v>
      </c>
      <c r="F1801">
        <f t="shared" si="113"/>
        <v>5.3555831128472216E-5</v>
      </c>
      <c r="G1801">
        <f t="shared" si="114"/>
        <v>1</v>
      </c>
      <c r="H1801">
        <f t="shared" si="115"/>
        <v>1.0329583333333334E-3</v>
      </c>
    </row>
    <row r="1802" spans="1:8" x14ac:dyDescent="0.25">
      <c r="A1802">
        <v>1175</v>
      </c>
      <c r="B1802">
        <v>8</v>
      </c>
      <c r="C1802">
        <v>1.345472222222222E-2</v>
      </c>
      <c r="D1802">
        <v>1.161100241527778E-2</v>
      </c>
      <c r="E1802">
        <f t="shared" si="112"/>
        <v>5.6061342592592584E-5</v>
      </c>
      <c r="F1802">
        <f t="shared" si="113"/>
        <v>4.8379176730324086E-5</v>
      </c>
      <c r="G1802">
        <f t="shared" si="114"/>
        <v>1</v>
      </c>
      <c r="H1802">
        <f t="shared" si="115"/>
        <v>6.7273611111111104E-4</v>
      </c>
    </row>
    <row r="1803" spans="1:8" x14ac:dyDescent="0.25">
      <c r="A1803">
        <v>1175</v>
      </c>
      <c r="B1803">
        <v>9</v>
      </c>
      <c r="C1803">
        <v>1.4548055555555561E-2</v>
      </c>
      <c r="D1803">
        <v>1.312056944444445E-2</v>
      </c>
      <c r="E1803">
        <f t="shared" si="112"/>
        <v>6.0616898148148163E-5</v>
      </c>
      <c r="F1803">
        <f t="shared" si="113"/>
        <v>5.4669039351851877E-5</v>
      </c>
      <c r="G1803">
        <f t="shared" si="114"/>
        <v>1</v>
      </c>
      <c r="H1803">
        <f t="shared" si="115"/>
        <v>7.2740277777777799E-4</v>
      </c>
    </row>
    <row r="1804" spans="1:8" x14ac:dyDescent="0.25">
      <c r="A1804">
        <v>1175</v>
      </c>
      <c r="B1804">
        <v>10</v>
      </c>
      <c r="C1804">
        <v>1.8461111111111109E-2</v>
      </c>
      <c r="D1804">
        <v>1.2646489898888891E-2</v>
      </c>
      <c r="E1804">
        <f t="shared" si="112"/>
        <v>7.6921296296296286E-5</v>
      </c>
      <c r="F1804">
        <f t="shared" si="113"/>
        <v>5.2693707912037047E-5</v>
      </c>
      <c r="G1804">
        <f t="shared" si="114"/>
        <v>1</v>
      </c>
      <c r="H1804">
        <f t="shared" si="115"/>
        <v>9.2305555555555543E-4</v>
      </c>
    </row>
    <row r="1805" spans="1:8" x14ac:dyDescent="0.25">
      <c r="A1805">
        <v>1175</v>
      </c>
      <c r="B1805">
        <v>11</v>
      </c>
      <c r="C1805">
        <v>1.509722222222222E-2</v>
      </c>
      <c r="D1805">
        <v>1.264303030277778E-2</v>
      </c>
      <c r="E1805">
        <f t="shared" si="112"/>
        <v>6.2905092592592578E-5</v>
      </c>
      <c r="F1805">
        <f t="shared" si="113"/>
        <v>5.2679292928240747E-5</v>
      </c>
      <c r="G1805">
        <f t="shared" si="114"/>
        <v>1</v>
      </c>
      <c r="H1805">
        <f t="shared" si="115"/>
        <v>7.5486111111111088E-4</v>
      </c>
    </row>
    <row r="1806" spans="1:8" x14ac:dyDescent="0.25">
      <c r="A1806">
        <v>1175</v>
      </c>
      <c r="B1806">
        <v>12</v>
      </c>
      <c r="C1806">
        <v>9.4193611111111117E-2</v>
      </c>
      <c r="D1806">
        <v>1.563219576694444E-2</v>
      </c>
      <c r="E1806">
        <f t="shared" si="112"/>
        <v>3.9247337962962961E-4</v>
      </c>
      <c r="F1806">
        <f t="shared" si="113"/>
        <v>6.5134149028935165E-5</v>
      </c>
      <c r="G1806">
        <f t="shared" si="114"/>
        <v>1</v>
      </c>
      <c r="H1806">
        <f t="shared" si="115"/>
        <v>4.7096805555555555E-3</v>
      </c>
    </row>
    <row r="1807" spans="1:8" x14ac:dyDescent="0.25">
      <c r="A1807">
        <v>1176</v>
      </c>
      <c r="B1807">
        <v>1</v>
      </c>
      <c r="C1807">
        <v>6.805555555555555E-2</v>
      </c>
      <c r="D1807">
        <v>6.805555555555555E-2</v>
      </c>
      <c r="E1807">
        <f t="shared" si="112"/>
        <v>2.8356481481481478E-4</v>
      </c>
      <c r="F1807">
        <f t="shared" si="113"/>
        <v>2.8356481481481478E-4</v>
      </c>
      <c r="G1807">
        <f t="shared" si="114"/>
        <v>1</v>
      </c>
      <c r="H1807">
        <f t="shared" si="115"/>
        <v>3.4027777777777771E-3</v>
      </c>
    </row>
    <row r="1808" spans="1:8" x14ac:dyDescent="0.25">
      <c r="A1808">
        <v>1176</v>
      </c>
      <c r="B1808">
        <v>3</v>
      </c>
      <c r="C1808">
        <v>0.15415361111111109</v>
      </c>
      <c r="D1808">
        <v>0.15415361111111109</v>
      </c>
      <c r="E1808">
        <f t="shared" si="112"/>
        <v>6.423067129629629E-4</v>
      </c>
      <c r="F1808">
        <f t="shared" si="113"/>
        <v>6.423067129629629E-4</v>
      </c>
      <c r="G1808">
        <f t="shared" si="114"/>
        <v>1</v>
      </c>
      <c r="H1808">
        <f t="shared" si="115"/>
        <v>7.7076805555555544E-3</v>
      </c>
    </row>
    <row r="1809" spans="1:8" x14ac:dyDescent="0.25">
      <c r="A1809">
        <v>1176</v>
      </c>
      <c r="B1809">
        <v>7</v>
      </c>
      <c r="C1809">
        <v>0.05</v>
      </c>
      <c r="D1809">
        <v>0.05</v>
      </c>
      <c r="E1809">
        <f t="shared" si="112"/>
        <v>2.0833333333333335E-4</v>
      </c>
      <c r="F1809">
        <f t="shared" si="113"/>
        <v>2.0833333333333335E-4</v>
      </c>
      <c r="G1809">
        <f t="shared" si="114"/>
        <v>1</v>
      </c>
      <c r="H1809">
        <f t="shared" si="115"/>
        <v>2.5000000000000001E-3</v>
      </c>
    </row>
    <row r="1810" spans="1:8" x14ac:dyDescent="0.25">
      <c r="A1810">
        <v>1177</v>
      </c>
      <c r="B1810">
        <v>1</v>
      </c>
      <c r="C1810">
        <v>5.2222222222222218E-2</v>
      </c>
      <c r="D1810">
        <v>5.2222222222222218E-2</v>
      </c>
      <c r="E1810">
        <f t="shared" si="112"/>
        <v>2.1759259259259258E-4</v>
      </c>
      <c r="F1810">
        <f t="shared" si="113"/>
        <v>2.1759259259259258E-4</v>
      </c>
      <c r="G1810">
        <f t="shared" si="114"/>
        <v>1</v>
      </c>
      <c r="H1810">
        <f t="shared" si="115"/>
        <v>2.6111111111111109E-3</v>
      </c>
    </row>
    <row r="1811" spans="1:8" x14ac:dyDescent="0.25">
      <c r="A1811">
        <v>1177</v>
      </c>
      <c r="B1811">
        <v>6</v>
      </c>
      <c r="C1811">
        <v>0.15664805555555561</v>
      </c>
      <c r="D1811">
        <v>0.15664805555555561</v>
      </c>
      <c r="E1811">
        <f t="shared" si="112"/>
        <v>6.5270023148148164E-4</v>
      </c>
      <c r="F1811">
        <f t="shared" si="113"/>
        <v>6.5270023148148164E-4</v>
      </c>
      <c r="G1811">
        <f t="shared" si="114"/>
        <v>1</v>
      </c>
      <c r="H1811">
        <f t="shared" si="115"/>
        <v>7.8324027777777801E-3</v>
      </c>
    </row>
    <row r="1812" spans="1:8" x14ac:dyDescent="0.25">
      <c r="A1812">
        <v>1177</v>
      </c>
      <c r="B1812">
        <v>8</v>
      </c>
      <c r="C1812">
        <v>0</v>
      </c>
      <c r="D1812">
        <v>0</v>
      </c>
      <c r="E1812">
        <f t="shared" si="112"/>
        <v>0</v>
      </c>
      <c r="F1812">
        <f t="shared" si="113"/>
        <v>0</v>
      </c>
      <c r="G1812">
        <f t="shared" si="114"/>
        <v>0</v>
      </c>
      <c r="H1812">
        <f t="shared" si="115"/>
        <v>0</v>
      </c>
    </row>
    <row r="1813" spans="1:8" x14ac:dyDescent="0.25">
      <c r="A1813">
        <v>1178</v>
      </c>
      <c r="B1813">
        <v>1</v>
      </c>
      <c r="C1813">
        <v>7.4999999999999997E-2</v>
      </c>
      <c r="D1813">
        <v>7.4999999999999997E-2</v>
      </c>
      <c r="E1813">
        <f t="shared" si="112"/>
        <v>3.1250000000000001E-4</v>
      </c>
      <c r="F1813">
        <f t="shared" si="113"/>
        <v>3.1250000000000001E-4</v>
      </c>
      <c r="G1813">
        <f t="shared" si="114"/>
        <v>1</v>
      </c>
      <c r="H1813">
        <f t="shared" si="115"/>
        <v>3.7499999999999999E-3</v>
      </c>
    </row>
    <row r="1814" spans="1:8" x14ac:dyDescent="0.25">
      <c r="A1814">
        <v>1178</v>
      </c>
      <c r="B1814">
        <v>8</v>
      </c>
      <c r="C1814">
        <v>0.15</v>
      </c>
      <c r="D1814">
        <v>0.15</v>
      </c>
      <c r="E1814">
        <f t="shared" si="112"/>
        <v>6.2500000000000001E-4</v>
      </c>
      <c r="F1814">
        <f t="shared" si="113"/>
        <v>6.2500000000000001E-4</v>
      </c>
      <c r="G1814">
        <f t="shared" si="114"/>
        <v>1</v>
      </c>
      <c r="H1814">
        <f t="shared" si="115"/>
        <v>7.4999999999999997E-3</v>
      </c>
    </row>
    <row r="1815" spans="1:8" x14ac:dyDescent="0.25">
      <c r="A1815">
        <v>1179</v>
      </c>
      <c r="B1815">
        <v>1</v>
      </c>
      <c r="C1815">
        <v>2.4166666666666666E-2</v>
      </c>
      <c r="D1815">
        <v>2.3055555555555555E-2</v>
      </c>
      <c r="E1815">
        <f t="shared" si="112"/>
        <v>1.0069444444444445E-4</v>
      </c>
      <c r="F1815">
        <f t="shared" si="113"/>
        <v>9.6064814814814816E-5</v>
      </c>
      <c r="G1815">
        <f t="shared" si="114"/>
        <v>1</v>
      </c>
      <c r="H1815">
        <f t="shared" si="115"/>
        <v>1.2083333333333334E-3</v>
      </c>
    </row>
    <row r="1816" spans="1:8" x14ac:dyDescent="0.25">
      <c r="A1816">
        <v>1179</v>
      </c>
      <c r="B1816">
        <v>4</v>
      </c>
      <c r="C1816">
        <v>3.5740833333333333E-2</v>
      </c>
      <c r="D1816">
        <v>3.5740833333333333E-2</v>
      </c>
      <c r="E1816">
        <f t="shared" si="112"/>
        <v>1.4892013888888889E-4</v>
      </c>
      <c r="F1816">
        <f t="shared" si="113"/>
        <v>1.4892013888888889E-4</v>
      </c>
      <c r="G1816">
        <f t="shared" si="114"/>
        <v>1</v>
      </c>
      <c r="H1816">
        <f t="shared" si="115"/>
        <v>1.7870416666666668E-3</v>
      </c>
    </row>
    <row r="1817" spans="1:8" x14ac:dyDescent="0.25">
      <c r="A1817">
        <v>1179</v>
      </c>
      <c r="B1817">
        <v>7</v>
      </c>
      <c r="C1817">
        <v>1.881194444444444E-2</v>
      </c>
      <c r="D1817">
        <v>1.881194444444444E-2</v>
      </c>
      <c r="E1817">
        <f t="shared" si="112"/>
        <v>7.8383101851851834E-5</v>
      </c>
      <c r="F1817">
        <f t="shared" si="113"/>
        <v>7.8383101851851834E-5</v>
      </c>
      <c r="G1817">
        <f t="shared" si="114"/>
        <v>1</v>
      </c>
      <c r="H1817">
        <f t="shared" si="115"/>
        <v>9.4059722222222201E-4</v>
      </c>
    </row>
    <row r="1818" spans="1:8" x14ac:dyDescent="0.25">
      <c r="A1818">
        <v>1179</v>
      </c>
      <c r="B1818">
        <v>11</v>
      </c>
      <c r="C1818">
        <v>4.0777500000000001E-2</v>
      </c>
      <c r="D1818">
        <v>3.5270277777777782E-2</v>
      </c>
      <c r="E1818">
        <f t="shared" si="112"/>
        <v>1.6990625E-4</v>
      </c>
      <c r="F1818">
        <f t="shared" si="113"/>
        <v>1.4695949074074077E-4</v>
      </c>
      <c r="G1818">
        <f t="shared" si="114"/>
        <v>1</v>
      </c>
      <c r="H1818">
        <f t="shared" si="115"/>
        <v>2.0388749999999999E-3</v>
      </c>
    </row>
    <row r="1819" spans="1:8" x14ac:dyDescent="0.25">
      <c r="A1819">
        <v>1179</v>
      </c>
      <c r="B1819">
        <v>12</v>
      </c>
      <c r="C1819">
        <v>2.4516666666666669E-2</v>
      </c>
      <c r="D1819">
        <v>2.4516666666666669E-2</v>
      </c>
      <c r="E1819">
        <f t="shared" si="112"/>
        <v>1.0215277777777779E-4</v>
      </c>
      <c r="F1819">
        <f t="shared" si="113"/>
        <v>1.0215277777777779E-4</v>
      </c>
      <c r="G1819">
        <f t="shared" si="114"/>
        <v>1</v>
      </c>
      <c r="H1819">
        <f t="shared" si="115"/>
        <v>1.2258333333333335E-3</v>
      </c>
    </row>
    <row r="1820" spans="1:8" x14ac:dyDescent="0.25">
      <c r="A1820">
        <v>1180</v>
      </c>
      <c r="B1820">
        <v>1</v>
      </c>
      <c r="C1820">
        <v>3.5277777777777776E-2</v>
      </c>
      <c r="D1820">
        <v>3.5277777777777776E-2</v>
      </c>
      <c r="E1820">
        <f t="shared" si="112"/>
        <v>1.4699074074074075E-4</v>
      </c>
      <c r="F1820">
        <f t="shared" si="113"/>
        <v>1.4699074074074075E-4</v>
      </c>
      <c r="G1820">
        <f t="shared" si="114"/>
        <v>1</v>
      </c>
      <c r="H1820">
        <f t="shared" si="115"/>
        <v>1.7638888888888891E-3</v>
      </c>
    </row>
    <row r="1821" spans="1:8" x14ac:dyDescent="0.25">
      <c r="A1821">
        <v>1180</v>
      </c>
      <c r="B1821">
        <v>3</v>
      </c>
      <c r="C1821">
        <v>3.3333333333333333E-2</v>
      </c>
      <c r="D1821">
        <v>3.3333333333333333E-2</v>
      </c>
      <c r="E1821">
        <f t="shared" si="112"/>
        <v>1.3888888888888889E-4</v>
      </c>
      <c r="F1821">
        <f t="shared" si="113"/>
        <v>1.3888888888888889E-4</v>
      </c>
      <c r="G1821">
        <f t="shared" si="114"/>
        <v>1</v>
      </c>
      <c r="H1821">
        <f t="shared" si="115"/>
        <v>1.6666666666666666E-3</v>
      </c>
    </row>
    <row r="1822" spans="1:8" x14ac:dyDescent="0.25">
      <c r="A1822">
        <v>1180</v>
      </c>
      <c r="B1822">
        <v>12</v>
      </c>
      <c r="C1822">
        <v>7.2498055555555552E-2</v>
      </c>
      <c r="D1822">
        <v>7.2498055555555552E-2</v>
      </c>
      <c r="E1822">
        <f t="shared" si="112"/>
        <v>3.0207523148148145E-4</v>
      </c>
      <c r="F1822">
        <f t="shared" si="113"/>
        <v>3.0207523148148145E-4</v>
      </c>
      <c r="G1822">
        <f t="shared" si="114"/>
        <v>1</v>
      </c>
      <c r="H1822">
        <f t="shared" si="115"/>
        <v>3.6249027777777772E-3</v>
      </c>
    </row>
    <row r="1823" spans="1:8" x14ac:dyDescent="0.25">
      <c r="A1823">
        <v>1181</v>
      </c>
      <c r="B1823">
        <v>1</v>
      </c>
      <c r="C1823">
        <v>2.6388888888888889E-2</v>
      </c>
      <c r="D1823">
        <v>2.1666666666666667E-2</v>
      </c>
      <c r="E1823">
        <f t="shared" si="112"/>
        <v>1.099537037037037E-4</v>
      </c>
      <c r="F1823">
        <f t="shared" si="113"/>
        <v>9.0277777777777774E-5</v>
      </c>
      <c r="G1823">
        <f t="shared" si="114"/>
        <v>1</v>
      </c>
      <c r="H1823">
        <f t="shared" si="115"/>
        <v>1.3194444444444445E-3</v>
      </c>
    </row>
    <row r="1824" spans="1:8" x14ac:dyDescent="0.25">
      <c r="A1824">
        <v>1181</v>
      </c>
      <c r="B1824">
        <v>5</v>
      </c>
      <c r="C1824">
        <v>1.5508333333333331E-2</v>
      </c>
      <c r="D1824">
        <v>1.478E-2</v>
      </c>
      <c r="E1824">
        <f t="shared" si="112"/>
        <v>6.4618055555555541E-5</v>
      </c>
      <c r="F1824">
        <f t="shared" si="113"/>
        <v>6.158333333333333E-5</v>
      </c>
      <c r="G1824">
        <f t="shared" si="114"/>
        <v>1</v>
      </c>
      <c r="H1824">
        <f t="shared" si="115"/>
        <v>7.7541666666666644E-4</v>
      </c>
    </row>
    <row r="1825" spans="1:8" x14ac:dyDescent="0.25">
      <c r="A1825">
        <v>1181</v>
      </c>
      <c r="B1825">
        <v>9</v>
      </c>
      <c r="C1825">
        <v>5.9221388888888893E-2</v>
      </c>
      <c r="D1825">
        <v>4.0824583333333331E-2</v>
      </c>
      <c r="E1825">
        <f t="shared" si="112"/>
        <v>2.4675578703703703E-4</v>
      </c>
      <c r="F1825">
        <f t="shared" si="113"/>
        <v>1.7010243055555553E-4</v>
      </c>
      <c r="G1825">
        <f t="shared" si="114"/>
        <v>1</v>
      </c>
      <c r="H1825">
        <f t="shared" si="115"/>
        <v>2.9610694444444441E-3</v>
      </c>
    </row>
    <row r="1826" spans="1:8" x14ac:dyDescent="0.25">
      <c r="A1826">
        <v>1181</v>
      </c>
      <c r="B1826">
        <v>11</v>
      </c>
      <c r="C1826">
        <v>3.030194444444444E-2</v>
      </c>
      <c r="D1826">
        <v>3.030194444444444E-2</v>
      </c>
      <c r="E1826">
        <f t="shared" si="112"/>
        <v>1.2625810185185182E-4</v>
      </c>
      <c r="F1826">
        <f t="shared" si="113"/>
        <v>1.2625810185185182E-4</v>
      </c>
      <c r="G1826">
        <f t="shared" si="114"/>
        <v>1</v>
      </c>
      <c r="H1826">
        <f t="shared" si="115"/>
        <v>1.5150972222222219E-3</v>
      </c>
    </row>
    <row r="1827" spans="1:8" x14ac:dyDescent="0.25">
      <c r="A1827">
        <v>1182</v>
      </c>
      <c r="B1827">
        <v>1</v>
      </c>
      <c r="C1827">
        <v>3.3333333333333333E-2</v>
      </c>
      <c r="D1827">
        <v>3.3333333333333333E-2</v>
      </c>
      <c r="E1827">
        <f t="shared" si="112"/>
        <v>1.3888888888888889E-4</v>
      </c>
      <c r="F1827">
        <f t="shared" si="113"/>
        <v>1.3888888888888889E-4</v>
      </c>
      <c r="G1827">
        <f t="shared" si="114"/>
        <v>1</v>
      </c>
      <c r="H1827">
        <f t="shared" si="115"/>
        <v>1.6666666666666666E-3</v>
      </c>
    </row>
    <row r="1828" spans="1:8" x14ac:dyDescent="0.25">
      <c r="A1828">
        <v>1182</v>
      </c>
      <c r="B1828">
        <v>4</v>
      </c>
      <c r="C1828">
        <v>6.6666666666666666E-2</v>
      </c>
      <c r="D1828">
        <v>6.6666666666666666E-2</v>
      </c>
      <c r="E1828">
        <f t="shared" si="112"/>
        <v>2.7777777777777778E-4</v>
      </c>
      <c r="F1828">
        <f t="shared" si="113"/>
        <v>2.7777777777777778E-4</v>
      </c>
      <c r="G1828">
        <f t="shared" si="114"/>
        <v>1</v>
      </c>
      <c r="H1828">
        <f t="shared" si="115"/>
        <v>3.3333333333333331E-3</v>
      </c>
    </row>
    <row r="1829" spans="1:8" x14ac:dyDescent="0.25">
      <c r="A1829">
        <v>1183</v>
      </c>
      <c r="B1829">
        <v>1</v>
      </c>
      <c r="C1829">
        <v>2.8055555555555556E-2</v>
      </c>
      <c r="D1829">
        <v>2.8055555555555556E-2</v>
      </c>
      <c r="E1829">
        <f t="shared" si="112"/>
        <v>1.1689814814814815E-4</v>
      </c>
      <c r="F1829">
        <f t="shared" si="113"/>
        <v>1.1689814814814815E-4</v>
      </c>
      <c r="G1829">
        <f t="shared" si="114"/>
        <v>1</v>
      </c>
      <c r="H1829">
        <f t="shared" si="115"/>
        <v>1.4027777777777777E-3</v>
      </c>
    </row>
    <row r="1830" spans="1:8" x14ac:dyDescent="0.25">
      <c r="A1830">
        <v>1183</v>
      </c>
      <c r="B1830">
        <v>11</v>
      </c>
      <c r="C1830">
        <v>5.6081388888888889E-2</v>
      </c>
      <c r="D1830">
        <v>5.6081388888888889E-2</v>
      </c>
      <c r="E1830">
        <f t="shared" si="112"/>
        <v>2.3367245370370371E-4</v>
      </c>
      <c r="F1830">
        <f t="shared" si="113"/>
        <v>2.3367245370370371E-4</v>
      </c>
      <c r="G1830">
        <f t="shared" si="114"/>
        <v>1</v>
      </c>
      <c r="H1830">
        <f t="shared" si="115"/>
        <v>2.8040694444444445E-3</v>
      </c>
    </row>
    <row r="1831" spans="1:8" x14ac:dyDescent="0.25">
      <c r="A1831">
        <v>1184</v>
      </c>
      <c r="B1831">
        <v>1</v>
      </c>
      <c r="C1831">
        <v>1.8611111111111113E-2</v>
      </c>
      <c r="D1831">
        <v>1.8611111111111113E-2</v>
      </c>
      <c r="E1831">
        <f t="shared" si="112"/>
        <v>7.7546296296296301E-5</v>
      </c>
      <c r="F1831">
        <f t="shared" si="113"/>
        <v>7.7546296296296301E-5</v>
      </c>
      <c r="G1831">
        <f t="shared" si="114"/>
        <v>1</v>
      </c>
      <c r="H1831">
        <f t="shared" si="115"/>
        <v>9.3055555555555556E-4</v>
      </c>
    </row>
    <row r="1832" spans="1:8" x14ac:dyDescent="0.25">
      <c r="A1832">
        <v>1184</v>
      </c>
      <c r="B1832">
        <v>7</v>
      </c>
      <c r="C1832">
        <v>3.8904722222222222E-2</v>
      </c>
      <c r="D1832">
        <v>3.8904722222222222E-2</v>
      </c>
      <c r="E1832">
        <f t="shared" si="112"/>
        <v>1.6210300925925927E-4</v>
      </c>
      <c r="F1832">
        <f t="shared" si="113"/>
        <v>1.6210300925925927E-4</v>
      </c>
      <c r="G1832">
        <f t="shared" si="114"/>
        <v>1</v>
      </c>
      <c r="H1832">
        <f t="shared" si="115"/>
        <v>1.9452361111111111E-3</v>
      </c>
    </row>
    <row r="1833" spans="1:8" x14ac:dyDescent="0.25">
      <c r="A1833">
        <v>1184</v>
      </c>
      <c r="B1833">
        <v>8</v>
      </c>
      <c r="C1833">
        <v>1.666666666666667E-2</v>
      </c>
      <c r="D1833">
        <v>1.666666666666667E-2</v>
      </c>
      <c r="E1833">
        <f t="shared" si="112"/>
        <v>6.9444444444444458E-5</v>
      </c>
      <c r="F1833">
        <f t="shared" si="113"/>
        <v>6.9444444444444458E-5</v>
      </c>
      <c r="G1833">
        <f t="shared" si="114"/>
        <v>1</v>
      </c>
      <c r="H1833">
        <f t="shared" si="115"/>
        <v>8.333333333333335E-4</v>
      </c>
    </row>
    <row r="1834" spans="1:8" x14ac:dyDescent="0.25">
      <c r="A1834">
        <v>1185</v>
      </c>
      <c r="B1834">
        <v>1</v>
      </c>
      <c r="C1834">
        <v>5.8333333333333327E-3</v>
      </c>
      <c r="D1834">
        <v>4.4444444444444444E-3</v>
      </c>
      <c r="E1834">
        <f t="shared" si="112"/>
        <v>2.4305555555555554E-5</v>
      </c>
      <c r="F1834">
        <f t="shared" si="113"/>
        <v>1.8518518518518518E-5</v>
      </c>
      <c r="G1834">
        <f t="shared" si="114"/>
        <v>1</v>
      </c>
      <c r="H1834">
        <f t="shared" si="115"/>
        <v>2.9166666666666664E-4</v>
      </c>
    </row>
    <row r="1835" spans="1:8" x14ac:dyDescent="0.25">
      <c r="A1835">
        <v>1185</v>
      </c>
      <c r="B1835">
        <v>2</v>
      </c>
      <c r="C1835">
        <v>8.1472222222222221E-4</v>
      </c>
      <c r="D1835">
        <v>8.1472222222222221E-4</v>
      </c>
      <c r="E1835">
        <f t="shared" si="112"/>
        <v>3.3946759259259261E-6</v>
      </c>
      <c r="F1835">
        <f t="shared" si="113"/>
        <v>3.3946759259259261E-6</v>
      </c>
      <c r="G1835">
        <f t="shared" si="114"/>
        <v>1</v>
      </c>
      <c r="H1835">
        <f t="shared" si="115"/>
        <v>4.0736111111111113E-5</v>
      </c>
    </row>
    <row r="1836" spans="1:8" x14ac:dyDescent="0.25">
      <c r="A1836">
        <v>1185</v>
      </c>
      <c r="B1836">
        <v>3</v>
      </c>
      <c r="C1836">
        <v>0</v>
      </c>
      <c r="D1836">
        <v>0</v>
      </c>
      <c r="E1836">
        <f t="shared" si="112"/>
        <v>0</v>
      </c>
      <c r="F1836">
        <f t="shared" si="113"/>
        <v>0</v>
      </c>
      <c r="G1836">
        <f t="shared" si="114"/>
        <v>0</v>
      </c>
      <c r="H1836">
        <f t="shared" si="115"/>
        <v>0</v>
      </c>
    </row>
    <row r="1837" spans="1:8" x14ac:dyDescent="0.25">
      <c r="A1837">
        <v>1185</v>
      </c>
      <c r="B1837">
        <v>6</v>
      </c>
      <c r="C1837">
        <v>1.666666666666667E-2</v>
      </c>
      <c r="D1837">
        <v>8.3333333333333332E-3</v>
      </c>
      <c r="E1837">
        <f t="shared" si="112"/>
        <v>6.9444444444444458E-5</v>
      </c>
      <c r="F1837">
        <f t="shared" si="113"/>
        <v>3.4722222222222222E-5</v>
      </c>
      <c r="G1837">
        <f t="shared" si="114"/>
        <v>1</v>
      </c>
      <c r="H1837">
        <f t="shared" si="115"/>
        <v>8.333333333333335E-4</v>
      </c>
    </row>
    <row r="1838" spans="1:8" x14ac:dyDescent="0.25">
      <c r="A1838">
        <v>1185</v>
      </c>
      <c r="B1838">
        <v>8</v>
      </c>
      <c r="C1838">
        <v>0</v>
      </c>
      <c r="D1838">
        <v>0</v>
      </c>
      <c r="E1838">
        <f t="shared" si="112"/>
        <v>0</v>
      </c>
      <c r="F1838">
        <f t="shared" si="113"/>
        <v>0</v>
      </c>
      <c r="G1838">
        <f t="shared" si="114"/>
        <v>0</v>
      </c>
      <c r="H1838">
        <f t="shared" si="115"/>
        <v>0</v>
      </c>
    </row>
    <row r="1839" spans="1:8" x14ac:dyDescent="0.25">
      <c r="A1839">
        <v>1185</v>
      </c>
      <c r="B1839">
        <v>12</v>
      </c>
      <c r="C1839">
        <v>1.666666666666667E-2</v>
      </c>
      <c r="D1839">
        <v>1.666666666666667E-2</v>
      </c>
      <c r="E1839">
        <f t="shared" si="112"/>
        <v>6.9444444444444458E-5</v>
      </c>
      <c r="F1839">
        <f t="shared" si="113"/>
        <v>6.9444444444444458E-5</v>
      </c>
      <c r="G1839">
        <f t="shared" si="114"/>
        <v>1</v>
      </c>
      <c r="H1839">
        <f t="shared" si="115"/>
        <v>8.333333333333335E-4</v>
      </c>
    </row>
    <row r="1840" spans="1:8" x14ac:dyDescent="0.25">
      <c r="A1840">
        <v>1186</v>
      </c>
      <c r="B1840">
        <v>1</v>
      </c>
      <c r="C1840">
        <v>1.111111111111111E-2</v>
      </c>
      <c r="D1840">
        <v>8.3333333333333332E-3</v>
      </c>
      <c r="E1840">
        <f t="shared" si="112"/>
        <v>4.6296296296296287E-5</v>
      </c>
      <c r="F1840">
        <f t="shared" si="113"/>
        <v>3.4722222222222222E-5</v>
      </c>
      <c r="G1840">
        <f t="shared" si="114"/>
        <v>1</v>
      </c>
      <c r="H1840">
        <f t="shared" si="115"/>
        <v>5.5555555555555545E-4</v>
      </c>
    </row>
    <row r="1841" spans="1:8" x14ac:dyDescent="0.25">
      <c r="A1841">
        <v>1186</v>
      </c>
      <c r="B1841">
        <v>8</v>
      </c>
      <c r="C1841">
        <v>1.666666666666667E-2</v>
      </c>
      <c r="D1841">
        <v>8.3333333333333332E-3</v>
      </c>
      <c r="E1841">
        <f t="shared" si="112"/>
        <v>6.9444444444444458E-5</v>
      </c>
      <c r="F1841">
        <f t="shared" si="113"/>
        <v>3.4722222222222222E-5</v>
      </c>
      <c r="G1841">
        <f t="shared" si="114"/>
        <v>1</v>
      </c>
      <c r="H1841">
        <f t="shared" si="115"/>
        <v>8.333333333333335E-4</v>
      </c>
    </row>
    <row r="1842" spans="1:8" x14ac:dyDescent="0.25">
      <c r="A1842">
        <v>1186</v>
      </c>
      <c r="B1842">
        <v>10</v>
      </c>
      <c r="C1842">
        <v>1.666666666666667E-2</v>
      </c>
      <c r="D1842">
        <v>1.666666666666667E-2</v>
      </c>
      <c r="E1842">
        <f t="shared" si="112"/>
        <v>6.9444444444444458E-5</v>
      </c>
      <c r="F1842">
        <f t="shared" si="113"/>
        <v>6.9444444444444458E-5</v>
      </c>
      <c r="G1842">
        <f t="shared" si="114"/>
        <v>1</v>
      </c>
      <c r="H1842">
        <f t="shared" si="115"/>
        <v>8.333333333333335E-4</v>
      </c>
    </row>
    <row r="1843" spans="1:8" x14ac:dyDescent="0.25">
      <c r="A1843">
        <v>1187</v>
      </c>
      <c r="B1843">
        <v>1</v>
      </c>
      <c r="C1843">
        <v>1.6666666666666666E-2</v>
      </c>
      <c r="D1843">
        <v>1.6666666666666666E-2</v>
      </c>
      <c r="E1843">
        <f t="shared" si="112"/>
        <v>6.9444444444444444E-5</v>
      </c>
      <c r="F1843">
        <f t="shared" si="113"/>
        <v>6.9444444444444444E-5</v>
      </c>
      <c r="G1843">
        <f t="shared" si="114"/>
        <v>1</v>
      </c>
      <c r="H1843">
        <f t="shared" si="115"/>
        <v>8.3333333333333328E-4</v>
      </c>
    </row>
    <row r="1844" spans="1:8" x14ac:dyDescent="0.25">
      <c r="A1844">
        <v>1187</v>
      </c>
      <c r="B1844">
        <v>2</v>
      </c>
      <c r="C1844">
        <v>3.3333333333333333E-2</v>
      </c>
      <c r="D1844">
        <v>3.3333333333333333E-2</v>
      </c>
      <c r="E1844">
        <f t="shared" si="112"/>
        <v>1.3888888888888889E-4</v>
      </c>
      <c r="F1844">
        <f t="shared" si="113"/>
        <v>1.3888888888888889E-4</v>
      </c>
      <c r="G1844">
        <f t="shared" si="114"/>
        <v>1</v>
      </c>
      <c r="H1844">
        <f t="shared" si="115"/>
        <v>1.6666666666666666E-3</v>
      </c>
    </row>
    <row r="1845" spans="1:8" x14ac:dyDescent="0.25">
      <c r="A1845">
        <v>1188</v>
      </c>
      <c r="B1845">
        <v>1</v>
      </c>
      <c r="C1845">
        <v>5.8333333333333327E-3</v>
      </c>
      <c r="D1845">
        <v>5.8333333333333327E-3</v>
      </c>
      <c r="E1845">
        <f t="shared" si="112"/>
        <v>2.4305555555555554E-5</v>
      </c>
      <c r="F1845">
        <f t="shared" si="113"/>
        <v>2.4305555555555554E-5</v>
      </c>
      <c r="G1845">
        <f t="shared" si="114"/>
        <v>1</v>
      </c>
      <c r="H1845">
        <f t="shared" si="115"/>
        <v>2.9166666666666664E-4</v>
      </c>
    </row>
    <row r="1846" spans="1:8" x14ac:dyDescent="0.25">
      <c r="A1846">
        <v>1188</v>
      </c>
      <c r="B1846">
        <v>2</v>
      </c>
      <c r="C1846">
        <v>6.3277777777777777E-3</v>
      </c>
      <c r="D1846">
        <v>6.3277777777777777E-3</v>
      </c>
      <c r="E1846">
        <f t="shared" si="112"/>
        <v>2.6365740740740741E-5</v>
      </c>
      <c r="F1846">
        <f t="shared" si="113"/>
        <v>2.6365740740740741E-5</v>
      </c>
      <c r="G1846">
        <f t="shared" si="114"/>
        <v>1</v>
      </c>
      <c r="H1846">
        <f t="shared" si="115"/>
        <v>3.1638888888888889E-4</v>
      </c>
    </row>
    <row r="1847" spans="1:8" x14ac:dyDescent="0.25">
      <c r="A1847">
        <v>1188</v>
      </c>
      <c r="B1847">
        <v>4</v>
      </c>
      <c r="C1847">
        <v>1.104083333333333E-2</v>
      </c>
      <c r="D1847">
        <v>1.104083333333333E-2</v>
      </c>
      <c r="E1847">
        <f t="shared" si="112"/>
        <v>4.6003472222222208E-5</v>
      </c>
      <c r="F1847">
        <f t="shared" si="113"/>
        <v>4.6003472222222208E-5</v>
      </c>
      <c r="G1847">
        <f t="shared" si="114"/>
        <v>1</v>
      </c>
      <c r="H1847">
        <f t="shared" si="115"/>
        <v>5.520416666666665E-4</v>
      </c>
    </row>
    <row r="1848" spans="1:8" x14ac:dyDescent="0.25">
      <c r="A1848">
        <v>1189</v>
      </c>
      <c r="B1848">
        <v>1</v>
      </c>
      <c r="C1848">
        <v>8.3333333333333332E-3</v>
      </c>
      <c r="D1848">
        <v>8.3333333333333332E-3</v>
      </c>
      <c r="E1848">
        <f t="shared" si="112"/>
        <v>3.4722222222222222E-5</v>
      </c>
      <c r="F1848">
        <f t="shared" si="113"/>
        <v>3.4722222222222222E-5</v>
      </c>
      <c r="G1848">
        <f t="shared" si="114"/>
        <v>1</v>
      </c>
      <c r="H1848">
        <f t="shared" si="115"/>
        <v>4.1666666666666664E-4</v>
      </c>
    </row>
    <row r="1849" spans="1:8" x14ac:dyDescent="0.25">
      <c r="A1849">
        <v>1189</v>
      </c>
      <c r="B1849">
        <v>10</v>
      </c>
      <c r="C1849">
        <v>1.666666666666667E-2</v>
      </c>
      <c r="D1849">
        <v>1.666666666666667E-2</v>
      </c>
      <c r="E1849">
        <f t="shared" si="112"/>
        <v>6.9444444444444458E-5</v>
      </c>
      <c r="F1849">
        <f t="shared" si="113"/>
        <v>6.9444444444444458E-5</v>
      </c>
      <c r="G1849">
        <f t="shared" si="114"/>
        <v>1</v>
      </c>
      <c r="H1849">
        <f t="shared" si="115"/>
        <v>8.333333333333335E-4</v>
      </c>
    </row>
  </sheetData>
  <sortState xmlns:xlrd2="http://schemas.microsoft.com/office/spreadsheetml/2017/richdata2" ref="A2:H1849">
    <sortCondition ref="A2:A1849"/>
    <sortCondition ref="B2:B1849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3D3D-7BAA-4E84-B07A-C2F322202BA0}">
  <dimension ref="A1:F159"/>
  <sheetViews>
    <sheetView workbookViewId="0">
      <selection activeCell="E48" sqref="E48"/>
    </sheetView>
  </sheetViews>
  <sheetFormatPr baseColWidth="10" defaultRowHeight="15" x14ac:dyDescent="0.25"/>
  <cols>
    <col min="1" max="1" width="23.85546875" customWidth="1"/>
  </cols>
  <sheetData>
    <row r="1" spans="1:6" x14ac:dyDescent="0.25">
      <c r="A1" s="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>
        <v>1000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25">
      <c r="A3">
        <v>1001</v>
      </c>
      <c r="B3">
        <v>1</v>
      </c>
      <c r="C3">
        <v>1</v>
      </c>
      <c r="D3">
        <v>0</v>
      </c>
      <c r="E3">
        <v>1</v>
      </c>
      <c r="F3">
        <v>0</v>
      </c>
    </row>
    <row r="4" spans="1:6" x14ac:dyDescent="0.25">
      <c r="A4">
        <v>1002</v>
      </c>
      <c r="B4">
        <v>1</v>
      </c>
      <c r="C4">
        <v>1</v>
      </c>
      <c r="D4">
        <v>0</v>
      </c>
      <c r="E4">
        <v>0</v>
      </c>
      <c r="F4">
        <v>1</v>
      </c>
    </row>
    <row r="5" spans="1:6" x14ac:dyDescent="0.25">
      <c r="A5">
        <v>1003</v>
      </c>
      <c r="B5">
        <v>1</v>
      </c>
      <c r="C5">
        <v>1</v>
      </c>
      <c r="D5">
        <v>1</v>
      </c>
      <c r="E5">
        <v>0</v>
      </c>
      <c r="F5">
        <v>0</v>
      </c>
    </row>
    <row r="6" spans="1:6" x14ac:dyDescent="0.25">
      <c r="A6">
        <v>1004</v>
      </c>
      <c r="B6">
        <v>1</v>
      </c>
      <c r="C6">
        <v>1</v>
      </c>
      <c r="D6">
        <v>0</v>
      </c>
      <c r="E6">
        <v>1</v>
      </c>
      <c r="F6">
        <v>0</v>
      </c>
    </row>
    <row r="7" spans="1:6" x14ac:dyDescent="0.25">
      <c r="A7">
        <v>1005</v>
      </c>
      <c r="B7">
        <v>1</v>
      </c>
      <c r="C7">
        <v>1</v>
      </c>
      <c r="D7">
        <v>0</v>
      </c>
      <c r="E7">
        <v>0</v>
      </c>
      <c r="F7">
        <v>1</v>
      </c>
    </row>
    <row r="8" spans="1:6" x14ac:dyDescent="0.25">
      <c r="A8">
        <v>1006</v>
      </c>
      <c r="B8">
        <v>1</v>
      </c>
      <c r="C8">
        <v>1</v>
      </c>
      <c r="D8">
        <v>1</v>
      </c>
      <c r="E8">
        <v>0</v>
      </c>
      <c r="F8">
        <v>0</v>
      </c>
    </row>
    <row r="9" spans="1:6" x14ac:dyDescent="0.25">
      <c r="A9">
        <v>1007</v>
      </c>
      <c r="B9">
        <v>1</v>
      </c>
      <c r="C9">
        <v>1</v>
      </c>
      <c r="D9">
        <v>0</v>
      </c>
      <c r="E9">
        <v>1</v>
      </c>
      <c r="F9">
        <v>0</v>
      </c>
    </row>
    <row r="10" spans="1:6" x14ac:dyDescent="0.25">
      <c r="A10">
        <v>1008</v>
      </c>
      <c r="B10">
        <v>1</v>
      </c>
      <c r="C10">
        <v>1</v>
      </c>
      <c r="D10">
        <v>0</v>
      </c>
      <c r="E10">
        <v>0</v>
      </c>
      <c r="F10">
        <v>1</v>
      </c>
    </row>
    <row r="11" spans="1:6" x14ac:dyDescent="0.25">
      <c r="A11">
        <v>1009</v>
      </c>
      <c r="B11">
        <v>1</v>
      </c>
      <c r="C11">
        <v>1</v>
      </c>
      <c r="D11">
        <v>1</v>
      </c>
      <c r="E11">
        <v>0</v>
      </c>
      <c r="F11">
        <v>0</v>
      </c>
    </row>
    <row r="12" spans="1:6" x14ac:dyDescent="0.25">
      <c r="A12">
        <v>1010</v>
      </c>
      <c r="B12">
        <v>1</v>
      </c>
      <c r="C12">
        <v>1</v>
      </c>
      <c r="D12">
        <v>0</v>
      </c>
      <c r="E12">
        <v>1</v>
      </c>
      <c r="F12">
        <v>0</v>
      </c>
    </row>
    <row r="13" spans="1:6" x14ac:dyDescent="0.25">
      <c r="A13">
        <v>1011</v>
      </c>
      <c r="B13">
        <v>1</v>
      </c>
      <c r="C13">
        <v>1</v>
      </c>
      <c r="D13">
        <v>0</v>
      </c>
      <c r="E13">
        <v>0</v>
      </c>
      <c r="F13">
        <v>1</v>
      </c>
    </row>
    <row r="14" spans="1:6" x14ac:dyDescent="0.25">
      <c r="A14">
        <v>1012</v>
      </c>
      <c r="B14">
        <v>1</v>
      </c>
      <c r="C14">
        <v>1</v>
      </c>
      <c r="D14">
        <v>1</v>
      </c>
      <c r="E14">
        <v>0</v>
      </c>
      <c r="F14">
        <v>0</v>
      </c>
    </row>
    <row r="15" spans="1:6" x14ac:dyDescent="0.25">
      <c r="A15">
        <v>1013</v>
      </c>
      <c r="B15">
        <v>1</v>
      </c>
      <c r="C15">
        <v>1</v>
      </c>
      <c r="D15">
        <v>0</v>
      </c>
      <c r="E15">
        <v>1</v>
      </c>
      <c r="F15">
        <v>0</v>
      </c>
    </row>
    <row r="16" spans="1:6" x14ac:dyDescent="0.25">
      <c r="A16">
        <v>1014</v>
      </c>
      <c r="B16">
        <v>1</v>
      </c>
      <c r="C16">
        <v>1</v>
      </c>
      <c r="D16">
        <v>0</v>
      </c>
      <c r="E16">
        <v>0</v>
      </c>
      <c r="F16">
        <v>1</v>
      </c>
    </row>
    <row r="17" spans="1:6" x14ac:dyDescent="0.25">
      <c r="A17">
        <v>1016</v>
      </c>
      <c r="B17">
        <v>1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1017</v>
      </c>
      <c r="B18">
        <v>1</v>
      </c>
      <c r="C18">
        <v>1</v>
      </c>
      <c r="D18">
        <v>0</v>
      </c>
      <c r="E18">
        <v>1</v>
      </c>
      <c r="F18">
        <v>0</v>
      </c>
    </row>
    <row r="19" spans="1:6" x14ac:dyDescent="0.25">
      <c r="A19">
        <v>1018</v>
      </c>
      <c r="B19">
        <v>1</v>
      </c>
      <c r="C19">
        <v>1</v>
      </c>
      <c r="D19">
        <v>0</v>
      </c>
      <c r="E19">
        <v>0</v>
      </c>
      <c r="F19">
        <v>1</v>
      </c>
    </row>
    <row r="20" spans="1:6" x14ac:dyDescent="0.25">
      <c r="A20">
        <v>1019</v>
      </c>
      <c r="B20">
        <v>1</v>
      </c>
      <c r="C20">
        <v>1</v>
      </c>
      <c r="D20">
        <v>1</v>
      </c>
      <c r="E20">
        <v>0</v>
      </c>
      <c r="F20">
        <v>0</v>
      </c>
    </row>
    <row r="21" spans="1:6" x14ac:dyDescent="0.25">
      <c r="A21">
        <v>1020</v>
      </c>
      <c r="B21">
        <v>1</v>
      </c>
      <c r="C21">
        <v>1</v>
      </c>
      <c r="D21">
        <v>0</v>
      </c>
      <c r="E21">
        <v>1</v>
      </c>
      <c r="F21">
        <v>0</v>
      </c>
    </row>
    <row r="22" spans="1:6" x14ac:dyDescent="0.25">
      <c r="A22">
        <v>1021</v>
      </c>
      <c r="B22">
        <v>1</v>
      </c>
      <c r="C22">
        <v>1</v>
      </c>
      <c r="D22">
        <v>0</v>
      </c>
      <c r="E22">
        <v>0</v>
      </c>
      <c r="F22">
        <v>1</v>
      </c>
    </row>
    <row r="23" spans="1:6" x14ac:dyDescent="0.25">
      <c r="A23">
        <v>1022</v>
      </c>
      <c r="B23">
        <v>1</v>
      </c>
      <c r="C23">
        <v>1</v>
      </c>
      <c r="D23">
        <v>1</v>
      </c>
      <c r="E23">
        <v>0</v>
      </c>
      <c r="F23">
        <v>0</v>
      </c>
    </row>
    <row r="24" spans="1:6" x14ac:dyDescent="0.25">
      <c r="A24">
        <v>1023</v>
      </c>
      <c r="B24">
        <v>1</v>
      </c>
      <c r="C24">
        <v>1</v>
      </c>
      <c r="D24">
        <v>0</v>
      </c>
      <c r="E24">
        <v>1</v>
      </c>
      <c r="F24">
        <v>0</v>
      </c>
    </row>
    <row r="25" spans="1:6" x14ac:dyDescent="0.25">
      <c r="A25">
        <v>1024</v>
      </c>
      <c r="B25">
        <v>1</v>
      </c>
      <c r="C25">
        <v>1</v>
      </c>
      <c r="D25">
        <v>0</v>
      </c>
      <c r="E25">
        <v>0</v>
      </c>
      <c r="F25">
        <v>1</v>
      </c>
    </row>
    <row r="26" spans="1:6" x14ac:dyDescent="0.25">
      <c r="A26">
        <v>1025</v>
      </c>
      <c r="B26">
        <v>1</v>
      </c>
      <c r="C26">
        <v>1</v>
      </c>
      <c r="D26">
        <v>1</v>
      </c>
      <c r="E26">
        <v>0</v>
      </c>
      <c r="F26">
        <v>0</v>
      </c>
    </row>
    <row r="27" spans="1:6" x14ac:dyDescent="0.25">
      <c r="A27">
        <v>1026</v>
      </c>
      <c r="B27">
        <v>1</v>
      </c>
      <c r="C27">
        <v>1</v>
      </c>
      <c r="D27">
        <v>0</v>
      </c>
      <c r="E27">
        <v>1</v>
      </c>
      <c r="F27">
        <v>0</v>
      </c>
    </row>
    <row r="28" spans="1:6" x14ac:dyDescent="0.25">
      <c r="A28">
        <v>1027</v>
      </c>
      <c r="B28">
        <v>1</v>
      </c>
      <c r="C28">
        <v>1</v>
      </c>
      <c r="D28">
        <v>0</v>
      </c>
      <c r="E28">
        <v>0</v>
      </c>
      <c r="F28">
        <v>1</v>
      </c>
    </row>
    <row r="29" spans="1:6" x14ac:dyDescent="0.25">
      <c r="A29">
        <v>1028</v>
      </c>
      <c r="B29">
        <v>1</v>
      </c>
      <c r="C29">
        <v>1</v>
      </c>
      <c r="D29">
        <v>1</v>
      </c>
      <c r="E29">
        <v>0</v>
      </c>
      <c r="F29">
        <v>0</v>
      </c>
    </row>
    <row r="30" spans="1:6" x14ac:dyDescent="0.25">
      <c r="A30">
        <v>1029</v>
      </c>
      <c r="B30">
        <v>1</v>
      </c>
      <c r="C30">
        <v>1</v>
      </c>
      <c r="D30">
        <v>0</v>
      </c>
      <c r="E30">
        <v>1</v>
      </c>
      <c r="F30">
        <v>0</v>
      </c>
    </row>
    <row r="31" spans="1:6" x14ac:dyDescent="0.25">
      <c r="A31">
        <v>1030</v>
      </c>
      <c r="B31">
        <v>1</v>
      </c>
      <c r="C31">
        <v>1</v>
      </c>
      <c r="D31">
        <v>0</v>
      </c>
      <c r="E31">
        <v>0</v>
      </c>
      <c r="F31">
        <v>1</v>
      </c>
    </row>
    <row r="32" spans="1:6" x14ac:dyDescent="0.25">
      <c r="A32">
        <v>1031</v>
      </c>
      <c r="B32">
        <v>1</v>
      </c>
      <c r="C32">
        <v>1</v>
      </c>
      <c r="D32">
        <v>1</v>
      </c>
      <c r="E32">
        <v>0</v>
      </c>
      <c r="F32">
        <v>0</v>
      </c>
    </row>
    <row r="33" spans="1:6" x14ac:dyDescent="0.25">
      <c r="A33">
        <v>1032</v>
      </c>
      <c r="B33">
        <v>1</v>
      </c>
      <c r="C33">
        <v>1</v>
      </c>
      <c r="D33">
        <v>0</v>
      </c>
      <c r="E33">
        <v>1</v>
      </c>
      <c r="F33">
        <v>0</v>
      </c>
    </row>
    <row r="34" spans="1:6" x14ac:dyDescent="0.25">
      <c r="A34">
        <v>1033</v>
      </c>
      <c r="B34">
        <v>1</v>
      </c>
      <c r="C34">
        <v>1</v>
      </c>
      <c r="D34">
        <v>0</v>
      </c>
      <c r="E34">
        <v>0</v>
      </c>
      <c r="F34">
        <v>1</v>
      </c>
    </row>
    <row r="35" spans="1:6" x14ac:dyDescent="0.25">
      <c r="A35">
        <v>1034</v>
      </c>
      <c r="B35">
        <v>1</v>
      </c>
      <c r="C35">
        <v>1</v>
      </c>
      <c r="D35">
        <v>1</v>
      </c>
      <c r="E35">
        <v>0</v>
      </c>
      <c r="F35">
        <v>0</v>
      </c>
    </row>
    <row r="36" spans="1:6" x14ac:dyDescent="0.25">
      <c r="A36">
        <v>1035</v>
      </c>
      <c r="B36">
        <v>1</v>
      </c>
      <c r="C36">
        <v>1</v>
      </c>
      <c r="D36">
        <v>0</v>
      </c>
      <c r="E36">
        <v>1</v>
      </c>
      <c r="F36">
        <v>0</v>
      </c>
    </row>
    <row r="37" spans="1:6" x14ac:dyDescent="0.25">
      <c r="A37">
        <v>1036</v>
      </c>
      <c r="B37">
        <v>1</v>
      </c>
      <c r="C37">
        <v>1</v>
      </c>
      <c r="D37">
        <v>0</v>
      </c>
      <c r="E37">
        <v>0</v>
      </c>
      <c r="F37">
        <v>1</v>
      </c>
    </row>
    <row r="38" spans="1:6" x14ac:dyDescent="0.25">
      <c r="A38">
        <v>1037</v>
      </c>
      <c r="B38">
        <v>1</v>
      </c>
      <c r="C38">
        <v>1</v>
      </c>
      <c r="D38">
        <v>1</v>
      </c>
      <c r="E38">
        <v>0</v>
      </c>
      <c r="F38">
        <v>0</v>
      </c>
    </row>
    <row r="39" spans="1:6" x14ac:dyDescent="0.25">
      <c r="A39">
        <v>1038</v>
      </c>
      <c r="B39">
        <v>1</v>
      </c>
      <c r="C39">
        <v>1</v>
      </c>
      <c r="D39">
        <v>0</v>
      </c>
      <c r="E39">
        <v>1</v>
      </c>
      <c r="F39">
        <v>0</v>
      </c>
    </row>
    <row r="40" spans="1:6" x14ac:dyDescent="0.25">
      <c r="A40">
        <v>1039</v>
      </c>
      <c r="B40">
        <v>1</v>
      </c>
      <c r="C40">
        <v>1</v>
      </c>
      <c r="D40">
        <v>0</v>
      </c>
      <c r="E40">
        <v>0</v>
      </c>
      <c r="F40">
        <v>1</v>
      </c>
    </row>
    <row r="41" spans="1:6" x14ac:dyDescent="0.25">
      <c r="A41">
        <v>1040</v>
      </c>
      <c r="B41">
        <v>1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1041</v>
      </c>
      <c r="B42">
        <v>1</v>
      </c>
      <c r="C42">
        <v>1</v>
      </c>
      <c r="D42">
        <v>0</v>
      </c>
      <c r="E42">
        <v>1</v>
      </c>
      <c r="F42">
        <v>0</v>
      </c>
    </row>
    <row r="43" spans="1:6" x14ac:dyDescent="0.25">
      <c r="A43">
        <v>1042</v>
      </c>
      <c r="B43">
        <v>1</v>
      </c>
      <c r="C43">
        <v>1</v>
      </c>
      <c r="D43">
        <v>0</v>
      </c>
      <c r="E43">
        <v>0</v>
      </c>
      <c r="F43">
        <v>1</v>
      </c>
    </row>
    <row r="44" spans="1:6" x14ac:dyDescent="0.25">
      <c r="A44">
        <v>1043</v>
      </c>
      <c r="B44">
        <v>1</v>
      </c>
      <c r="C44">
        <v>1</v>
      </c>
      <c r="D44">
        <v>1</v>
      </c>
      <c r="E44">
        <v>0</v>
      </c>
      <c r="F44">
        <v>0</v>
      </c>
    </row>
    <row r="45" spans="1:6" x14ac:dyDescent="0.25">
      <c r="A45">
        <v>1044</v>
      </c>
      <c r="B45">
        <v>1</v>
      </c>
      <c r="C45">
        <v>1</v>
      </c>
      <c r="D45">
        <v>0</v>
      </c>
      <c r="E45">
        <v>1</v>
      </c>
      <c r="F45">
        <v>0</v>
      </c>
    </row>
    <row r="46" spans="1:6" x14ac:dyDescent="0.25">
      <c r="A46">
        <v>1045</v>
      </c>
      <c r="B46">
        <v>1</v>
      </c>
      <c r="C46">
        <v>1</v>
      </c>
      <c r="D46">
        <v>0</v>
      </c>
      <c r="E46">
        <v>0</v>
      </c>
      <c r="F46">
        <v>1</v>
      </c>
    </row>
    <row r="47" spans="1:6" x14ac:dyDescent="0.25">
      <c r="A47">
        <v>1046</v>
      </c>
      <c r="B47">
        <v>1</v>
      </c>
      <c r="C47">
        <v>1</v>
      </c>
      <c r="D47">
        <v>1</v>
      </c>
      <c r="E47">
        <v>0</v>
      </c>
      <c r="F47">
        <v>0</v>
      </c>
    </row>
    <row r="48" spans="1:6" x14ac:dyDescent="0.25">
      <c r="A48">
        <v>1047</v>
      </c>
      <c r="B48">
        <v>1</v>
      </c>
      <c r="C48">
        <v>1</v>
      </c>
      <c r="D48">
        <v>0</v>
      </c>
      <c r="E48">
        <v>1</v>
      </c>
      <c r="F48">
        <v>0</v>
      </c>
    </row>
    <row r="49" spans="1:6" x14ac:dyDescent="0.25">
      <c r="A49">
        <v>1048</v>
      </c>
      <c r="B49">
        <v>1</v>
      </c>
      <c r="C49">
        <v>1</v>
      </c>
      <c r="D49">
        <v>0</v>
      </c>
      <c r="E49">
        <v>0</v>
      </c>
      <c r="F49">
        <v>1</v>
      </c>
    </row>
    <row r="50" spans="1:6" x14ac:dyDescent="0.25">
      <c r="A50">
        <v>1049</v>
      </c>
      <c r="B50">
        <v>1</v>
      </c>
      <c r="C50">
        <v>1</v>
      </c>
      <c r="D50">
        <v>1</v>
      </c>
      <c r="E50">
        <v>0</v>
      </c>
      <c r="F50">
        <v>0</v>
      </c>
    </row>
    <row r="51" spans="1:6" x14ac:dyDescent="0.25">
      <c r="A51">
        <v>1050</v>
      </c>
      <c r="B51">
        <v>1</v>
      </c>
      <c r="C51">
        <v>1</v>
      </c>
      <c r="D51">
        <v>0</v>
      </c>
      <c r="E51">
        <v>1</v>
      </c>
      <c r="F51">
        <v>0</v>
      </c>
    </row>
    <row r="52" spans="1:6" x14ac:dyDescent="0.25">
      <c r="A52">
        <v>1051</v>
      </c>
      <c r="B52">
        <v>1</v>
      </c>
      <c r="C52">
        <v>1</v>
      </c>
      <c r="D52">
        <v>0</v>
      </c>
      <c r="E52">
        <v>0</v>
      </c>
      <c r="F52">
        <v>1</v>
      </c>
    </row>
    <row r="53" spans="1:6" x14ac:dyDescent="0.25">
      <c r="A53">
        <v>1052</v>
      </c>
      <c r="B53">
        <v>1</v>
      </c>
      <c r="C53">
        <v>1</v>
      </c>
      <c r="D53">
        <v>1</v>
      </c>
      <c r="E53">
        <v>0</v>
      </c>
      <c r="F53">
        <v>0</v>
      </c>
    </row>
    <row r="54" spans="1:6" x14ac:dyDescent="0.25">
      <c r="A54">
        <v>1053</v>
      </c>
      <c r="B54">
        <v>1</v>
      </c>
      <c r="C54">
        <v>1</v>
      </c>
      <c r="D54">
        <v>0</v>
      </c>
      <c r="E54">
        <v>1</v>
      </c>
      <c r="F54">
        <v>0</v>
      </c>
    </row>
    <row r="55" spans="1:6" x14ac:dyDescent="0.25">
      <c r="A55">
        <v>1054</v>
      </c>
      <c r="B55">
        <v>1</v>
      </c>
      <c r="C55">
        <v>1</v>
      </c>
      <c r="D55">
        <v>0</v>
      </c>
      <c r="E55">
        <v>0</v>
      </c>
      <c r="F55">
        <v>1</v>
      </c>
    </row>
    <row r="56" spans="1:6" x14ac:dyDescent="0.25">
      <c r="A56">
        <v>1055</v>
      </c>
      <c r="B56">
        <v>1</v>
      </c>
      <c r="C56">
        <v>1</v>
      </c>
      <c r="D56">
        <v>1</v>
      </c>
      <c r="E56">
        <v>0</v>
      </c>
      <c r="F56">
        <v>0</v>
      </c>
    </row>
    <row r="57" spans="1:6" x14ac:dyDescent="0.25">
      <c r="A57">
        <v>1056</v>
      </c>
      <c r="B57">
        <v>1</v>
      </c>
      <c r="C57">
        <v>1</v>
      </c>
      <c r="D57">
        <v>0</v>
      </c>
      <c r="E57">
        <v>1</v>
      </c>
      <c r="F57">
        <v>0</v>
      </c>
    </row>
    <row r="58" spans="1:6" x14ac:dyDescent="0.25">
      <c r="A58">
        <v>1057</v>
      </c>
      <c r="B58">
        <v>1</v>
      </c>
      <c r="C58">
        <v>1</v>
      </c>
      <c r="D58">
        <v>0</v>
      </c>
      <c r="E58">
        <v>0</v>
      </c>
      <c r="F58">
        <v>1</v>
      </c>
    </row>
    <row r="59" spans="1:6" x14ac:dyDescent="0.25">
      <c r="A59">
        <v>1058</v>
      </c>
      <c r="B59">
        <v>1</v>
      </c>
      <c r="C59">
        <v>1</v>
      </c>
      <c r="D59">
        <v>1</v>
      </c>
      <c r="E59">
        <v>0</v>
      </c>
      <c r="F59">
        <v>0</v>
      </c>
    </row>
    <row r="60" spans="1:6" x14ac:dyDescent="0.25">
      <c r="A60">
        <v>1059</v>
      </c>
      <c r="B60">
        <v>1</v>
      </c>
      <c r="C60">
        <v>1</v>
      </c>
      <c r="D60">
        <v>0</v>
      </c>
      <c r="E60">
        <v>1</v>
      </c>
      <c r="F60">
        <v>0</v>
      </c>
    </row>
    <row r="61" spans="1:6" x14ac:dyDescent="0.25">
      <c r="A61">
        <v>1060</v>
      </c>
      <c r="B61">
        <v>1</v>
      </c>
      <c r="C61">
        <v>1</v>
      </c>
      <c r="D61">
        <v>0</v>
      </c>
      <c r="E61">
        <v>0</v>
      </c>
      <c r="F61">
        <v>1</v>
      </c>
    </row>
    <row r="62" spans="1:6" x14ac:dyDescent="0.25">
      <c r="A62">
        <v>1061</v>
      </c>
      <c r="B62">
        <v>1</v>
      </c>
      <c r="C62">
        <v>1</v>
      </c>
      <c r="D62">
        <v>1</v>
      </c>
      <c r="E62">
        <v>0</v>
      </c>
      <c r="F62">
        <v>0</v>
      </c>
    </row>
    <row r="63" spans="1:6" x14ac:dyDescent="0.25">
      <c r="A63">
        <v>1062</v>
      </c>
      <c r="B63">
        <v>1</v>
      </c>
      <c r="C63">
        <v>1</v>
      </c>
      <c r="D63">
        <v>0</v>
      </c>
      <c r="E63">
        <v>1</v>
      </c>
      <c r="F63">
        <v>0</v>
      </c>
    </row>
    <row r="64" spans="1:6" x14ac:dyDescent="0.25">
      <c r="A64">
        <v>1063</v>
      </c>
      <c r="B64">
        <v>1</v>
      </c>
      <c r="C64">
        <v>1</v>
      </c>
      <c r="D64">
        <v>0</v>
      </c>
      <c r="E64">
        <v>0</v>
      </c>
      <c r="F64">
        <v>1</v>
      </c>
    </row>
    <row r="65" spans="1:6" x14ac:dyDescent="0.25">
      <c r="A65">
        <v>1064</v>
      </c>
      <c r="B65">
        <v>1</v>
      </c>
      <c r="C65">
        <v>1</v>
      </c>
      <c r="D65">
        <v>1</v>
      </c>
      <c r="E65">
        <v>0</v>
      </c>
      <c r="F65">
        <v>0</v>
      </c>
    </row>
    <row r="66" spans="1:6" x14ac:dyDescent="0.25">
      <c r="A66">
        <v>1065</v>
      </c>
      <c r="B66">
        <v>1</v>
      </c>
      <c r="C66">
        <v>1</v>
      </c>
      <c r="D66">
        <v>0</v>
      </c>
      <c r="E66">
        <v>1</v>
      </c>
      <c r="F66">
        <v>0</v>
      </c>
    </row>
    <row r="67" spans="1:6" x14ac:dyDescent="0.25">
      <c r="A67">
        <v>1066</v>
      </c>
      <c r="B67">
        <v>1</v>
      </c>
      <c r="C67">
        <v>1</v>
      </c>
      <c r="D67">
        <v>0</v>
      </c>
      <c r="E67">
        <v>0</v>
      </c>
      <c r="F67">
        <v>1</v>
      </c>
    </row>
    <row r="68" spans="1:6" x14ac:dyDescent="0.25">
      <c r="A68">
        <v>1067</v>
      </c>
      <c r="B68">
        <v>1</v>
      </c>
      <c r="C68">
        <v>1</v>
      </c>
      <c r="D68">
        <v>1</v>
      </c>
      <c r="E68">
        <v>0</v>
      </c>
      <c r="F68">
        <v>0</v>
      </c>
    </row>
    <row r="69" spans="1:6" x14ac:dyDescent="0.25">
      <c r="A69">
        <v>1068</v>
      </c>
      <c r="B69">
        <v>1</v>
      </c>
      <c r="C69">
        <v>1</v>
      </c>
      <c r="D69">
        <v>0</v>
      </c>
      <c r="E69">
        <v>1</v>
      </c>
      <c r="F69">
        <v>0</v>
      </c>
    </row>
    <row r="70" spans="1:6" x14ac:dyDescent="0.25">
      <c r="A70">
        <v>1069</v>
      </c>
      <c r="B70">
        <v>1</v>
      </c>
      <c r="C70">
        <v>1</v>
      </c>
      <c r="D70">
        <v>0</v>
      </c>
      <c r="E70">
        <v>0</v>
      </c>
      <c r="F70">
        <v>1</v>
      </c>
    </row>
    <row r="71" spans="1:6" x14ac:dyDescent="0.25">
      <c r="A71">
        <v>1070</v>
      </c>
      <c r="B71">
        <v>1</v>
      </c>
      <c r="C71">
        <v>1</v>
      </c>
      <c r="D71">
        <v>1</v>
      </c>
      <c r="E71">
        <v>0</v>
      </c>
      <c r="F71">
        <v>0</v>
      </c>
    </row>
    <row r="72" spans="1:6" x14ac:dyDescent="0.25">
      <c r="A72">
        <v>1071</v>
      </c>
      <c r="B72">
        <v>1</v>
      </c>
      <c r="C72">
        <v>1</v>
      </c>
      <c r="D72">
        <v>0</v>
      </c>
      <c r="E72">
        <v>1</v>
      </c>
      <c r="F72">
        <v>0</v>
      </c>
    </row>
    <row r="73" spans="1:6" x14ac:dyDescent="0.25">
      <c r="A73">
        <v>1072</v>
      </c>
      <c r="B73">
        <v>1</v>
      </c>
      <c r="C73">
        <v>1</v>
      </c>
      <c r="D73">
        <v>0</v>
      </c>
      <c r="E73">
        <v>0</v>
      </c>
      <c r="F73">
        <v>1</v>
      </c>
    </row>
    <row r="74" spans="1:6" x14ac:dyDescent="0.25">
      <c r="A74">
        <v>1073</v>
      </c>
      <c r="B74">
        <v>1</v>
      </c>
      <c r="C74">
        <v>1</v>
      </c>
      <c r="D74">
        <v>1</v>
      </c>
      <c r="E74">
        <v>0</v>
      </c>
      <c r="F74">
        <v>0</v>
      </c>
    </row>
    <row r="75" spans="1:6" x14ac:dyDescent="0.25">
      <c r="A75">
        <v>1074</v>
      </c>
      <c r="B75">
        <v>1</v>
      </c>
      <c r="C75">
        <v>1</v>
      </c>
      <c r="D75">
        <v>0</v>
      </c>
      <c r="E75">
        <v>1</v>
      </c>
      <c r="F75">
        <v>0</v>
      </c>
    </row>
    <row r="76" spans="1:6" x14ac:dyDescent="0.25">
      <c r="A76">
        <v>1075</v>
      </c>
      <c r="B76">
        <v>1</v>
      </c>
      <c r="C76">
        <v>1</v>
      </c>
      <c r="D76">
        <v>0</v>
      </c>
      <c r="E76">
        <v>0</v>
      </c>
      <c r="F76">
        <v>1</v>
      </c>
    </row>
    <row r="77" spans="1:6" x14ac:dyDescent="0.25">
      <c r="A77">
        <v>1076</v>
      </c>
      <c r="B77">
        <v>1</v>
      </c>
      <c r="C77">
        <v>1</v>
      </c>
      <c r="D77">
        <v>1</v>
      </c>
      <c r="E77">
        <v>0</v>
      </c>
      <c r="F77">
        <v>0</v>
      </c>
    </row>
    <row r="78" spans="1:6" x14ac:dyDescent="0.25">
      <c r="A78">
        <v>1077</v>
      </c>
      <c r="B78">
        <v>1</v>
      </c>
      <c r="C78">
        <v>1</v>
      </c>
      <c r="D78">
        <v>0</v>
      </c>
      <c r="E78">
        <v>1</v>
      </c>
      <c r="F78">
        <v>0</v>
      </c>
    </row>
    <row r="79" spans="1:6" x14ac:dyDescent="0.25">
      <c r="A79">
        <v>1078</v>
      </c>
      <c r="B79">
        <v>1</v>
      </c>
      <c r="C79">
        <v>1</v>
      </c>
      <c r="D79">
        <v>0</v>
      </c>
      <c r="E79">
        <v>0</v>
      </c>
      <c r="F79">
        <v>1</v>
      </c>
    </row>
    <row r="80" spans="1:6" x14ac:dyDescent="0.25">
      <c r="A80">
        <v>1079</v>
      </c>
      <c r="B80">
        <v>1</v>
      </c>
      <c r="C80">
        <v>1</v>
      </c>
      <c r="D80">
        <v>1</v>
      </c>
      <c r="E80">
        <v>0</v>
      </c>
      <c r="F80">
        <v>0</v>
      </c>
    </row>
    <row r="81" spans="1:6" x14ac:dyDescent="0.25">
      <c r="A81">
        <v>1080</v>
      </c>
      <c r="B81">
        <v>1</v>
      </c>
      <c r="C81">
        <v>1</v>
      </c>
      <c r="D81">
        <v>0</v>
      </c>
      <c r="E81">
        <v>1</v>
      </c>
      <c r="F81">
        <v>0</v>
      </c>
    </row>
    <row r="82" spans="1:6" x14ac:dyDescent="0.25">
      <c r="A82">
        <v>1081</v>
      </c>
      <c r="B82">
        <v>1</v>
      </c>
      <c r="C82">
        <v>1</v>
      </c>
      <c r="D82">
        <v>0</v>
      </c>
      <c r="E82">
        <v>0</v>
      </c>
      <c r="F82">
        <v>1</v>
      </c>
    </row>
    <row r="83" spans="1:6" x14ac:dyDescent="0.25">
      <c r="A83">
        <v>1082</v>
      </c>
      <c r="B83">
        <v>1</v>
      </c>
      <c r="C83">
        <v>1</v>
      </c>
      <c r="D83">
        <v>1</v>
      </c>
      <c r="E83">
        <v>0</v>
      </c>
      <c r="F83">
        <v>0</v>
      </c>
    </row>
    <row r="84" spans="1:6" x14ac:dyDescent="0.25">
      <c r="A84">
        <v>1083</v>
      </c>
      <c r="B84">
        <v>1</v>
      </c>
      <c r="C84">
        <v>1</v>
      </c>
      <c r="D84">
        <v>0</v>
      </c>
      <c r="E84">
        <v>1</v>
      </c>
      <c r="F84">
        <v>0</v>
      </c>
    </row>
    <row r="85" spans="1:6" x14ac:dyDescent="0.25">
      <c r="A85">
        <v>1084</v>
      </c>
      <c r="B85">
        <v>1</v>
      </c>
      <c r="C85">
        <v>1</v>
      </c>
      <c r="D85">
        <v>0</v>
      </c>
      <c r="E85">
        <v>0</v>
      </c>
      <c r="F85">
        <v>1</v>
      </c>
    </row>
    <row r="86" spans="1:6" x14ac:dyDescent="0.25">
      <c r="A86">
        <v>1085</v>
      </c>
      <c r="B86">
        <v>1</v>
      </c>
      <c r="C86">
        <v>1</v>
      </c>
      <c r="D86">
        <v>1</v>
      </c>
      <c r="E86">
        <v>0</v>
      </c>
      <c r="F86">
        <v>0</v>
      </c>
    </row>
    <row r="87" spans="1:6" x14ac:dyDescent="0.25">
      <c r="A87">
        <v>1086</v>
      </c>
      <c r="B87">
        <v>1</v>
      </c>
      <c r="C87">
        <v>1</v>
      </c>
      <c r="D87">
        <v>0</v>
      </c>
      <c r="E87">
        <v>1</v>
      </c>
      <c r="F87">
        <v>0</v>
      </c>
    </row>
    <row r="88" spans="1:6" x14ac:dyDescent="0.25">
      <c r="A88">
        <v>1087</v>
      </c>
      <c r="B88">
        <v>1</v>
      </c>
      <c r="C88">
        <v>1</v>
      </c>
      <c r="D88">
        <v>0</v>
      </c>
      <c r="E88">
        <v>0</v>
      </c>
      <c r="F88">
        <v>1</v>
      </c>
    </row>
    <row r="89" spans="1:6" x14ac:dyDescent="0.25">
      <c r="A89">
        <v>1088</v>
      </c>
      <c r="B89">
        <v>1</v>
      </c>
      <c r="C89">
        <v>1</v>
      </c>
      <c r="D89">
        <v>1</v>
      </c>
      <c r="E89">
        <v>0</v>
      </c>
      <c r="F89">
        <v>0</v>
      </c>
    </row>
    <row r="90" spans="1:6" x14ac:dyDescent="0.25">
      <c r="A90">
        <v>1089</v>
      </c>
      <c r="B90">
        <v>1</v>
      </c>
      <c r="C90">
        <v>1</v>
      </c>
      <c r="D90">
        <v>0</v>
      </c>
      <c r="E90">
        <v>1</v>
      </c>
      <c r="F90">
        <v>0</v>
      </c>
    </row>
    <row r="91" spans="1:6" x14ac:dyDescent="0.25">
      <c r="A91">
        <v>1090</v>
      </c>
      <c r="B91">
        <v>1</v>
      </c>
      <c r="C91">
        <v>1</v>
      </c>
      <c r="D91">
        <v>0</v>
      </c>
      <c r="E91">
        <v>0</v>
      </c>
      <c r="F91">
        <v>1</v>
      </c>
    </row>
    <row r="92" spans="1:6" x14ac:dyDescent="0.25">
      <c r="A92">
        <v>1091</v>
      </c>
      <c r="B92">
        <v>1</v>
      </c>
      <c r="C92">
        <v>1</v>
      </c>
      <c r="D92">
        <v>1</v>
      </c>
      <c r="E92">
        <v>0</v>
      </c>
      <c r="F92">
        <v>0</v>
      </c>
    </row>
    <row r="93" spans="1:6" x14ac:dyDescent="0.25">
      <c r="A93">
        <v>1092</v>
      </c>
      <c r="B93">
        <v>1</v>
      </c>
      <c r="C93">
        <v>1</v>
      </c>
      <c r="D93">
        <v>0</v>
      </c>
      <c r="E93">
        <v>1</v>
      </c>
      <c r="F93">
        <v>0</v>
      </c>
    </row>
    <row r="94" spans="1:6" x14ac:dyDescent="0.25">
      <c r="A94">
        <v>1093</v>
      </c>
      <c r="B94">
        <v>1</v>
      </c>
      <c r="C94">
        <v>1</v>
      </c>
      <c r="D94">
        <v>0</v>
      </c>
      <c r="E94">
        <v>0</v>
      </c>
      <c r="F94">
        <v>1</v>
      </c>
    </row>
    <row r="95" spans="1:6" x14ac:dyDescent="0.25">
      <c r="A95">
        <v>1094</v>
      </c>
      <c r="B95">
        <v>1</v>
      </c>
      <c r="C95">
        <v>1</v>
      </c>
      <c r="D95">
        <v>1</v>
      </c>
      <c r="E95">
        <v>0</v>
      </c>
      <c r="F95">
        <v>0</v>
      </c>
    </row>
    <row r="96" spans="1:6" x14ac:dyDescent="0.25">
      <c r="A96">
        <v>1095</v>
      </c>
      <c r="B96">
        <v>1</v>
      </c>
      <c r="C96">
        <v>1</v>
      </c>
      <c r="D96">
        <v>0</v>
      </c>
      <c r="E96">
        <v>1</v>
      </c>
      <c r="F96">
        <v>0</v>
      </c>
    </row>
    <row r="97" spans="1:6" x14ac:dyDescent="0.25">
      <c r="A97">
        <v>1096</v>
      </c>
      <c r="B97">
        <v>1</v>
      </c>
      <c r="C97">
        <v>1</v>
      </c>
      <c r="D97">
        <v>0</v>
      </c>
      <c r="E97">
        <v>0</v>
      </c>
      <c r="F97">
        <v>1</v>
      </c>
    </row>
    <row r="98" spans="1:6" x14ac:dyDescent="0.25">
      <c r="A98">
        <v>1098</v>
      </c>
      <c r="B98">
        <v>1</v>
      </c>
      <c r="C98">
        <v>1</v>
      </c>
      <c r="D98">
        <v>1</v>
      </c>
      <c r="E98">
        <v>0</v>
      </c>
      <c r="F98">
        <v>0</v>
      </c>
    </row>
    <row r="99" spans="1:6" x14ac:dyDescent="0.25">
      <c r="A99">
        <v>1099</v>
      </c>
      <c r="B99">
        <v>1</v>
      </c>
      <c r="C99">
        <v>1</v>
      </c>
      <c r="D99">
        <v>0</v>
      </c>
      <c r="E99">
        <v>1</v>
      </c>
      <c r="F99">
        <v>0</v>
      </c>
    </row>
    <row r="100" spans="1:6" x14ac:dyDescent="0.25">
      <c r="A100">
        <v>1100</v>
      </c>
      <c r="B100">
        <v>1</v>
      </c>
      <c r="C100">
        <v>1</v>
      </c>
      <c r="D100">
        <v>0</v>
      </c>
      <c r="E100">
        <v>0</v>
      </c>
      <c r="F100">
        <v>1</v>
      </c>
    </row>
    <row r="101" spans="1:6" x14ac:dyDescent="0.25">
      <c r="A101">
        <v>1101</v>
      </c>
      <c r="B101">
        <v>1</v>
      </c>
      <c r="C101">
        <v>1</v>
      </c>
      <c r="D101">
        <v>1</v>
      </c>
      <c r="E101">
        <v>0</v>
      </c>
      <c r="F101">
        <v>0</v>
      </c>
    </row>
    <row r="102" spans="1:6" x14ac:dyDescent="0.25">
      <c r="A102">
        <v>1102</v>
      </c>
      <c r="B102">
        <v>1</v>
      </c>
      <c r="C102">
        <v>1</v>
      </c>
      <c r="D102">
        <v>0</v>
      </c>
      <c r="E102">
        <v>1</v>
      </c>
      <c r="F102">
        <v>0</v>
      </c>
    </row>
    <row r="103" spans="1:6" x14ac:dyDescent="0.25">
      <c r="A103">
        <v>1103</v>
      </c>
      <c r="B103">
        <v>1</v>
      </c>
      <c r="C103">
        <v>1</v>
      </c>
      <c r="D103">
        <v>0</v>
      </c>
      <c r="E103">
        <v>0</v>
      </c>
      <c r="F103">
        <v>1</v>
      </c>
    </row>
    <row r="104" spans="1:6" x14ac:dyDescent="0.25">
      <c r="A104">
        <v>1104</v>
      </c>
      <c r="B104">
        <v>1</v>
      </c>
      <c r="C104">
        <v>1</v>
      </c>
      <c r="D104">
        <v>1</v>
      </c>
      <c r="E104">
        <v>0</v>
      </c>
      <c r="F104">
        <v>0</v>
      </c>
    </row>
    <row r="105" spans="1:6" x14ac:dyDescent="0.25">
      <c r="A105">
        <v>1105</v>
      </c>
      <c r="B105">
        <v>1</v>
      </c>
      <c r="C105">
        <v>1</v>
      </c>
      <c r="D105">
        <v>0</v>
      </c>
      <c r="E105">
        <v>1</v>
      </c>
      <c r="F105">
        <v>0</v>
      </c>
    </row>
    <row r="106" spans="1:6" x14ac:dyDescent="0.25">
      <c r="A106">
        <v>1106</v>
      </c>
      <c r="B106">
        <v>1</v>
      </c>
      <c r="C106">
        <v>1</v>
      </c>
      <c r="D106">
        <v>0</v>
      </c>
      <c r="E106">
        <v>0</v>
      </c>
      <c r="F106">
        <v>1</v>
      </c>
    </row>
    <row r="107" spans="1:6" x14ac:dyDescent="0.25">
      <c r="A107">
        <v>1107</v>
      </c>
      <c r="B107">
        <v>1</v>
      </c>
      <c r="C107">
        <v>1</v>
      </c>
      <c r="D107">
        <v>1</v>
      </c>
      <c r="E107">
        <v>0</v>
      </c>
      <c r="F107">
        <v>0</v>
      </c>
    </row>
    <row r="108" spans="1:6" x14ac:dyDescent="0.25">
      <c r="A108">
        <v>1108</v>
      </c>
      <c r="B108">
        <v>1</v>
      </c>
      <c r="C108">
        <v>1</v>
      </c>
      <c r="D108">
        <v>0</v>
      </c>
      <c r="E108">
        <v>1</v>
      </c>
      <c r="F108">
        <v>0</v>
      </c>
    </row>
    <row r="109" spans="1:6" x14ac:dyDescent="0.25">
      <c r="A109">
        <v>1109</v>
      </c>
      <c r="B109">
        <v>1</v>
      </c>
      <c r="C109">
        <v>1</v>
      </c>
      <c r="D109">
        <v>0</v>
      </c>
      <c r="E109">
        <v>0</v>
      </c>
      <c r="F109">
        <v>1</v>
      </c>
    </row>
    <row r="110" spans="1:6" x14ac:dyDescent="0.25">
      <c r="A110">
        <v>1110</v>
      </c>
      <c r="B110">
        <v>1</v>
      </c>
      <c r="C110">
        <v>1</v>
      </c>
      <c r="D110">
        <v>1</v>
      </c>
      <c r="E110">
        <v>0</v>
      </c>
      <c r="F110">
        <v>0</v>
      </c>
    </row>
    <row r="111" spans="1:6" x14ac:dyDescent="0.25">
      <c r="A111">
        <v>1111</v>
      </c>
      <c r="B111">
        <v>1</v>
      </c>
      <c r="C111">
        <v>1</v>
      </c>
      <c r="D111">
        <v>0</v>
      </c>
      <c r="E111">
        <v>1</v>
      </c>
      <c r="F111">
        <v>0</v>
      </c>
    </row>
    <row r="112" spans="1:6" x14ac:dyDescent="0.25">
      <c r="A112">
        <v>1112</v>
      </c>
      <c r="B112">
        <v>1</v>
      </c>
      <c r="C112">
        <v>1</v>
      </c>
      <c r="D112">
        <v>0</v>
      </c>
      <c r="E112">
        <v>0</v>
      </c>
      <c r="F112">
        <v>1</v>
      </c>
    </row>
    <row r="113" spans="1:6" x14ac:dyDescent="0.25">
      <c r="A113">
        <v>1113</v>
      </c>
      <c r="B113">
        <v>1</v>
      </c>
      <c r="C113">
        <v>1</v>
      </c>
      <c r="D113">
        <v>1</v>
      </c>
      <c r="E113">
        <v>0</v>
      </c>
      <c r="F113">
        <v>0</v>
      </c>
    </row>
    <row r="114" spans="1:6" x14ac:dyDescent="0.25">
      <c r="A114">
        <v>1114</v>
      </c>
      <c r="B114">
        <v>1</v>
      </c>
      <c r="C114">
        <v>1</v>
      </c>
      <c r="D114">
        <v>0</v>
      </c>
      <c r="E114">
        <v>1</v>
      </c>
      <c r="F114">
        <v>0</v>
      </c>
    </row>
    <row r="115" spans="1:6" x14ac:dyDescent="0.25">
      <c r="A115">
        <v>1115</v>
      </c>
      <c r="B115">
        <v>1</v>
      </c>
      <c r="C115">
        <v>1</v>
      </c>
      <c r="D115">
        <v>0</v>
      </c>
      <c r="E115">
        <v>0</v>
      </c>
      <c r="F115">
        <v>1</v>
      </c>
    </row>
    <row r="116" spans="1:6" x14ac:dyDescent="0.25">
      <c r="A116">
        <v>1116</v>
      </c>
      <c r="B116">
        <v>1</v>
      </c>
      <c r="C116">
        <v>1</v>
      </c>
      <c r="D116">
        <v>1</v>
      </c>
      <c r="E116">
        <v>0</v>
      </c>
      <c r="F116">
        <v>0</v>
      </c>
    </row>
    <row r="117" spans="1:6" x14ac:dyDescent="0.25">
      <c r="A117">
        <v>1117</v>
      </c>
      <c r="B117">
        <v>1</v>
      </c>
      <c r="C117">
        <v>1</v>
      </c>
      <c r="D117">
        <v>0</v>
      </c>
      <c r="E117">
        <v>1</v>
      </c>
      <c r="F117">
        <v>0</v>
      </c>
    </row>
    <row r="118" spans="1:6" x14ac:dyDescent="0.25">
      <c r="A118">
        <v>1118</v>
      </c>
      <c r="B118">
        <v>1</v>
      </c>
      <c r="C118">
        <v>1</v>
      </c>
      <c r="D118">
        <v>0</v>
      </c>
      <c r="E118">
        <v>0</v>
      </c>
      <c r="F118">
        <v>1</v>
      </c>
    </row>
    <row r="119" spans="1:6" x14ac:dyDescent="0.25">
      <c r="A119">
        <v>1119</v>
      </c>
      <c r="B119">
        <v>1</v>
      </c>
      <c r="C119">
        <v>1</v>
      </c>
      <c r="D119">
        <v>1</v>
      </c>
      <c r="E119">
        <v>0</v>
      </c>
      <c r="F119">
        <v>0</v>
      </c>
    </row>
    <row r="120" spans="1:6" x14ac:dyDescent="0.25">
      <c r="A120">
        <v>1120</v>
      </c>
      <c r="B120">
        <v>1</v>
      </c>
      <c r="C120">
        <v>1</v>
      </c>
      <c r="D120">
        <v>0</v>
      </c>
      <c r="E120">
        <v>1</v>
      </c>
      <c r="F120">
        <v>0</v>
      </c>
    </row>
    <row r="121" spans="1:6" x14ac:dyDescent="0.25">
      <c r="A121">
        <v>1121</v>
      </c>
      <c r="B121">
        <v>1</v>
      </c>
      <c r="C121">
        <v>1</v>
      </c>
      <c r="D121">
        <v>0</v>
      </c>
      <c r="E121">
        <v>0</v>
      </c>
      <c r="F121">
        <v>1</v>
      </c>
    </row>
    <row r="122" spans="1:6" x14ac:dyDescent="0.25">
      <c r="A122">
        <v>1122</v>
      </c>
      <c r="B122">
        <v>1</v>
      </c>
      <c r="C122">
        <v>1</v>
      </c>
      <c r="D122">
        <v>1</v>
      </c>
      <c r="E122">
        <v>0</v>
      </c>
      <c r="F122">
        <v>0</v>
      </c>
    </row>
    <row r="123" spans="1:6" x14ac:dyDescent="0.25">
      <c r="A123">
        <v>1123</v>
      </c>
      <c r="B123">
        <v>1</v>
      </c>
      <c r="C123">
        <v>1</v>
      </c>
      <c r="D123">
        <v>0</v>
      </c>
      <c r="E123">
        <v>1</v>
      </c>
      <c r="F123">
        <v>0</v>
      </c>
    </row>
    <row r="124" spans="1:6" x14ac:dyDescent="0.25">
      <c r="A124">
        <v>1124</v>
      </c>
      <c r="B124">
        <v>1</v>
      </c>
      <c r="C124">
        <v>1</v>
      </c>
      <c r="D124">
        <v>0</v>
      </c>
      <c r="E124">
        <v>0</v>
      </c>
      <c r="F124">
        <v>1</v>
      </c>
    </row>
    <row r="125" spans="1:6" x14ac:dyDescent="0.25">
      <c r="A125">
        <v>1125</v>
      </c>
      <c r="B125">
        <v>1</v>
      </c>
      <c r="C125">
        <v>1</v>
      </c>
      <c r="D125">
        <v>1</v>
      </c>
      <c r="E125">
        <v>0</v>
      </c>
      <c r="F125">
        <v>0</v>
      </c>
    </row>
    <row r="126" spans="1:6" x14ac:dyDescent="0.25">
      <c r="A126">
        <v>1126</v>
      </c>
      <c r="B126">
        <v>1</v>
      </c>
      <c r="C126">
        <v>1</v>
      </c>
      <c r="D126">
        <v>0</v>
      </c>
      <c r="E126">
        <v>1</v>
      </c>
      <c r="F126">
        <v>0</v>
      </c>
    </row>
    <row r="127" spans="1:6" x14ac:dyDescent="0.25">
      <c r="A127">
        <v>1127</v>
      </c>
      <c r="B127">
        <v>1</v>
      </c>
      <c r="C127">
        <v>1</v>
      </c>
      <c r="D127">
        <v>0</v>
      </c>
      <c r="E127">
        <v>0</v>
      </c>
      <c r="F127">
        <v>1</v>
      </c>
    </row>
    <row r="128" spans="1:6" x14ac:dyDescent="0.25">
      <c r="A128">
        <v>1128</v>
      </c>
      <c r="B128">
        <v>1</v>
      </c>
      <c r="C128">
        <v>1</v>
      </c>
      <c r="D128">
        <v>1</v>
      </c>
      <c r="E128">
        <v>0</v>
      </c>
      <c r="F128">
        <v>0</v>
      </c>
    </row>
    <row r="129" spans="1:6" x14ac:dyDescent="0.25">
      <c r="A129">
        <v>1129</v>
      </c>
      <c r="B129">
        <v>1</v>
      </c>
      <c r="C129">
        <v>1</v>
      </c>
      <c r="D129">
        <v>0</v>
      </c>
      <c r="E129">
        <v>1</v>
      </c>
      <c r="F129">
        <v>0</v>
      </c>
    </row>
    <row r="130" spans="1:6" x14ac:dyDescent="0.25">
      <c r="A130">
        <v>1130</v>
      </c>
      <c r="B130">
        <v>1</v>
      </c>
      <c r="C130">
        <v>1</v>
      </c>
      <c r="D130">
        <v>0</v>
      </c>
      <c r="E130">
        <v>0</v>
      </c>
      <c r="F130">
        <v>1</v>
      </c>
    </row>
    <row r="131" spans="1:6" x14ac:dyDescent="0.25">
      <c r="A131">
        <v>1131</v>
      </c>
      <c r="B131">
        <v>1</v>
      </c>
      <c r="C131">
        <v>1</v>
      </c>
      <c r="D131">
        <v>1</v>
      </c>
      <c r="E131">
        <v>0</v>
      </c>
      <c r="F131">
        <v>0</v>
      </c>
    </row>
    <row r="132" spans="1:6" x14ac:dyDescent="0.25">
      <c r="A132">
        <v>1132</v>
      </c>
      <c r="B132">
        <v>1</v>
      </c>
      <c r="C132">
        <v>1</v>
      </c>
      <c r="D132">
        <v>0</v>
      </c>
      <c r="E132">
        <v>1</v>
      </c>
      <c r="F132">
        <v>0</v>
      </c>
    </row>
    <row r="133" spans="1:6" x14ac:dyDescent="0.25">
      <c r="A133">
        <v>1133</v>
      </c>
      <c r="B133">
        <v>1</v>
      </c>
      <c r="C133">
        <v>1</v>
      </c>
      <c r="D133">
        <v>0</v>
      </c>
      <c r="E133">
        <v>0</v>
      </c>
      <c r="F133">
        <v>1</v>
      </c>
    </row>
    <row r="134" spans="1:6" x14ac:dyDescent="0.25">
      <c r="A134">
        <v>1135</v>
      </c>
      <c r="B134">
        <v>1</v>
      </c>
      <c r="C134">
        <v>1</v>
      </c>
      <c r="D134">
        <v>1</v>
      </c>
      <c r="E134">
        <v>0</v>
      </c>
      <c r="F134">
        <v>0</v>
      </c>
    </row>
    <row r="135" spans="1:6" x14ac:dyDescent="0.25">
      <c r="A135">
        <v>1138</v>
      </c>
      <c r="B135">
        <v>1</v>
      </c>
      <c r="C135">
        <v>1</v>
      </c>
      <c r="D135">
        <v>0</v>
      </c>
      <c r="E135">
        <v>1</v>
      </c>
      <c r="F135">
        <v>0</v>
      </c>
    </row>
    <row r="136" spans="1:6" x14ac:dyDescent="0.25">
      <c r="A136">
        <v>1139</v>
      </c>
      <c r="B136">
        <v>1</v>
      </c>
      <c r="C136">
        <v>1</v>
      </c>
      <c r="D136">
        <v>0</v>
      </c>
      <c r="E136">
        <v>0</v>
      </c>
      <c r="F136">
        <v>1</v>
      </c>
    </row>
    <row r="137" spans="1:6" x14ac:dyDescent="0.25">
      <c r="A137">
        <v>1140</v>
      </c>
      <c r="B137">
        <v>1</v>
      </c>
      <c r="C137">
        <v>1</v>
      </c>
      <c r="D137">
        <v>1</v>
      </c>
      <c r="E137">
        <v>0</v>
      </c>
      <c r="F137">
        <v>0</v>
      </c>
    </row>
    <row r="138" spans="1:6" x14ac:dyDescent="0.25">
      <c r="A138">
        <v>1141</v>
      </c>
      <c r="B138">
        <v>1</v>
      </c>
      <c r="C138">
        <v>1</v>
      </c>
      <c r="D138">
        <v>0</v>
      </c>
      <c r="E138">
        <v>1</v>
      </c>
      <c r="F138">
        <v>0</v>
      </c>
    </row>
    <row r="139" spans="1:6" x14ac:dyDescent="0.25">
      <c r="A139">
        <v>1142</v>
      </c>
      <c r="B139">
        <v>1</v>
      </c>
      <c r="C139">
        <v>1</v>
      </c>
      <c r="D139">
        <v>0</v>
      </c>
      <c r="E139">
        <v>0</v>
      </c>
      <c r="F139">
        <v>1</v>
      </c>
    </row>
    <row r="140" spans="1:6" x14ac:dyDescent="0.25">
      <c r="A140">
        <v>1143</v>
      </c>
      <c r="B140">
        <v>1</v>
      </c>
      <c r="C140">
        <v>1</v>
      </c>
      <c r="D140">
        <v>1</v>
      </c>
      <c r="E140">
        <v>0</v>
      </c>
      <c r="F140">
        <v>0</v>
      </c>
    </row>
    <row r="141" spans="1:6" x14ac:dyDescent="0.25">
      <c r="A141">
        <v>1146</v>
      </c>
      <c r="B141">
        <v>1</v>
      </c>
      <c r="C141">
        <v>1</v>
      </c>
      <c r="D141">
        <v>0</v>
      </c>
      <c r="E141">
        <v>1</v>
      </c>
      <c r="F141">
        <v>0</v>
      </c>
    </row>
    <row r="142" spans="1:6" x14ac:dyDescent="0.25">
      <c r="A142">
        <v>1150</v>
      </c>
      <c r="B142">
        <v>1</v>
      </c>
      <c r="C142">
        <v>1</v>
      </c>
      <c r="D142">
        <v>0</v>
      </c>
      <c r="E142">
        <v>0</v>
      </c>
      <c r="F142">
        <v>1</v>
      </c>
    </row>
    <row r="143" spans="1:6" x14ac:dyDescent="0.25">
      <c r="A143">
        <v>1151</v>
      </c>
      <c r="B143">
        <v>1</v>
      </c>
      <c r="C143">
        <v>1</v>
      </c>
      <c r="D143">
        <v>1</v>
      </c>
      <c r="E143">
        <v>0</v>
      </c>
      <c r="F143">
        <v>0</v>
      </c>
    </row>
    <row r="144" spans="1:6" x14ac:dyDescent="0.25">
      <c r="A144">
        <v>1152</v>
      </c>
      <c r="B144">
        <v>1</v>
      </c>
      <c r="C144">
        <v>1</v>
      </c>
      <c r="D144">
        <v>0</v>
      </c>
      <c r="E144">
        <v>1</v>
      </c>
      <c r="F144">
        <v>0</v>
      </c>
    </row>
    <row r="145" spans="1:6" x14ac:dyDescent="0.25">
      <c r="A145">
        <v>1153</v>
      </c>
      <c r="B145">
        <v>1</v>
      </c>
      <c r="C145">
        <v>1</v>
      </c>
      <c r="D145">
        <v>0</v>
      </c>
      <c r="E145">
        <v>0</v>
      </c>
      <c r="F145">
        <v>1</v>
      </c>
    </row>
    <row r="146" spans="1:6" x14ac:dyDescent="0.25">
      <c r="A146">
        <v>1154</v>
      </c>
      <c r="B146">
        <v>1</v>
      </c>
      <c r="C146">
        <v>1</v>
      </c>
      <c r="D146">
        <v>1</v>
      </c>
      <c r="E146">
        <v>0</v>
      </c>
      <c r="F146">
        <v>0</v>
      </c>
    </row>
    <row r="147" spans="1:6" x14ac:dyDescent="0.25">
      <c r="A147">
        <v>1155</v>
      </c>
      <c r="B147">
        <v>1</v>
      </c>
      <c r="C147">
        <v>1</v>
      </c>
      <c r="D147">
        <v>0</v>
      </c>
      <c r="E147">
        <v>1</v>
      </c>
      <c r="F147">
        <v>0</v>
      </c>
    </row>
    <row r="148" spans="1:6" x14ac:dyDescent="0.25">
      <c r="A148">
        <v>1156</v>
      </c>
      <c r="B148">
        <v>1</v>
      </c>
      <c r="C148">
        <v>1</v>
      </c>
      <c r="D148">
        <v>0</v>
      </c>
      <c r="E148">
        <v>0</v>
      </c>
      <c r="F148">
        <v>1</v>
      </c>
    </row>
    <row r="149" spans="1:6" x14ac:dyDescent="0.25">
      <c r="A149">
        <v>1157</v>
      </c>
      <c r="B149">
        <v>1</v>
      </c>
      <c r="C149">
        <v>1</v>
      </c>
      <c r="D149">
        <v>1</v>
      </c>
      <c r="E149">
        <v>0</v>
      </c>
      <c r="F149">
        <v>0</v>
      </c>
    </row>
    <row r="150" spans="1:6" x14ac:dyDescent="0.25">
      <c r="A150">
        <v>1158</v>
      </c>
      <c r="B150">
        <v>1</v>
      </c>
      <c r="C150">
        <v>1</v>
      </c>
      <c r="D150">
        <v>0</v>
      </c>
      <c r="E150">
        <v>1</v>
      </c>
      <c r="F150">
        <v>0</v>
      </c>
    </row>
    <row r="151" spans="1:6" x14ac:dyDescent="0.25">
      <c r="A151">
        <v>1159</v>
      </c>
      <c r="B151">
        <v>1</v>
      </c>
      <c r="C151">
        <v>1</v>
      </c>
      <c r="D151">
        <v>0</v>
      </c>
      <c r="E151">
        <v>0</v>
      </c>
      <c r="F151">
        <v>1</v>
      </c>
    </row>
    <row r="152" spans="1:6" x14ac:dyDescent="0.25">
      <c r="A152">
        <v>1160</v>
      </c>
      <c r="B152">
        <v>1</v>
      </c>
      <c r="C152">
        <v>1</v>
      </c>
      <c r="D152">
        <v>1</v>
      </c>
      <c r="E152">
        <v>0</v>
      </c>
      <c r="F152">
        <v>0</v>
      </c>
    </row>
    <row r="153" spans="1:6" x14ac:dyDescent="0.25">
      <c r="A153">
        <v>1161</v>
      </c>
      <c r="B153">
        <v>1</v>
      </c>
      <c r="C153">
        <v>1</v>
      </c>
      <c r="D153">
        <v>0</v>
      </c>
      <c r="E153">
        <v>1</v>
      </c>
      <c r="F153">
        <v>0</v>
      </c>
    </row>
    <row r="154" spans="1:6" x14ac:dyDescent="0.25">
      <c r="A154">
        <v>1162</v>
      </c>
      <c r="B154">
        <v>1</v>
      </c>
      <c r="C154">
        <v>1</v>
      </c>
      <c r="D154">
        <v>0</v>
      </c>
      <c r="E154">
        <v>0</v>
      </c>
      <c r="F154">
        <v>1</v>
      </c>
    </row>
    <row r="155" spans="1:6" x14ac:dyDescent="0.25">
      <c r="A155">
        <v>1163</v>
      </c>
      <c r="B155">
        <v>1</v>
      </c>
      <c r="C155">
        <v>1</v>
      </c>
      <c r="D155">
        <v>1</v>
      </c>
      <c r="E155">
        <v>0</v>
      </c>
      <c r="F155">
        <v>0</v>
      </c>
    </row>
    <row r="156" spans="1:6" x14ac:dyDescent="0.25">
      <c r="A156">
        <v>1164</v>
      </c>
      <c r="B156">
        <v>1</v>
      </c>
      <c r="C156">
        <v>1</v>
      </c>
      <c r="D156">
        <v>0</v>
      </c>
      <c r="E156">
        <v>1</v>
      </c>
      <c r="F156">
        <v>0</v>
      </c>
    </row>
    <row r="157" spans="1:6" x14ac:dyDescent="0.25">
      <c r="A157">
        <v>1165</v>
      </c>
      <c r="B157">
        <v>1</v>
      </c>
      <c r="C157">
        <v>1</v>
      </c>
      <c r="D157">
        <v>0</v>
      </c>
      <c r="E157">
        <v>0</v>
      </c>
      <c r="F157">
        <v>1</v>
      </c>
    </row>
    <row r="158" spans="1:6" x14ac:dyDescent="0.25">
      <c r="A158">
        <v>1166</v>
      </c>
      <c r="B158">
        <v>1</v>
      </c>
      <c r="C158">
        <v>1</v>
      </c>
      <c r="D158">
        <v>1</v>
      </c>
      <c r="E158">
        <v>0</v>
      </c>
      <c r="F158">
        <v>0</v>
      </c>
    </row>
    <row r="159" spans="1:6" x14ac:dyDescent="0.25">
      <c r="A159" s="3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BDD2-2F2D-4AB1-B412-AB8FA0C3ECDE}">
  <dimension ref="A1:E9"/>
  <sheetViews>
    <sheetView workbookViewId="0">
      <selection activeCell="C10" sqref="C10"/>
    </sheetView>
  </sheetViews>
  <sheetFormatPr baseColWidth="10" defaultRowHeight="15" x14ac:dyDescent="0.25"/>
  <cols>
    <col min="5" max="5" width="86" bestFit="1" customWidth="1"/>
  </cols>
  <sheetData>
    <row r="1" spans="1:5" x14ac:dyDescent="0.25"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>
        <v>1000</v>
      </c>
      <c r="C2">
        <v>0</v>
      </c>
      <c r="E2" t="s">
        <v>14</v>
      </c>
    </row>
    <row r="3" spans="1:5" x14ac:dyDescent="0.25">
      <c r="A3" t="s">
        <v>15</v>
      </c>
      <c r="B3">
        <v>0</v>
      </c>
      <c r="C3">
        <v>0</v>
      </c>
      <c r="D3">
        <v>40</v>
      </c>
    </row>
    <row r="4" spans="1:5" x14ac:dyDescent="0.25">
      <c r="A4" t="s">
        <v>16</v>
      </c>
      <c r="B4">
        <v>60</v>
      </c>
      <c r="C4">
        <f>25*(15/60)</f>
        <v>6.25</v>
      </c>
      <c r="D4">
        <v>5</v>
      </c>
      <c r="E4" t="s">
        <v>17</v>
      </c>
    </row>
    <row r="5" spans="1:5" x14ac:dyDescent="0.25">
      <c r="A5" t="s">
        <v>4</v>
      </c>
      <c r="B5">
        <v>50</v>
      </c>
      <c r="C5">
        <v>0</v>
      </c>
      <c r="D5">
        <v>8</v>
      </c>
      <c r="E5" t="s">
        <v>18</v>
      </c>
    </row>
    <row r="6" spans="1:5" x14ac:dyDescent="0.25">
      <c r="A6" t="s">
        <v>5</v>
      </c>
      <c r="B6">
        <v>50</v>
      </c>
      <c r="C6">
        <v>0</v>
      </c>
      <c r="D6">
        <v>2</v>
      </c>
      <c r="E6" t="s">
        <v>18</v>
      </c>
    </row>
    <row r="7" spans="1:5" x14ac:dyDescent="0.25">
      <c r="A7" t="s">
        <v>6</v>
      </c>
      <c r="B7">
        <v>120</v>
      </c>
      <c r="C7" s="4">
        <v>0</v>
      </c>
      <c r="D7">
        <v>0.2</v>
      </c>
      <c r="E7" t="s">
        <v>19</v>
      </c>
    </row>
    <row r="8" spans="1:5" x14ac:dyDescent="0.25">
      <c r="A8" t="s">
        <v>7</v>
      </c>
      <c r="B8">
        <v>1</v>
      </c>
      <c r="C8" s="4">
        <v>0</v>
      </c>
      <c r="D8">
        <v>12</v>
      </c>
      <c r="E8" t="s">
        <v>20</v>
      </c>
    </row>
    <row r="9" spans="1:5" x14ac:dyDescent="0.25">
      <c r="A9" t="s">
        <v>8</v>
      </c>
      <c r="B9">
        <v>32</v>
      </c>
      <c r="C9" s="4">
        <v>0</v>
      </c>
      <c r="D9">
        <v>3</v>
      </c>
      <c r="E9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Prozesslaufzeit-Überblick M</vt:lpstr>
      <vt:lpstr>Monatslaufzeiten</vt:lpstr>
      <vt:lpstr>Prozesslaufzeit-Überblick J</vt:lpstr>
      <vt:lpstr>Prozesslaufzeiten nach Monaten</vt:lpstr>
      <vt:lpstr>Jahreslaufzeiten</vt:lpstr>
      <vt:lpstr>Programmzuwesiung</vt:lpstr>
      <vt:lpstr>Kostenkonfiguration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Herrmann</dc:creator>
  <cp:lastModifiedBy>Paolo Herrmann</cp:lastModifiedBy>
  <dcterms:created xsi:type="dcterms:W3CDTF">2015-06-05T18:19:34Z</dcterms:created>
  <dcterms:modified xsi:type="dcterms:W3CDTF">2026-01-08T12:32:05Z</dcterms:modified>
</cp:coreProperties>
</file>